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24435aaaf82e40/SCA_LLP/"/>
    </mc:Choice>
  </mc:AlternateContent>
  <xr:revisionPtr revIDLastSave="62" documentId="11_73E92E4AB01F472313FF3E3EBBC30AD0475EB589" xr6:coauthVersionLast="47" xr6:coauthVersionMax="47" xr10:uidLastSave="{53A05ADD-0E42-4E08-B993-2B08B7CED385}"/>
  <bookViews>
    <workbookView xWindow="-108" yWindow="-108" windowWidth="23256" windowHeight="12456" activeTab="2" xr2:uid="{00000000-000D-0000-FFFF-FFFF00000000}"/>
  </bookViews>
  <sheets>
    <sheet name="cmbhavcopy" sheetId="1" r:id="rId1"/>
    <sheet name="Stocks" sheetId="2" r:id="rId2"/>
    <sheet name="Quant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I33" i="3"/>
  <c r="I32" i="3"/>
  <c r="I30" i="3"/>
  <c r="I29" i="3"/>
  <c r="I28" i="3"/>
  <c r="I27" i="3"/>
  <c r="G27" i="3"/>
  <c r="I26" i="3"/>
  <c r="G26" i="3"/>
  <c r="I25" i="3"/>
  <c r="G25" i="3"/>
  <c r="I24" i="3"/>
  <c r="G24" i="3"/>
  <c r="D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G15" i="3"/>
  <c r="G14" i="3"/>
  <c r="I13" i="3"/>
  <c r="G13" i="3"/>
  <c r="I12" i="3"/>
  <c r="G12" i="3"/>
  <c r="I11" i="3"/>
  <c r="G11" i="3"/>
  <c r="I9" i="3"/>
  <c r="I34" i="3" s="1"/>
  <c r="G9" i="3"/>
  <c r="I8" i="3"/>
  <c r="G8" i="3"/>
  <c r="I7" i="3"/>
  <c r="G7" i="3"/>
  <c r="I6" i="3"/>
  <c r="G6" i="3"/>
  <c r="I5" i="3"/>
  <c r="G5" i="3"/>
  <c r="I4" i="3"/>
  <c r="G4" i="3"/>
  <c r="I3" i="3"/>
  <c r="G3" i="3"/>
  <c r="G2" i="3"/>
  <c r="F28" i="3" l="1"/>
  <c r="F34" i="3" s="1"/>
  <c r="C2" i="3"/>
  <c r="C22" i="3"/>
  <c r="C8" i="3"/>
  <c r="C18" i="3"/>
  <c r="C6" i="3"/>
  <c r="C11" i="3"/>
  <c r="C17" i="3"/>
  <c r="C25" i="3"/>
  <c r="C14" i="3"/>
  <c r="C3" i="3"/>
  <c r="C10" i="3"/>
  <c r="C12" i="3"/>
  <c r="C24" i="3"/>
  <c r="C16" i="3"/>
  <c r="C7" i="3"/>
  <c r="C13" i="3"/>
  <c r="C5" i="3"/>
  <c r="C23" i="3"/>
  <c r="C19" i="3"/>
  <c r="C26" i="3" l="1"/>
  <c r="C21" i="3"/>
  <c r="C9" i="3"/>
  <c r="C20" i="3"/>
  <c r="C4" i="3"/>
  <c r="C28" i="3"/>
</calcChain>
</file>

<file path=xl/sharedStrings.xml><?xml version="1.0" encoding="utf-8"?>
<sst xmlns="http://schemas.openxmlformats.org/spreadsheetml/2006/main" count="29594" uniqueCount="11143">
  <si>
    <t>Symbol</t>
  </si>
  <si>
    <t>Code</t>
  </si>
  <si>
    <t>Percentage</t>
  </si>
  <si>
    <t>Total Quantity</t>
  </si>
  <si>
    <t>PRICE</t>
  </si>
  <si>
    <t>VALUE</t>
  </si>
  <si>
    <t>09.09.2026</t>
  </si>
  <si>
    <t>RAMPRASATH REDDY QTYN</t>
  </si>
  <si>
    <t>BLOCKED ACCOUNT</t>
  </si>
  <si>
    <t>ASHAPURMIN</t>
  </si>
  <si>
    <t>**</t>
  </si>
  <si>
    <t>ASTRAMICRO</t>
  </si>
  <si>
    <t>ATHERENERG</t>
  </si>
  <si>
    <t>AURIONPRO</t>
  </si>
  <si>
    <t>AVALON</t>
  </si>
  <si>
    <t>BIRLANU</t>
  </si>
  <si>
    <t>E2E</t>
  </si>
  <si>
    <t>HCG</t>
  </si>
  <si>
    <t>HEG</t>
  </si>
  <si>
    <t>HEG GRAPHITE</t>
  </si>
  <si>
    <t>******</t>
  </si>
  <si>
    <t>HERITGFOOD</t>
  </si>
  <si>
    <t>HINDOILEXP</t>
  </si>
  <si>
    <t>INOXWIND</t>
  </si>
  <si>
    <t>JYOTICNC</t>
  </si>
  <si>
    <t>MASFIN</t>
  </si>
  <si>
    <t>***</t>
  </si>
  <si>
    <t>1692 Original Qtyn</t>
  </si>
  <si>
    <t>POWERMECH</t>
  </si>
  <si>
    <t>SURYAROSNI</t>
  </si>
  <si>
    <t>THOMASCOOK</t>
  </si>
  <si>
    <t>TITAGARH</t>
  </si>
  <si>
    <t>TIINDIA</t>
  </si>
  <si>
    <t>VADILALIND</t>
  </si>
  <si>
    <t>VRLLOG</t>
  </si>
  <si>
    <t>WELENT</t>
  </si>
  <si>
    <t>ZENTEC</t>
  </si>
  <si>
    <t>LIQUIDBEES</t>
  </si>
  <si>
    <t>LIQUIDCASE</t>
  </si>
  <si>
    <t>Nse Cash Mkt Cr</t>
  </si>
  <si>
    <t>Balance with Bank</t>
  </si>
  <si>
    <t>CR</t>
  </si>
  <si>
    <t>Dividend Income</t>
  </si>
  <si>
    <t>Nse Cash Dr Transfer</t>
  </si>
  <si>
    <t>TradDt</t>
  </si>
  <si>
    <t>BizDt</t>
  </si>
  <si>
    <t>Sgmt</t>
  </si>
  <si>
    <t>Src</t>
  </si>
  <si>
    <t>FinInstrmTp</t>
  </si>
  <si>
    <t>FinInstrmId</t>
  </si>
  <si>
    <t>ISIN</t>
  </si>
  <si>
    <t>TckrSymb</t>
  </si>
  <si>
    <t>SctySrs</t>
  </si>
  <si>
    <t>XpryDt</t>
  </si>
  <si>
    <t>FininstrmActlXpryDt</t>
  </si>
  <si>
    <t>StrkPric</t>
  </si>
  <si>
    <t>OptnTp</t>
  </si>
  <si>
    <t>FinInstrmNm</t>
  </si>
  <si>
    <t>OpnPric</t>
  </si>
  <si>
    <t>HghPric</t>
  </si>
  <si>
    <t>LwPric</t>
  </si>
  <si>
    <t>ClsPric</t>
  </si>
  <si>
    <t>LastPric</t>
  </si>
  <si>
    <t>PrvsClsgPric</t>
  </si>
  <si>
    <t>UndrlygPric</t>
  </si>
  <si>
    <t>SttlmPric</t>
  </si>
  <si>
    <t>OpnIntrst</t>
  </si>
  <si>
    <t>ChngInOpnIntrst</t>
  </si>
  <si>
    <t>TtlTradgVol</t>
  </si>
  <si>
    <t>TtlTrfVal</t>
  </si>
  <si>
    <t>TtlNbOfTxsExctd</t>
  </si>
  <si>
    <t>SsnId</t>
  </si>
  <si>
    <t>NewBrdLotQty</t>
  </si>
  <si>
    <t>Rmks</t>
  </si>
  <si>
    <t>Rsvd1</t>
  </si>
  <si>
    <t>Rsvd2</t>
  </si>
  <si>
    <t>Rsvd3</t>
  </si>
  <si>
    <t>Rsvd4</t>
  </si>
  <si>
    <t>CM</t>
  </si>
  <si>
    <t>NSE</t>
  </si>
  <si>
    <t>STK</t>
  </si>
  <si>
    <t>IN0020200104</t>
  </si>
  <si>
    <t>SGBJUN28</t>
  </si>
  <si>
    <t>GB</t>
  </si>
  <si>
    <t>2.5%GOLDBONDS2028SR-III</t>
  </si>
  <si>
    <t>F1</t>
  </si>
  <si>
    <t>IN0020200286</t>
  </si>
  <si>
    <t>SGBN28VIII</t>
  </si>
  <si>
    <t>2.5%GOLDBONDS2028SR-VIII</t>
  </si>
  <si>
    <t>IN0020210053</t>
  </si>
  <si>
    <t>SGBMAY29I</t>
  </si>
  <si>
    <t>2.5%GOLDBONDS2029SR-I</t>
  </si>
  <si>
    <t>IN0020210061</t>
  </si>
  <si>
    <t>SGBJUN29II</t>
  </si>
  <si>
    <t>2.5%GOLDBONDS2029SR-II</t>
  </si>
  <si>
    <t>IN0020210087</t>
  </si>
  <si>
    <t>SGBJU29III</t>
  </si>
  <si>
    <t>2.5%GOLDBONDS2029SR-III</t>
  </si>
  <si>
    <t>IN0020210145</t>
  </si>
  <si>
    <t>SGBSEP29VI</t>
  </si>
  <si>
    <t>2.5%GOLDBONDS2029SR-VI</t>
  </si>
  <si>
    <t>IN0020210178</t>
  </si>
  <si>
    <t>SGBNV29VII</t>
  </si>
  <si>
    <t>2.5%GOLDBONDS2029SR-VII</t>
  </si>
  <si>
    <t>IN0020180314</t>
  </si>
  <si>
    <t>SGBNOV26</t>
  </si>
  <si>
    <t>2.50%GOLDBONDS2026SR-III</t>
  </si>
  <si>
    <t>IN0020190073</t>
  </si>
  <si>
    <t>SGBJUN27</t>
  </si>
  <si>
    <t>2.50%GOLDBONDS2027SR-I</t>
  </si>
  <si>
    <t>IN0020190081</t>
  </si>
  <si>
    <t>SGBJUL27</t>
  </si>
  <si>
    <t>2.50%GOLDBONDS2027SR-II</t>
  </si>
  <si>
    <t>IN0020190107</t>
  </si>
  <si>
    <t>SGBAUG27</t>
  </si>
  <si>
    <t>2.50%GOLDBONDS2027SR-III</t>
  </si>
  <si>
    <t>IN0020190115</t>
  </si>
  <si>
    <t>SGBSEP27</t>
  </si>
  <si>
    <t>2.50%GOLDBONDS2027SR-IV</t>
  </si>
  <si>
    <t>IN0020180462</t>
  </si>
  <si>
    <t>SGBJAN27</t>
  </si>
  <si>
    <t>2.50%GOLDBONDS2027SR-V</t>
  </si>
  <si>
    <t>IN0020190370</t>
  </si>
  <si>
    <t>SGBOCT27</t>
  </si>
  <si>
    <t>IN0020180561</t>
  </si>
  <si>
    <t>SGBFEB27</t>
  </si>
  <si>
    <t>2.50%GOLDBONDS2027SR-VI</t>
  </si>
  <si>
    <t>IN0020190388</t>
  </si>
  <si>
    <t>SGBOCT27VI</t>
  </si>
  <si>
    <t>IN0020190461</t>
  </si>
  <si>
    <t>SGBDC27VII</t>
  </si>
  <si>
    <t>2.50%GOLDBONDS2027SR-VII</t>
  </si>
  <si>
    <t>IN0020200062</t>
  </si>
  <si>
    <t>SGBAPR28I</t>
  </si>
  <si>
    <t>2.50%GOLDBONDS2028SR-I</t>
  </si>
  <si>
    <t>IN0020200088</t>
  </si>
  <si>
    <t>SGBMAY28</t>
  </si>
  <si>
    <t>2.50%GOLDBONDS2028SR-II</t>
  </si>
  <si>
    <t>IN0020200146</t>
  </si>
  <si>
    <t>SGBJUL28IV</t>
  </si>
  <si>
    <t>2.50%GOLDBONDS2028SR-IV</t>
  </si>
  <si>
    <t>IN0020190545</t>
  </si>
  <si>
    <t>SGBFEB28IX</t>
  </si>
  <si>
    <t>2.50%GOLDBONDS2028SR-IX</t>
  </si>
  <si>
    <t>IN0020200161</t>
  </si>
  <si>
    <t>SGBAUG28V</t>
  </si>
  <si>
    <t>2.50%GOLDBONDS2028SR-V</t>
  </si>
  <si>
    <t>IN0020200195</t>
  </si>
  <si>
    <t>SGBSEP28VI</t>
  </si>
  <si>
    <t>2.50%GOLDBONDS2028SR-VI</t>
  </si>
  <si>
    <t>IN0020200203</t>
  </si>
  <si>
    <t>SGBOC28VII</t>
  </si>
  <si>
    <t>2.50%GOLDBONDS2028SR-VII</t>
  </si>
  <si>
    <t>IN0020190537</t>
  </si>
  <si>
    <t>SGBJ28VIII</t>
  </si>
  <si>
    <t>2.50%GOLDBONDS2028SR-VIII</t>
  </si>
  <si>
    <t>IN0020190552</t>
  </si>
  <si>
    <t>SGBMAR28X</t>
  </si>
  <si>
    <t>2.50%GOLDBONDS2028SR-X</t>
  </si>
  <si>
    <t>IN0020210111</t>
  </si>
  <si>
    <t>SGBJUL29IV</t>
  </si>
  <si>
    <t>2.50%GOLDBONDS2029SR-IV</t>
  </si>
  <si>
    <t>IN0020200377</t>
  </si>
  <si>
    <t>SGBJAN29IX</t>
  </si>
  <si>
    <t>2.50%GOLDBONDS2029SR-IX</t>
  </si>
  <si>
    <t>IN0020210129</t>
  </si>
  <si>
    <t>SGBAUG29V</t>
  </si>
  <si>
    <t>2.50%GOLDBONDS2029SR-V</t>
  </si>
  <si>
    <t>IN0020210228</t>
  </si>
  <si>
    <t>SGBD29VIII</t>
  </si>
  <si>
    <t>2.50%GOLDBONDS2029SR-VIII</t>
  </si>
  <si>
    <t>IN0020200385</t>
  </si>
  <si>
    <t>SGBJAN29X</t>
  </si>
  <si>
    <t>2.50%GOLDBONDS2029SR-X</t>
  </si>
  <si>
    <t>IN0020200393</t>
  </si>
  <si>
    <t>SGBFEB29XI</t>
  </si>
  <si>
    <t>2.50%GOLDBONDS2029SR-XI</t>
  </si>
  <si>
    <t>IN0020200427</t>
  </si>
  <si>
    <t>SGBMR29XII</t>
  </si>
  <si>
    <t>2.50%GOLDBONDS2029SR-XII</t>
  </si>
  <si>
    <t>IN0020220045</t>
  </si>
  <si>
    <t>SGBJUN30</t>
  </si>
  <si>
    <t>2.50%GOLDBONDS2030SR-I</t>
  </si>
  <si>
    <t>IN0020220078</t>
  </si>
  <si>
    <t>SGBAUG30</t>
  </si>
  <si>
    <t>2.50%GOLDBONDS2030SR-II</t>
  </si>
  <si>
    <t>IN0020220110</t>
  </si>
  <si>
    <t>SGBDE30III</t>
  </si>
  <si>
    <t>2.50%GOLDBONDS2030SR-III</t>
  </si>
  <si>
    <t>IN0020210236</t>
  </si>
  <si>
    <t>SGBJAN30IX</t>
  </si>
  <si>
    <t>2.50%GOLDBONDS2030SR-IX</t>
  </si>
  <si>
    <t>IN0020210319</t>
  </si>
  <si>
    <t>SGBMAR30X</t>
  </si>
  <si>
    <t>2.50%GOLDBONDS2030SR-X</t>
  </si>
  <si>
    <t>IN0020230069</t>
  </si>
  <si>
    <t>SGBJUN31I</t>
  </si>
  <si>
    <t>2.50%GOLDBONDS2031SR-I</t>
  </si>
  <si>
    <t>IN0020230093</t>
  </si>
  <si>
    <t>SGBSEP31II</t>
  </si>
  <si>
    <t>2.50%GOLDBONDS2031SR-II</t>
  </si>
  <si>
    <t>IN0020230168</t>
  </si>
  <si>
    <t>SGBDE31III</t>
  </si>
  <si>
    <t>2.50%GOLDBONDS2031SR-III</t>
  </si>
  <si>
    <t>IN0020220169</t>
  </si>
  <si>
    <t>SGBMAR31IV</t>
  </si>
  <si>
    <t>2.50%GOLDBONDS2031SR-IV</t>
  </si>
  <si>
    <t>IN0020230184</t>
  </si>
  <si>
    <t>SGBFEB32IV</t>
  </si>
  <si>
    <t>2.50%GOLDBONDS2032SR-IV</t>
  </si>
  <si>
    <t>INE144J01027</t>
  </si>
  <si>
    <t>20MICRONS</t>
  </si>
  <si>
    <t>EQ</t>
  </si>
  <si>
    <t>20 MICRONS LTD</t>
  </si>
  <si>
    <t>INE253B01015</t>
  </si>
  <si>
    <t>21STCENMGM</t>
  </si>
  <si>
    <t>21ST CENTURY MGMT SERVICE</t>
  </si>
  <si>
    <t>INE466L01038</t>
  </si>
  <si>
    <t>360ONE</t>
  </si>
  <si>
    <t>360 ONE WAM LIMITED</t>
  </si>
  <si>
    <t>INF579M01BB5</t>
  </si>
  <si>
    <t>GOLD360</t>
  </si>
  <si>
    <t>360ONEAMC - GOLD360</t>
  </si>
  <si>
    <t>INF579M01BP5</t>
  </si>
  <si>
    <t>MSCI360</t>
  </si>
  <si>
    <t>360ONEAMC - MSCI360</t>
  </si>
  <si>
    <t>INF579M01BC3</t>
  </si>
  <si>
    <t>SILVER360</t>
  </si>
  <si>
    <t>360ONEAMC - SILVER360</t>
  </si>
  <si>
    <t>INE994E01018</t>
  </si>
  <si>
    <t>3BBLACKBIO</t>
  </si>
  <si>
    <t>3B BLACKBIO DX LTD.</t>
  </si>
  <si>
    <t>INE748C01038</t>
  </si>
  <si>
    <t>3IINFOLTD</t>
  </si>
  <si>
    <t>BE</t>
  </si>
  <si>
    <t>3I INFOTECH LIMITED</t>
  </si>
  <si>
    <t>INE470A01017</t>
  </si>
  <si>
    <t>3MINDIA</t>
  </si>
  <si>
    <t>3M INDIA LIMITED</t>
  </si>
  <si>
    <t>INE105C01023</t>
  </si>
  <si>
    <t>3PLAND</t>
  </si>
  <si>
    <t>3P LAND HOLDINGS LIMITED</t>
  </si>
  <si>
    <t>INE618L01018</t>
  </si>
  <si>
    <t>5PAISA</t>
  </si>
  <si>
    <t>5PAISA CAPITAL LIMITED</t>
  </si>
  <si>
    <t>INE111B01023</t>
  </si>
  <si>
    <t>63MOONS</t>
  </si>
  <si>
    <t>63 MOONS TECHNOLOGIES LTD</t>
  </si>
  <si>
    <t>INE053F07579</t>
  </si>
  <si>
    <t>734IRFC28</t>
  </si>
  <si>
    <t>N4</t>
  </si>
  <si>
    <t>7.34 NCD 19FEB28 TR1 SR2</t>
  </si>
  <si>
    <t>INE031A07865</t>
  </si>
  <si>
    <t>751HUDCO28</t>
  </si>
  <si>
    <t>N5</t>
  </si>
  <si>
    <t>7.51 NCD 16FEB28 TR1 SR2</t>
  </si>
  <si>
    <t>INE261F07032</t>
  </si>
  <si>
    <t>764NABAR31</t>
  </si>
  <si>
    <t>N2</t>
  </si>
  <si>
    <t>7.64% TAX FREE TRI SRIIB</t>
  </si>
  <si>
    <t>INE031A07AO5</t>
  </si>
  <si>
    <t>764HUDCO31</t>
  </si>
  <si>
    <t>N8</t>
  </si>
  <si>
    <t>7.64% TAX FREETRI SR2B</t>
  </si>
  <si>
    <t>INE031A07AT4</t>
  </si>
  <si>
    <t>769HUDCO31</t>
  </si>
  <si>
    <t>N9</t>
  </si>
  <si>
    <t>7.69% TAX FREETRII SR2B</t>
  </si>
  <si>
    <t>INE202E07229</t>
  </si>
  <si>
    <t>774IREDA31</t>
  </si>
  <si>
    <t>N7</t>
  </si>
  <si>
    <t>7.74% TAX FREE NCD</t>
  </si>
  <si>
    <t>INE031A07840</t>
  </si>
  <si>
    <t>82HUDCO27</t>
  </si>
  <si>
    <t>8.20 NCD05MAR27 FV 1000</t>
  </si>
  <si>
    <t>INE906B07DF8</t>
  </si>
  <si>
    <t>875NHAI29</t>
  </si>
  <si>
    <t>N6</t>
  </si>
  <si>
    <t>8.75% TAX FREE TR I S IIB</t>
  </si>
  <si>
    <t>INE031A07949</t>
  </si>
  <si>
    <t>876HUDCO28</t>
  </si>
  <si>
    <t>ND</t>
  </si>
  <si>
    <t>8.76% TAX FREETRI SR2B</t>
  </si>
  <si>
    <t>INE787H07370</t>
  </si>
  <si>
    <t>891IIFCL34</t>
  </si>
  <si>
    <t>8.91% TAX FREE NCD</t>
  </si>
  <si>
    <t>INE733E07JJ9</t>
  </si>
  <si>
    <t>891NTPC33</t>
  </si>
  <si>
    <t>8.91%S-R-NCD SERIES 3B</t>
  </si>
  <si>
    <t>INE848E07567</t>
  </si>
  <si>
    <t>892NHPC33</t>
  </si>
  <si>
    <t>8.92% SEC RED BOND S3B</t>
  </si>
  <si>
    <t>INE134E07463</t>
  </si>
  <si>
    <t>892PFCL33</t>
  </si>
  <si>
    <t>8.92% TAX FREE NCD</t>
  </si>
  <si>
    <t>INE031A07AB2</t>
  </si>
  <si>
    <t>901HUDCO34</t>
  </si>
  <si>
    <t>NE</t>
  </si>
  <si>
    <t>9.01% TAX FREETRII SR3B</t>
  </si>
  <si>
    <t>INE08PH01015</t>
  </si>
  <si>
    <t>ABCOTS</t>
  </si>
  <si>
    <t>A B COTSPIN INDIA LIMITED</t>
  </si>
  <si>
    <t>INE00YB01025</t>
  </si>
  <si>
    <t>ABINFRA</t>
  </si>
  <si>
    <t>A B INFRABUILD LIMITED</t>
  </si>
  <si>
    <t>INE850B01026</t>
  </si>
  <si>
    <t>ABMKNO</t>
  </si>
  <si>
    <t>A B M KNOWLEDGEWARE LTD.</t>
  </si>
  <si>
    <t>INE366C01021</t>
  </si>
  <si>
    <t>ACSTECH</t>
  </si>
  <si>
    <t>A C S TECHNOLOGIES LTD.</t>
  </si>
  <si>
    <t>INE0O6N01012</t>
  </si>
  <si>
    <t>AGUL</t>
  </si>
  <si>
    <t>SM</t>
  </si>
  <si>
    <t>A G UNIVERSAL LIMITED</t>
  </si>
  <si>
    <t>INE701G01012</t>
  </si>
  <si>
    <t>AKCAPIT</t>
  </si>
  <si>
    <t>A K CAPITAL SERVICES LTD.</t>
  </si>
  <si>
    <t>INE619I01012</t>
  </si>
  <si>
    <t>A2ZINFRA</t>
  </si>
  <si>
    <t>A2Z INFRA ENGINEERING LTD</t>
  </si>
  <si>
    <t>INE0D0U01013</t>
  </si>
  <si>
    <t>AAATECH</t>
  </si>
  <si>
    <t>AAA TECHNOLOGIES LIMITED</t>
  </si>
  <si>
    <t>INE883F01010</t>
  </si>
  <si>
    <t>AADHARHFC</t>
  </si>
  <si>
    <t>AADHAR HOUSING FINANCE L</t>
  </si>
  <si>
    <t>INE1GYP01013</t>
  </si>
  <si>
    <t>AAKAAR</t>
  </si>
  <si>
    <t>AAKAAR MEDICAL TECHNO LTD</t>
  </si>
  <si>
    <t>INE087Z01024</t>
  </si>
  <si>
    <t>AAKASH</t>
  </si>
  <si>
    <t>AAKASH EXPLORATION SER L</t>
  </si>
  <si>
    <t>INE124401014</t>
  </si>
  <si>
    <t>AARADHYA</t>
  </si>
  <si>
    <t>AARADHYA DISPOSAL INDUS L</t>
  </si>
  <si>
    <t>INE198H01019</t>
  </si>
  <si>
    <t>AAREYDRUGS</t>
  </si>
  <si>
    <t>AAREY DRUGS &amp; PHARM LTD</t>
  </si>
  <si>
    <t>INE750R01016</t>
  </si>
  <si>
    <t>AARNAV</t>
  </si>
  <si>
    <t>AARNAV FASHIONS LIMITED</t>
  </si>
  <si>
    <t>INE721Z01010</t>
  </si>
  <si>
    <t>AARON</t>
  </si>
  <si>
    <t>AARON INDUSTRIES LIMITED</t>
  </si>
  <si>
    <t>INE01C001026</t>
  </si>
  <si>
    <t>AARTECH</t>
  </si>
  <si>
    <t>AARTECH SOLONICS LIMITED</t>
  </si>
  <si>
    <t>INE767A01016</t>
  </si>
  <si>
    <t>AARTIDRUGS</t>
  </si>
  <si>
    <t>AARTI DRUGS LTD.</t>
  </si>
  <si>
    <t>INE769A01020</t>
  </si>
  <si>
    <t>AARTIIND</t>
  </si>
  <si>
    <t>AARTI INDUSTRIES LTD</t>
  </si>
  <si>
    <t>INE0LRU01027</t>
  </si>
  <si>
    <t>AARTIPHARM</t>
  </si>
  <si>
    <t>AARTI PHARMALABS LIMITED</t>
  </si>
  <si>
    <t>INE09EO01013</t>
  </si>
  <si>
    <t>AARTISURF</t>
  </si>
  <si>
    <t>AARTI SURFACTANTS LIMITED</t>
  </si>
  <si>
    <t>INE754X01016</t>
  </si>
  <si>
    <t>AARVI</t>
  </si>
  <si>
    <t>AARVI ENCON LIMITED</t>
  </si>
  <si>
    <t>INE2FMX01012</t>
  </si>
  <si>
    <t>AASTHA</t>
  </si>
  <si>
    <t>AASTHA SPINTEX LIMITED</t>
  </si>
  <si>
    <t>INE0OB201016</t>
  </si>
  <si>
    <t>AATMAJ</t>
  </si>
  <si>
    <t>AATMAJ HEALTHCARE LIMITED</t>
  </si>
  <si>
    <t>INE216P01012</t>
  </si>
  <si>
    <t>AAVAS</t>
  </si>
  <si>
    <t>AAVAS FINANCIERS LIMITED</t>
  </si>
  <si>
    <t>INE421A01028</t>
  </si>
  <si>
    <t>ABAN</t>
  </si>
  <si>
    <t>ABAN OFFSHORE LTD.</t>
  </si>
  <si>
    <t>INE365O01028</t>
  </si>
  <si>
    <t>ABANSENT</t>
  </si>
  <si>
    <t>ABANS ENTERPRISES LTD.</t>
  </si>
  <si>
    <t>INE00ZE01026</t>
  </si>
  <si>
    <t>AFSL</t>
  </si>
  <si>
    <t>ABANS FINANCIAL SRVCS LTD</t>
  </si>
  <si>
    <t>INE117A01022</t>
  </si>
  <si>
    <t>ABB</t>
  </si>
  <si>
    <t>ABB INDIA LIMITED</t>
  </si>
  <si>
    <t>INE358A01014</t>
  </si>
  <si>
    <t>ABBOTINDIA</t>
  </si>
  <si>
    <t>ABBOTT INDIA LIMITED</t>
  </si>
  <si>
    <t>INE860H07IQ0</t>
  </si>
  <si>
    <t>8ABCL26</t>
  </si>
  <si>
    <t>ABCL 8% SR I</t>
  </si>
  <si>
    <t>INE1R2M01019</t>
  </si>
  <si>
    <t>ABH</t>
  </si>
  <si>
    <t>ST</t>
  </si>
  <si>
    <t>ABH HEALTHCARE LIMITED</t>
  </si>
  <si>
    <t>INE0UYG01015</t>
  </si>
  <si>
    <t>ABHAPOWER</t>
  </si>
  <si>
    <t>ABHA POWER N STEEL LTD</t>
  </si>
  <si>
    <t>INE251C01025</t>
  </si>
  <si>
    <t>ABMINTLLTD</t>
  </si>
  <si>
    <t>ABM INTERNATIONAL LTD</t>
  </si>
  <si>
    <t>INE0QRV01016</t>
  </si>
  <si>
    <t>ABSMARINE</t>
  </si>
  <si>
    <t>ABS MARINE SERVICES LTD</t>
  </si>
  <si>
    <t>INE012A01025</t>
  </si>
  <si>
    <t>ACC</t>
  </si>
  <si>
    <t>ACC LIMITED</t>
  </si>
  <si>
    <t>INE793A01012</t>
  </si>
  <si>
    <t>ACCELYA</t>
  </si>
  <si>
    <t>ACCELYA SOLN INDIA LTD</t>
  </si>
  <si>
    <t>INE0Q5D01013</t>
  </si>
  <si>
    <t>ACCENTMIC</t>
  </si>
  <si>
    <t>ACCENT MICROCELL LIMITED</t>
  </si>
  <si>
    <t>INE0T8T01010</t>
  </si>
  <si>
    <t>ACCPL</t>
  </si>
  <si>
    <t>ACCRETION PHARMA LIMITED</t>
  </si>
  <si>
    <t>INE648Z01023</t>
  </si>
  <si>
    <t>ACCURACY</t>
  </si>
  <si>
    <t>ACCURACY SHIPPING LIMITED</t>
  </si>
  <si>
    <t>INE543V01017</t>
  </si>
  <si>
    <t>ACEINTEG</t>
  </si>
  <si>
    <t>ACE INTEGRATED SOLU. LTD.</t>
  </si>
  <si>
    <t>INE1J6M01010</t>
  </si>
  <si>
    <t>ACETEC</t>
  </si>
  <si>
    <t>ACETECH E-COMMERCE LTD</t>
  </si>
  <si>
    <t>INE622W01025</t>
  </si>
  <si>
    <t>ACMESOLAR</t>
  </si>
  <si>
    <t>ACME SOLAR HOLDINGS LTD</t>
  </si>
  <si>
    <t>INE731H01025</t>
  </si>
  <si>
    <t>ACE</t>
  </si>
  <si>
    <t>ACTION CONST EQUIP LTD</t>
  </si>
  <si>
    <t>INE00FF01025</t>
  </si>
  <si>
    <t>ACUTAAS</t>
  </si>
  <si>
    <t>ACUTAAS CHEMICALS LIMITED</t>
  </si>
  <si>
    <t>INE931S01010</t>
  </si>
  <si>
    <t>ADANIENSOL</t>
  </si>
  <si>
    <t>ADANI ENERGY SOLUTION LTD</t>
  </si>
  <si>
    <t>INE423A01024</t>
  </si>
  <si>
    <t>ADANIENT</t>
  </si>
  <si>
    <t>ADANI ENTERPRISES LIMITED</t>
  </si>
  <si>
    <t>INE364U01010</t>
  </si>
  <si>
    <t>ADANIGREEN</t>
  </si>
  <si>
    <t>ADANI GREEN ENERGY LTD</t>
  </si>
  <si>
    <t>INE742F01042</t>
  </si>
  <si>
    <t>ADANIPORTS</t>
  </si>
  <si>
    <t>ADANI PORT &amp; SEZ LTD</t>
  </si>
  <si>
    <t>INE814H01029</t>
  </si>
  <si>
    <t>ADANIPOWER</t>
  </si>
  <si>
    <t>ADANI POWER LTD</t>
  </si>
  <si>
    <t>INE399L01023</t>
  </si>
  <si>
    <t>ATGL</t>
  </si>
  <si>
    <t>ADANI TOTAL GAS LIMITED</t>
  </si>
  <si>
    <t>INE757C01021</t>
  </si>
  <si>
    <t>ADDIND</t>
  </si>
  <si>
    <t>ADDI INDUSTRIES LTD.</t>
  </si>
  <si>
    <t>INE0RDH01021</t>
  </si>
  <si>
    <t>ADDICTIVE</t>
  </si>
  <si>
    <t>ADDICTIVE LEARNING TECH L</t>
  </si>
  <si>
    <t>INE982B01027</t>
  </si>
  <si>
    <t>ADFFOODS</t>
  </si>
  <si>
    <t>ADF FOODS LIMITED</t>
  </si>
  <si>
    <t>INE20PL01012</t>
  </si>
  <si>
    <t>ADISOFT</t>
  </si>
  <si>
    <t>ADISOFT TECHNOLOGIES LTD</t>
  </si>
  <si>
    <t>INE404A01024</t>
  </si>
  <si>
    <t>ABSLAMC</t>
  </si>
  <si>
    <t>ADIT BIRL SUN LIF AMC LTD</t>
  </si>
  <si>
    <t>INE674K01013</t>
  </si>
  <si>
    <t>ABCAPITAL</t>
  </si>
  <si>
    <t>ADITYA BIRLA CAPITAL LTD.</t>
  </si>
  <si>
    <t>INE647O01011</t>
  </si>
  <si>
    <t>ABFRL</t>
  </si>
  <si>
    <t>ADITYA BIRLA FASHION &amp; RT</t>
  </si>
  <si>
    <t>INE14LE01019</t>
  </si>
  <si>
    <t>ABLBL</t>
  </si>
  <si>
    <t>ADITYA BIRLA LIFES BRAN L</t>
  </si>
  <si>
    <t>INE865C01022</t>
  </si>
  <si>
    <t>BIRLAMONEY</t>
  </si>
  <si>
    <t>ADITYA BIRLA MONEY LTD</t>
  </si>
  <si>
    <t>INE055A01016</t>
  </si>
  <si>
    <t>ABREL</t>
  </si>
  <si>
    <t>ADITYA BIRLA REAL EST LTD</t>
  </si>
  <si>
    <t>INE819V01029</t>
  </si>
  <si>
    <t>CPPLUS</t>
  </si>
  <si>
    <t>ADITYA INFOTECH LIMITED</t>
  </si>
  <si>
    <t>INE679V01027</t>
  </si>
  <si>
    <t>AVL</t>
  </si>
  <si>
    <t>ADITYA VISION LIMITED</t>
  </si>
  <si>
    <t>INF209KB18D3</t>
  </si>
  <si>
    <t>BSLGOLDETF</t>
  </si>
  <si>
    <t>ADITYBIRLA SL GOLD ETF-GR</t>
  </si>
  <si>
    <t>INF209KB19D1</t>
  </si>
  <si>
    <t>BSLNIFTY</t>
  </si>
  <si>
    <t>ADITYBIRLA SL NIF ETF-GR</t>
  </si>
  <si>
    <t>INE045A01017</t>
  </si>
  <si>
    <t>ADOR</t>
  </si>
  <si>
    <t>ADOR WELDING LTD</t>
  </si>
  <si>
    <t>INE737B01033</t>
  </si>
  <si>
    <t>ADROITINFO</t>
  </si>
  <si>
    <t>ADROIT INFOTECH LIMITED</t>
  </si>
  <si>
    <t>INE0ALI01010</t>
  </si>
  <si>
    <t>ADVAIT</t>
  </si>
  <si>
    <t>ADVAIT ENRGY TRANSITION L</t>
  </si>
  <si>
    <t>INE1B0W01010</t>
  </si>
  <si>
    <t>ADVANCE</t>
  </si>
  <si>
    <t>ADVANCE AGROLIFE LIMITED</t>
  </si>
  <si>
    <t>INE837H01020</t>
  </si>
  <si>
    <t>ADVENZYMES</t>
  </si>
  <si>
    <t>ADVANCED ENZYME TECH LTD</t>
  </si>
  <si>
    <t>INE199C01026</t>
  </si>
  <si>
    <t>ADVANIHOTR</t>
  </si>
  <si>
    <t>ADVANI HOT.&amp; RES.(I) LTD</t>
  </si>
  <si>
    <t>INE28GN01010</t>
  </si>
  <si>
    <t>ADVENTHTL</t>
  </si>
  <si>
    <t>ADVENT HOTELS INTERNATI L</t>
  </si>
  <si>
    <t>INE178T01024</t>
  </si>
  <si>
    <t>ADVIKCA</t>
  </si>
  <si>
    <t>ADVIK CAPITAL LTD.</t>
  </si>
  <si>
    <t>INE1SJO01012</t>
  </si>
  <si>
    <t>RAMBHAJO</t>
  </si>
  <si>
    <t>ADVIT JEWELS LIMITED</t>
  </si>
  <si>
    <t>INE208C01025</t>
  </si>
  <si>
    <t>AEGISLOG</t>
  </si>
  <si>
    <t>AEGIS LOGISTICS LIMITED</t>
  </si>
  <si>
    <t>INE0INX01018</t>
  </si>
  <si>
    <t>AEGISVOPAK</t>
  </si>
  <si>
    <t>AEGIS VOPAK TERMINALS LTD</t>
  </si>
  <si>
    <t>INE423A07484</t>
  </si>
  <si>
    <t>860AEL28</t>
  </si>
  <si>
    <t>NH</t>
  </si>
  <si>
    <t>AEL 8.60% 2028 SR I</t>
  </si>
  <si>
    <t>INE423A07518</t>
  </si>
  <si>
    <t>862AEL31</t>
  </si>
  <si>
    <t>NM</t>
  </si>
  <si>
    <t>AEL 8.62% 2031 SR VI</t>
  </si>
  <si>
    <t>INE423A07526</t>
  </si>
  <si>
    <t>890AEL31</t>
  </si>
  <si>
    <t>NN</t>
  </si>
  <si>
    <t>AEL 8.90% 2031 SR VII</t>
  </si>
  <si>
    <t>INE423A07450</t>
  </si>
  <si>
    <t>895AEL27</t>
  </si>
  <si>
    <t>AEL 8.95% 2027 SR I</t>
  </si>
  <si>
    <t>INE423A07443</t>
  </si>
  <si>
    <t>9AEL30</t>
  </si>
  <si>
    <t>AEL 9% 2030 SR VI</t>
  </si>
  <si>
    <t>INE423A07393</t>
  </si>
  <si>
    <t>930AEL30</t>
  </si>
  <si>
    <t>NF</t>
  </si>
  <si>
    <t>AEL 9.3% 2030 SR VII</t>
  </si>
  <si>
    <t>INE947N01017</t>
  </si>
  <si>
    <t>AEQUS</t>
  </si>
  <si>
    <t>AEQUS LIMITED</t>
  </si>
  <si>
    <t>INE065D01027</t>
  </si>
  <si>
    <t>AEROENTER</t>
  </si>
  <si>
    <t>AEROFLEX ENTERPRISES LTD</t>
  </si>
  <si>
    <t>INE024001021</t>
  </si>
  <si>
    <t>AEROFLEX</t>
  </si>
  <si>
    <t>AEROFLEX INDUSTRIES LTD</t>
  </si>
  <si>
    <t>INE035801013</t>
  </si>
  <si>
    <t>AERONEU</t>
  </si>
  <si>
    <t>AEROFLEX NEU LIMITED</t>
  </si>
  <si>
    <t>INE0WL801011</t>
  </si>
  <si>
    <t>AERON</t>
  </si>
  <si>
    <t>AERON COMPOSITE LIMITED</t>
  </si>
  <si>
    <t>INE0TSF01011</t>
  </si>
  <si>
    <t>AESTHETIK</t>
  </si>
  <si>
    <t>AESTHETIK ENGINEERS LTD</t>
  </si>
  <si>
    <t>INE0BWX01014</t>
  </si>
  <si>
    <t>AETHER</t>
  </si>
  <si>
    <t>AETHER INDUSTRIES LIMITED</t>
  </si>
  <si>
    <t>INE101I01011</t>
  </si>
  <si>
    <t>AFCONS</t>
  </si>
  <si>
    <t>AFCONS INFRASTRUCTURE LTD</t>
  </si>
  <si>
    <t>INE00WC01027</t>
  </si>
  <si>
    <t>AFFLE</t>
  </si>
  <si>
    <t>AFFLE 3I LIMITED</t>
  </si>
  <si>
    <t>INE692Z01013</t>
  </si>
  <si>
    <t>AFFORDABLE</t>
  </si>
  <si>
    <t>AFFORD ROBO &amp; AUTO LTD</t>
  </si>
  <si>
    <t>INE916Y07065</t>
  </si>
  <si>
    <t>1150AFIL28</t>
  </si>
  <si>
    <t>N0</t>
  </si>
  <si>
    <t>AFIL 11.50% 2028 SR 05</t>
  </si>
  <si>
    <t>INE916Y07032</t>
  </si>
  <si>
    <t>12AFIL27</t>
  </si>
  <si>
    <t>AFIL 12% 2027 SR 1</t>
  </si>
  <si>
    <t>INE916Y07057</t>
  </si>
  <si>
    <t>12AFIL28</t>
  </si>
  <si>
    <t>AFIL 12% 2028</t>
  </si>
  <si>
    <t>INE0MLA01012</t>
  </si>
  <si>
    <t>AGARWALFT</t>
  </si>
  <si>
    <t>AGARWAL FLOAT GLASS I LTD</t>
  </si>
  <si>
    <t>INE204E01012</t>
  </si>
  <si>
    <t>AGARIND</t>
  </si>
  <si>
    <t>AGARWAL INDS CORP LTD.</t>
  </si>
  <si>
    <t>INE0P8X01016</t>
  </si>
  <si>
    <t>AGARWALTUF</t>
  </si>
  <si>
    <t>AGARWAL TOUGH GLASS IND L</t>
  </si>
  <si>
    <t>INE415A01038</t>
  </si>
  <si>
    <t>AGI</t>
  </si>
  <si>
    <t>AGI GREENPAC LIMITED</t>
  </si>
  <si>
    <t>INE976R01033</t>
  </si>
  <si>
    <t>AGIIL</t>
  </si>
  <si>
    <t>AGI INFRA LIMITED</t>
  </si>
  <si>
    <t>INE0LF301013</t>
  </si>
  <si>
    <t>AGNI</t>
  </si>
  <si>
    <t>AGNI GREEN POWER LTD</t>
  </si>
  <si>
    <t>INE449G01018</t>
  </si>
  <si>
    <t>AGRITECH</t>
  </si>
  <si>
    <t>AGRI-TECH (INDIA) LIMITED</t>
  </si>
  <si>
    <t>INE740V01019</t>
  </si>
  <si>
    <t>AGROPHOS</t>
  </si>
  <si>
    <t>AGRO PHOS INDIA LIMITED</t>
  </si>
  <si>
    <t>INE583L01014</t>
  </si>
  <si>
    <t>AGSTRA</t>
  </si>
  <si>
    <t>BZ</t>
  </si>
  <si>
    <t>AGS TRANSACT TECH LTD</t>
  </si>
  <si>
    <t>INE00PV01013</t>
  </si>
  <si>
    <t>AHLADA</t>
  </si>
  <si>
    <t>AHLADA ENGINEERS LIMITED</t>
  </si>
  <si>
    <t>INE758C01029</t>
  </si>
  <si>
    <t>AHLUCONT</t>
  </si>
  <si>
    <t>AHLUWALIA CONT IND LTD</t>
  </si>
  <si>
    <t>INE212H01026</t>
  </si>
  <si>
    <t>AIAENG</t>
  </si>
  <si>
    <t>AIA ENGINEERING LIMITED</t>
  </si>
  <si>
    <t>INE0RUV01018</t>
  </si>
  <si>
    <t>AIMTRON</t>
  </si>
  <si>
    <t>AIMTRON ELECTRONICS LTD</t>
  </si>
  <si>
    <t>INE805A01014</t>
  </si>
  <si>
    <t>GOLDTECH</t>
  </si>
  <si>
    <t>AION-TECH SOLUTIONS LTD</t>
  </si>
  <si>
    <t>INE645W01026</t>
  </si>
  <si>
    <t>AIRAN</t>
  </si>
  <si>
    <t>AIRAN LIMITED</t>
  </si>
  <si>
    <t>INE801L01010</t>
  </si>
  <si>
    <t>AIROLAM</t>
  </si>
  <si>
    <t>AIRO LAM LIMITED</t>
  </si>
  <si>
    <t>INE031B01049</t>
  </si>
  <si>
    <t>AJANTPHARM</t>
  </si>
  <si>
    <t>AJANTA PHARMA LIMITED</t>
  </si>
  <si>
    <t>INE274Y01021</t>
  </si>
  <si>
    <t>AJAXENGG</t>
  </si>
  <si>
    <t>AJAX ENGINEERING LIMITED</t>
  </si>
  <si>
    <t>INE298G01035</t>
  </si>
  <si>
    <t>AJMERA</t>
  </si>
  <si>
    <t>AJMERA REALTY &amp; INF I LTD</t>
  </si>
  <si>
    <t>INE820Y01021</t>
  </si>
  <si>
    <t>AJOONI</t>
  </si>
  <si>
    <t>AJOONI BIOTECH LIMITED</t>
  </si>
  <si>
    <t>INE0PCY01014</t>
  </si>
  <si>
    <t>AKANKSHA</t>
  </si>
  <si>
    <t>AKANKSHA POWER N INFRA L</t>
  </si>
  <si>
    <t>INE737W01013</t>
  </si>
  <si>
    <t>AKASH</t>
  </si>
  <si>
    <t>AKASH INFRA-PROJECTS LTD</t>
  </si>
  <si>
    <t>INE00Y801016</t>
  </si>
  <si>
    <t>AKG</t>
  </si>
  <si>
    <t>AKG EXIM LIMITED</t>
  </si>
  <si>
    <t>INE642Z01026</t>
  </si>
  <si>
    <t>AKI</t>
  </si>
  <si>
    <t>AKI INDIA LIMITED</t>
  </si>
  <si>
    <t>INE0PMR01017</t>
  </si>
  <si>
    <t>AKIKO</t>
  </si>
  <si>
    <t>AKIKO GLOBAL SERVICES L</t>
  </si>
  <si>
    <t>INE916Y01027</t>
  </si>
  <si>
    <t>AFIL</t>
  </si>
  <si>
    <t>AKME FINTRADE (INDIA) LTD</t>
  </si>
  <si>
    <t>INE523B01011</t>
  </si>
  <si>
    <t>AKSHOPTFBR</t>
  </si>
  <si>
    <t>AKSH OPTIFIBRE  LTD</t>
  </si>
  <si>
    <t>INE256Z01025</t>
  </si>
  <si>
    <t>AKSHAR</t>
  </si>
  <si>
    <t>AKSHAR SPINTEX LIMITED</t>
  </si>
  <si>
    <t>INE542B01011</t>
  </si>
  <si>
    <t>AKSHARCHEM</t>
  </si>
  <si>
    <t>AKSHARCHEM INDIA LIMITED</t>
  </si>
  <si>
    <t>INE09XN01023</t>
  </si>
  <si>
    <t>AKUMS</t>
  </si>
  <si>
    <t>AKUMS DRUGS AND PHARMA L</t>
  </si>
  <si>
    <t>INE914E01040</t>
  </si>
  <si>
    <t>ALANKIT</t>
  </si>
  <si>
    <t>ALANKIT LIMITED</t>
  </si>
  <si>
    <t>INE155C01010</t>
  </si>
  <si>
    <t>ALBERTDAVD</t>
  </si>
  <si>
    <t>ALBERT DAVID LIMITED</t>
  </si>
  <si>
    <t>INE426A01027</t>
  </si>
  <si>
    <t>ALEMBICLTD</t>
  </si>
  <si>
    <t>ALEMBIC LIMITED</t>
  </si>
  <si>
    <t>INE901L01018</t>
  </si>
  <si>
    <t>APLLTD</t>
  </si>
  <si>
    <t>ALEMBIC PHARMA LTD</t>
  </si>
  <si>
    <t>INE782D01027</t>
  </si>
  <si>
    <t>ALFREDHE</t>
  </si>
  <si>
    <t>ALFRED HERBERT INDIA L</t>
  </si>
  <si>
    <t>INE598D01035</t>
  </si>
  <si>
    <t>ALGOQUANT</t>
  </si>
  <si>
    <t>ALGOQUANT FINTECH LIMITED</t>
  </si>
  <si>
    <t>INE062D01024</t>
  </si>
  <si>
    <t>ALICON</t>
  </si>
  <si>
    <t>ALICON CASTALLOY LIMITED</t>
  </si>
  <si>
    <t>INE03Q201024</t>
  </si>
  <si>
    <t>ALIVUS</t>
  </si>
  <si>
    <t>ALIVUS LIFE SCIENCES LTD</t>
  </si>
  <si>
    <t>INE773I01017</t>
  </si>
  <si>
    <t>ALKALI</t>
  </si>
  <si>
    <t>ALKALI METALS LTD</t>
  </si>
  <si>
    <t>INE540L01014</t>
  </si>
  <si>
    <t>ALKEM</t>
  </si>
  <si>
    <t>ALKEM LABORATORIES LTD.</t>
  </si>
  <si>
    <t>INE150B01039</t>
  </si>
  <si>
    <t>ALKYLAMINE</t>
  </si>
  <si>
    <t>ALKYL AMINES CHEM. LTD</t>
  </si>
  <si>
    <t>INE0M2X01012</t>
  </si>
  <si>
    <t>ALLETEC</t>
  </si>
  <si>
    <t>ALL E TECHNOLOGIES LTD</t>
  </si>
  <si>
    <t>INE0GV601021</t>
  </si>
  <si>
    <t>ALLTIME</t>
  </si>
  <si>
    <t>ALL TIME PLASTICS LIMITED</t>
  </si>
  <si>
    <t>INE1YPB01014</t>
  </si>
  <si>
    <t>AGL</t>
  </si>
  <si>
    <t>ALLCARGO GLOBAL LIMITED</t>
  </si>
  <si>
    <t>INE418H01029</t>
  </si>
  <si>
    <t>ALLCARGO</t>
  </si>
  <si>
    <t>ALLCARGO LOGISTICS LTD</t>
  </si>
  <si>
    <t>INE0NN701020</t>
  </si>
  <si>
    <t>ATL</t>
  </si>
  <si>
    <t>ALLCARGO TERMINALS LTD</t>
  </si>
  <si>
    <t>INE835G01018</t>
  </si>
  <si>
    <t>ALLDIGI</t>
  </si>
  <si>
    <t>ALLDIGI TECH LIMITED</t>
  </si>
  <si>
    <t>INE552Z01027</t>
  </si>
  <si>
    <t>ABDL</t>
  </si>
  <si>
    <t>ALLIED BLEND N DISTILS L</t>
  </si>
  <si>
    <t>INE102I01027</t>
  </si>
  <si>
    <t>ADSL</t>
  </si>
  <si>
    <t>ALLIED DIGITAL SERV. LTD</t>
  </si>
  <si>
    <t>INE326B01035</t>
  </si>
  <si>
    <t>ALMONDZ</t>
  </si>
  <si>
    <t>ALMONDZ GLOBAL SEC LTD</t>
  </si>
  <si>
    <t>INE270A01029</t>
  </si>
  <si>
    <t>ALOKINDS</t>
  </si>
  <si>
    <t>ALOK INDUSTRIES LIMITED</t>
  </si>
  <si>
    <t>INE385I01010</t>
  </si>
  <si>
    <t>ALPA</t>
  </si>
  <si>
    <t>ALPA LABORATORIES LTD</t>
  </si>
  <si>
    <t>INE0R4701017</t>
  </si>
  <si>
    <t>ALPEXSOLAR</t>
  </si>
  <si>
    <t>ALPEX SOLAR LIMITED</t>
  </si>
  <si>
    <t>INE137C01018</t>
  </si>
  <si>
    <t>ALPHAGEO</t>
  </si>
  <si>
    <t>ALPHAGEO (INDIA) LIMITED</t>
  </si>
  <si>
    <t>INE1JCQ01037</t>
  </si>
  <si>
    <t>ALPINETEX</t>
  </si>
  <si>
    <t>ALPINE TEXWORLD LIMITED</t>
  </si>
  <si>
    <t>INE058F01019</t>
  </si>
  <si>
    <t>ALUFLUOR</t>
  </si>
  <si>
    <t>ALUFLUORIDE LTD.</t>
  </si>
  <si>
    <t>INE0STM01017</t>
  </si>
  <si>
    <t>ALUWIND</t>
  </si>
  <si>
    <t>ALUWIND INFRA-TECH LTD</t>
  </si>
  <si>
    <t>INE121R01077</t>
  </si>
  <si>
    <t>AMAGI</t>
  </si>
  <si>
    <t>AMAGI MEDIA LABS LIMITED</t>
  </si>
  <si>
    <t>INE841D01013</t>
  </si>
  <si>
    <t>AMAL</t>
  </si>
  <si>
    <t>AMAL LTD.</t>
  </si>
  <si>
    <t>INE084K01015</t>
  </si>
  <si>
    <t>AMANTA</t>
  </si>
  <si>
    <t>AMANTA HEALTHCARE LIMITED</t>
  </si>
  <si>
    <t>INE885A01032</t>
  </si>
  <si>
    <t>ARE&amp;M</t>
  </si>
  <si>
    <t>AMARA RAJA ENERGY MOB LTD</t>
  </si>
  <si>
    <t>INE484D01012</t>
  </si>
  <si>
    <t>AMARJOTHI</t>
  </si>
  <si>
    <t>AMARJOTHI SPINNING MILL L</t>
  </si>
  <si>
    <t>INE293601014</t>
  </si>
  <si>
    <t>AMBAAUTO</t>
  </si>
  <si>
    <t>AMBA AUTO SALES AND SER L</t>
  </si>
  <si>
    <t>INE432A01017</t>
  </si>
  <si>
    <t>AMBALALSA</t>
  </si>
  <si>
    <t>AMBALAL SARABHAI ENT L</t>
  </si>
  <si>
    <t>INE371P01015</t>
  </si>
  <si>
    <t>AMBER</t>
  </si>
  <si>
    <t>AMBER ENTERPRISES (I) LTD</t>
  </si>
  <si>
    <t>INE792B01012</t>
  </si>
  <si>
    <t>AMBICAAGAR</t>
  </si>
  <si>
    <t>AMBICA AGAR &amp; AROMAINDLTD</t>
  </si>
  <si>
    <t>INE540G01014</t>
  </si>
  <si>
    <t>AMBIKCO</t>
  </si>
  <si>
    <t>AMBIKA COTTON MILL LTD.</t>
  </si>
  <si>
    <t>INE079A01024</t>
  </si>
  <si>
    <t>AMBUJACEM</t>
  </si>
  <si>
    <t>AMBUJA CEMENTS LTD</t>
  </si>
  <si>
    <t>INE005I01014</t>
  </si>
  <si>
    <t>AMDIND</t>
  </si>
  <si>
    <t>AMD INDUSTRIES LIMITED</t>
  </si>
  <si>
    <t>INE0KT901015</t>
  </si>
  <si>
    <t>AMEYA</t>
  </si>
  <si>
    <t>AMEYA PRECISION ENG LTD</t>
  </si>
  <si>
    <t>INE275D01022</t>
  </si>
  <si>
    <t>AMNPLST</t>
  </si>
  <si>
    <t>AMINES &amp; PLASTICIZERS LTD</t>
  </si>
  <si>
    <t>INE05TO01019</t>
  </si>
  <si>
    <t>AEROPLANE</t>
  </si>
  <si>
    <t>AMIR CHAND JAG KUM (E) L</t>
  </si>
  <si>
    <t>INE606A01024</t>
  </si>
  <si>
    <t>AMJLAND</t>
  </si>
  <si>
    <t>AMJ LAND HOLDINGS LIMITED</t>
  </si>
  <si>
    <t>INE098F01031</t>
  </si>
  <si>
    <t>AMRUTANJAN</t>
  </si>
  <si>
    <t>AMRUTAJAN HEALTH LTD</t>
  </si>
  <si>
    <t>INE549H01021</t>
  </si>
  <si>
    <t>ARSSBL</t>
  </si>
  <si>
    <t>ANAND RATHI SH N STK BR L</t>
  </si>
  <si>
    <t>INE463V01026</t>
  </si>
  <si>
    <t>ANANDRATHI</t>
  </si>
  <si>
    <t>ANAND RATHI WEALTH LTD</t>
  </si>
  <si>
    <t>INE242C01024</t>
  </si>
  <si>
    <t>ANANTRAJ</t>
  </si>
  <si>
    <t>ANANT RAJ LIMITED</t>
  </si>
  <si>
    <t>INE1UA823019</t>
  </si>
  <si>
    <t>ANANTAM</t>
  </si>
  <si>
    <t>IV</t>
  </si>
  <si>
    <t>ANANTAM HIGHWAYS TRUST</t>
  </si>
  <si>
    <t>INE1J5V01013</t>
  </si>
  <si>
    <t>ANAWIL</t>
  </si>
  <si>
    <t>ANAWIL WIRE AND ENGIN LTD</t>
  </si>
  <si>
    <t>INE0VG001016</t>
  </si>
  <si>
    <t>AMCL</t>
  </si>
  <si>
    <t>ANB METAL CAST LIMITED</t>
  </si>
  <si>
    <t>INE666E01020</t>
  </si>
  <si>
    <t>ACL</t>
  </si>
  <si>
    <t>ANDHRA CEMENTS LIMITED</t>
  </si>
  <si>
    <t>INE435A01051</t>
  </si>
  <si>
    <t>ANDHRAPAP</t>
  </si>
  <si>
    <t>ANDHRA PAPER LIMITED</t>
  </si>
  <si>
    <t>INE715B01021</t>
  </si>
  <si>
    <t>ANDHRSUGAR</t>
  </si>
  <si>
    <t>ANDHRA SUGARS LTD</t>
  </si>
  <si>
    <t>INE449C01025</t>
  </si>
  <si>
    <t>ANDREWYU</t>
  </si>
  <si>
    <t>ANDREW YULE &amp; CO. LTD.</t>
  </si>
  <si>
    <t>INE732I01021</t>
  </si>
  <si>
    <t>ANGELONE</t>
  </si>
  <si>
    <t>ANGEL ONE LIMITED</t>
  </si>
  <si>
    <t>INE087B01017</t>
  </si>
  <si>
    <t>ANIKINDS</t>
  </si>
  <si>
    <t>ANIK INDUSTRIES LTD</t>
  </si>
  <si>
    <t>INE071F01012</t>
  </si>
  <si>
    <t>APCL</t>
  </si>
  <si>
    <t>ANJANI PORTLAND CEM LTD</t>
  </si>
  <si>
    <t>INE106I01010</t>
  </si>
  <si>
    <t>ANKITMETAL</t>
  </si>
  <si>
    <t>ANKIT MET &amp; POW LTD</t>
  </si>
  <si>
    <t>INE0Y8W01025</t>
  </si>
  <si>
    <t>AHCL</t>
  </si>
  <si>
    <t>ANLON HEALTHCARE LIMITED</t>
  </si>
  <si>
    <t>INE0LR101013</t>
  </si>
  <si>
    <t>ANLON</t>
  </si>
  <si>
    <t>ANLON TECHNOLOGY SOL LTD</t>
  </si>
  <si>
    <t>INE02AR01019</t>
  </si>
  <si>
    <t>ANMOL</t>
  </si>
  <si>
    <t>ANMOL INDIA LIMITED</t>
  </si>
  <si>
    <t>INE0MGM01017</t>
  </si>
  <si>
    <t>ANNAPURNA</t>
  </si>
  <si>
    <t>ANNAPURNA SWADISHT LTD</t>
  </si>
  <si>
    <t>INE103001017</t>
  </si>
  <si>
    <t>ANNU</t>
  </si>
  <si>
    <t>ANNU PROJECTS LIMITED</t>
  </si>
  <si>
    <t>INE0VTV01012</t>
  </si>
  <si>
    <t>ANONDITA</t>
  </si>
  <si>
    <t>ANONDITA MEDICARE LIMITED</t>
  </si>
  <si>
    <t>INE0VTV20012</t>
  </si>
  <si>
    <t>ANOND-RE</t>
  </si>
  <si>
    <t>ANONDITA MEDICARE LTD</t>
  </si>
  <si>
    <t>INE030C01015</t>
  </si>
  <si>
    <t>ANSALBU</t>
  </si>
  <si>
    <t>ANSAL BUILDWELL LTD.</t>
  </si>
  <si>
    <t>INE436A01026</t>
  </si>
  <si>
    <t>ANSALAPI</t>
  </si>
  <si>
    <t>ANSAL PROP &amp; INFRA LTD</t>
  </si>
  <si>
    <t>INE414B01021</t>
  </si>
  <si>
    <t>ANTGRAPHIC</t>
  </si>
  <si>
    <t>ANTARCTICA LTD</t>
  </si>
  <si>
    <t>INE818A01017</t>
  </si>
  <si>
    <t>ANTELOPUS</t>
  </si>
  <si>
    <t>ANTELOPUS SELAN ENRGY LTD</t>
  </si>
  <si>
    <t>INE0CZ201020</t>
  </si>
  <si>
    <t>ANTHEM</t>
  </si>
  <si>
    <t>ANTHEM BIOSCIENCES LTD</t>
  </si>
  <si>
    <t>INE01BK01022</t>
  </si>
  <si>
    <t>AWHCL</t>
  </si>
  <si>
    <t>ANTONY WASTE HDG CELL LTD</t>
  </si>
  <si>
    <t>INE489G01022</t>
  </si>
  <si>
    <t>ANUHPHR</t>
  </si>
  <si>
    <t>ANUH PHARMA LIMITED</t>
  </si>
  <si>
    <t>INE930P01018</t>
  </si>
  <si>
    <t>ANURAS</t>
  </si>
  <si>
    <t>ANUPAM RASAYAN INDIA LTD</t>
  </si>
  <si>
    <t>INE0SI601032</t>
  </si>
  <si>
    <t>ANYA</t>
  </si>
  <si>
    <t>ANYA POLYTECH &amp; FERTI LTD</t>
  </si>
  <si>
    <t>INE0MIZ23019</t>
  </si>
  <si>
    <t>ANZEN</t>
  </si>
  <si>
    <t>ANZEN IND ENE YLD PLU TRU</t>
  </si>
  <si>
    <t>INF1J2R01114</t>
  </si>
  <si>
    <t>AONEGOLD</t>
  </si>
  <si>
    <t>AONEAMC - AONEGOLD</t>
  </si>
  <si>
    <t>INF1J2R01056</t>
  </si>
  <si>
    <t>AONELIQUID</t>
  </si>
  <si>
    <t>AONEAMC - AONELIQUID</t>
  </si>
  <si>
    <t>INF1J2R01064</t>
  </si>
  <si>
    <t>AONENIFTY</t>
  </si>
  <si>
    <t>AONEAMC - AONENIFTY</t>
  </si>
  <si>
    <t>INF1J2R01171</t>
  </si>
  <si>
    <t>AONESILVER</t>
  </si>
  <si>
    <t>AONEAMC - AONESILVER</t>
  </si>
  <si>
    <t>INF1J2R01148</t>
  </si>
  <si>
    <t>AONETMMQ50</t>
  </si>
  <si>
    <t>AONEAMC - AONETMMQ50</t>
  </si>
  <si>
    <t>INF1J2R01015</t>
  </si>
  <si>
    <t>AONETOTAL</t>
  </si>
  <si>
    <t>AONEAMC - AONETOTAL</t>
  </si>
  <si>
    <t>INE372A01015</t>
  </si>
  <si>
    <t>APARINDS</t>
  </si>
  <si>
    <t>APAR INDUSTRIES LTD.</t>
  </si>
  <si>
    <t>INE116A01032</t>
  </si>
  <si>
    <t>APCOTEXIND</t>
  </si>
  <si>
    <t>APCOTEX INDUSTRIES LIMITE</t>
  </si>
  <si>
    <t>INE0T4V01015</t>
  </si>
  <si>
    <t>APEXECO</t>
  </si>
  <si>
    <t>APEX ECOTECH LIMITED</t>
  </si>
  <si>
    <t>INE346W01013</t>
  </si>
  <si>
    <t>APEX</t>
  </si>
  <si>
    <t>APEX FROZEN FOODS LIMITED</t>
  </si>
  <si>
    <t>INE702C01027</t>
  </si>
  <si>
    <t>APLAPOLLO</t>
  </si>
  <si>
    <t>APL APOLLO TUBES LTD</t>
  </si>
  <si>
    <t>INE0TLC07044</t>
  </si>
  <si>
    <t>930APMD34</t>
  </si>
  <si>
    <t>APMDC 9.30% 2034 STRPP H</t>
  </si>
  <si>
    <t>INE437A01024</t>
  </si>
  <si>
    <t>APOLLOHOSP</t>
  </si>
  <si>
    <t>APOLLO HOSPITALS ENTER. L</t>
  </si>
  <si>
    <t>INE713T01028</t>
  </si>
  <si>
    <t>APOLLO</t>
  </si>
  <si>
    <t>APOLLO MICRO SYSTEMS LTD</t>
  </si>
  <si>
    <t>INE126J01016</t>
  </si>
  <si>
    <t>APOLLOPIPE</t>
  </si>
  <si>
    <t>APOLLO PIPES LIMITED</t>
  </si>
  <si>
    <t>INE451F01024</t>
  </si>
  <si>
    <t>APOLSINHOT</t>
  </si>
  <si>
    <t>APOLLO SINDOORI HOTEL LTD</t>
  </si>
  <si>
    <t>INE438A01022</t>
  </si>
  <si>
    <t>APOLLOTYRE</t>
  </si>
  <si>
    <t>APOLLO TYRES LTD</t>
  </si>
  <si>
    <t>INE217S01014</t>
  </si>
  <si>
    <t>APOORVA</t>
  </si>
  <si>
    <t>APOORVA LEAS F &amp; INV C L</t>
  </si>
  <si>
    <t>INE0LQG01010</t>
  </si>
  <si>
    <t>APRAMEYA</t>
  </si>
  <si>
    <t>APRAMEYA ENGINEERING LTD</t>
  </si>
  <si>
    <t>INE1OOJ01011</t>
  </si>
  <si>
    <t>APSISAERO</t>
  </si>
  <si>
    <t>APSIS AEROCOM LIMITED</t>
  </si>
  <si>
    <t>INE266F01018</t>
  </si>
  <si>
    <t>APTECHT</t>
  </si>
  <si>
    <t>APTECH LIMITED</t>
  </si>
  <si>
    <t>INE852O01025</t>
  </si>
  <si>
    <t>APTUS</t>
  </si>
  <si>
    <t>APTUS VALUE HSG FIN I LTD</t>
  </si>
  <si>
    <t>INE416A01051</t>
  </si>
  <si>
    <t>AQYLON</t>
  </si>
  <si>
    <t>AQYLON NEXUS LIMITED</t>
  </si>
  <si>
    <t>INE08NJ01024</t>
  </si>
  <si>
    <t>ARABIAN</t>
  </si>
  <si>
    <t>ARABIAN PETROLEUM LIMITED</t>
  </si>
  <si>
    <t>INE0YDV01010</t>
  </si>
  <si>
    <t>ARCIIL</t>
  </si>
  <si>
    <t>ARC INSULATION &amp; INSU LTD</t>
  </si>
  <si>
    <t>INE128X01021</t>
  </si>
  <si>
    <t>ACI</t>
  </si>
  <si>
    <t>ARCHEAN CHEMICAL IND LTD</t>
  </si>
  <si>
    <t>INE0CHO01012</t>
  </si>
  <si>
    <t>ADL</t>
  </si>
  <si>
    <t>ARCHIDPLY DECOR LIMITED</t>
  </si>
  <si>
    <t>INE877I01016</t>
  </si>
  <si>
    <t>ARCHIDPLY</t>
  </si>
  <si>
    <t>ARCHIDPLY IND. LTD</t>
  </si>
  <si>
    <t>INE731A01020</t>
  </si>
  <si>
    <t>ARCHIES</t>
  </si>
  <si>
    <t>ARCHIES LTD</t>
  </si>
  <si>
    <t>INE372M01010</t>
  </si>
  <si>
    <t>ARCL</t>
  </si>
  <si>
    <t>ARCL ORGANICS LTD.</t>
  </si>
  <si>
    <t>INE0XNF01022</t>
  </si>
  <si>
    <t>ARDEE</t>
  </si>
  <si>
    <t>ARDEE INDUSTRIES LIMITED</t>
  </si>
  <si>
    <t>INE784R01023</t>
  </si>
  <si>
    <t>ARFIN</t>
  </si>
  <si>
    <t>ARFIN INDIA LIMITED</t>
  </si>
  <si>
    <t>INE0L2Y01011</t>
  </si>
  <si>
    <t>ARHAM</t>
  </si>
  <si>
    <t>ARHAM TECHNOLOGIES LTD</t>
  </si>
  <si>
    <t>INE298I01015</t>
  </si>
  <si>
    <t>ARIES</t>
  </si>
  <si>
    <t>ARIES AGRO LTD.</t>
  </si>
  <si>
    <t>INE420B01036</t>
  </si>
  <si>
    <t>ARIHANTCAP</t>
  </si>
  <si>
    <t>ARIHANT CAPITAL MKTS LTD</t>
  </si>
  <si>
    <t>INE413D01011</t>
  </si>
  <si>
    <t>ARIHANT</t>
  </si>
  <si>
    <t>ARIHANT FOUN &amp; HOU LTD</t>
  </si>
  <si>
    <t>INE643K01018</t>
  </si>
  <si>
    <t>ARIHANTSUP</t>
  </si>
  <si>
    <t>ARIHANT SUPERSTRUCT LTD</t>
  </si>
  <si>
    <t>INE0H9P01028</t>
  </si>
  <si>
    <t>ARIS</t>
  </si>
  <si>
    <t>ARISINFRA SOLUTIONS LTD</t>
  </si>
  <si>
    <t>INE0QRL01017</t>
  </si>
  <si>
    <t>ARKADE</t>
  </si>
  <si>
    <t>ARKADE DEVELOPERS LIMITED</t>
  </si>
  <si>
    <t>INE109C01017</t>
  </si>
  <si>
    <t>ARMANFIN</t>
  </si>
  <si>
    <t>ARMAN FIN SERV LTD</t>
  </si>
  <si>
    <t>INE0TZX01019</t>
  </si>
  <si>
    <t>ARMOUR</t>
  </si>
  <si>
    <t>ARMOUR SECURITY (INDIA) L</t>
  </si>
  <si>
    <t>INE210C01013</t>
  </si>
  <si>
    <t>AROGRANITE</t>
  </si>
  <si>
    <t>ARO GRANITE IND. LTD.</t>
  </si>
  <si>
    <t>INE570D01018</t>
  </si>
  <si>
    <t>ARROWGREEN</t>
  </si>
  <si>
    <t>ARROW GREENTECH LIMITED</t>
  </si>
  <si>
    <t>INE968D01022</t>
  </si>
  <si>
    <t>ARSHIYA</t>
  </si>
  <si>
    <t>ARSHIYA LIMITED</t>
  </si>
  <si>
    <t>INE738V01013</t>
  </si>
  <si>
    <t>ARTNIRMAN</t>
  </si>
  <si>
    <t>ART NIRMAN LIMITED</t>
  </si>
  <si>
    <t>INE757T01025</t>
  </si>
  <si>
    <t>AEPL</t>
  </si>
  <si>
    <t>ARTEMIS ELECTRICALS &amp; P L</t>
  </si>
  <si>
    <t>INE025R01021</t>
  </si>
  <si>
    <t>ARTEMISMED</t>
  </si>
  <si>
    <t>ARTEMIS MED SERVICE LTD</t>
  </si>
  <si>
    <t>INE0TTG01017</t>
  </si>
  <si>
    <t>ARUNAYA</t>
  </si>
  <si>
    <t>ARUNAYA ORGANICS LIMITED</t>
  </si>
  <si>
    <t>INE006Z01016</t>
  </si>
  <si>
    <t>ARVEE</t>
  </si>
  <si>
    <t>ARVEE LABORATORIES I LTD</t>
  </si>
  <si>
    <t>INE955V01021</t>
  </si>
  <si>
    <t>ARVINDFASN</t>
  </si>
  <si>
    <t>ARVIND FASHIONS LIMITED</t>
  </si>
  <si>
    <t>INE034A01011</t>
  </si>
  <si>
    <t>ARVIND</t>
  </si>
  <si>
    <t>ARVIND LIMITED</t>
  </si>
  <si>
    <t>INE0P4T01013</t>
  </si>
  <si>
    <t>ARVINDPORT</t>
  </si>
  <si>
    <t>ARVIND PORT AND INFRA LTD</t>
  </si>
  <si>
    <t>INE034S01021</t>
  </si>
  <si>
    <t>ARVSMART</t>
  </si>
  <si>
    <t>ARVIND SMARTSPACES LTD</t>
  </si>
  <si>
    <t>INE032E01017</t>
  </si>
  <si>
    <t>ARYAMAN</t>
  </si>
  <si>
    <t>ARYAMAN FINANCIAL SERV L</t>
  </si>
  <si>
    <t>INE439A01020</t>
  </si>
  <si>
    <t>ASAHIINDIA</t>
  </si>
  <si>
    <t>ASAHI INDIA GLASS LIMITED</t>
  </si>
  <si>
    <t>INE228I01012</t>
  </si>
  <si>
    <t>ASAHISONG</t>
  </si>
  <si>
    <t>ASAHI SONGWON COLOR LTD</t>
  </si>
  <si>
    <t>INE0LAA01017</t>
  </si>
  <si>
    <t>ASHALOG</t>
  </si>
  <si>
    <t>ASHAPURA LOGISTICS LTD</t>
  </si>
  <si>
    <t>INE348A01023</t>
  </si>
  <si>
    <t>ASHAPURA MINECHEM LTD</t>
  </si>
  <si>
    <t>INE365D01021</t>
  </si>
  <si>
    <t>ASHIANA</t>
  </si>
  <si>
    <t>ASHIANA HOUSING LTD</t>
  </si>
  <si>
    <t>INE094B01013</t>
  </si>
  <si>
    <t>ASHIKAG</t>
  </si>
  <si>
    <t>ASHIKA GLOBAL SEC LTD</t>
  </si>
  <si>
    <t>INE440A01010</t>
  </si>
  <si>
    <t>ASHIMASYN</t>
  </si>
  <si>
    <t>ASHIMA LTD</t>
  </si>
  <si>
    <t>INE208A01029</t>
  </si>
  <si>
    <t>ASHOKLEY</t>
  </si>
  <si>
    <t>ASHOK LEYLAND LTD</t>
  </si>
  <si>
    <t>INE442H01029</t>
  </si>
  <si>
    <t>ASHOKA</t>
  </si>
  <si>
    <t>ASHOKA BUILDCON LTD</t>
  </si>
  <si>
    <t>INE760Y01011</t>
  </si>
  <si>
    <t>ASHOKAMET</t>
  </si>
  <si>
    <t>ASHOKA METCAST LIMITED</t>
  </si>
  <si>
    <t>INE19FR01012</t>
  </si>
  <si>
    <t>ASHUTOSH</t>
  </si>
  <si>
    <t>ASHUTOSH FIBRE LIMITED</t>
  </si>
  <si>
    <t>INE1A6Q01010</t>
  </si>
  <si>
    <t>ASHWINI</t>
  </si>
  <si>
    <t>ASHWINI CONTAINER MOVER L</t>
  </si>
  <si>
    <t>INE276G01015</t>
  </si>
  <si>
    <t>ASIANENE</t>
  </si>
  <si>
    <t>ASIAN ENERGY SERVICES LTD</t>
  </si>
  <si>
    <t>INE022I01019</t>
  </si>
  <si>
    <t>ASIANTILES</t>
  </si>
  <si>
    <t>ASIAN GRANITO IND. LTD.</t>
  </si>
  <si>
    <t>INE926K01017</t>
  </si>
  <si>
    <t>AHLEAST</t>
  </si>
  <si>
    <t>ASIAN HOTELS (EAST) LTD</t>
  </si>
  <si>
    <t>INE363A01022</t>
  </si>
  <si>
    <t>ASIANHOTNR</t>
  </si>
  <si>
    <t>ASIAN HOTELS (NORTH) LTD</t>
  </si>
  <si>
    <t>INE915K01010</t>
  </si>
  <si>
    <t>AHLWEST</t>
  </si>
  <si>
    <t>ASIAN HOTELS (WEST) LTD</t>
  </si>
  <si>
    <t>INE021A01026</t>
  </si>
  <si>
    <t>ASIANPAINT</t>
  </si>
  <si>
    <t>ASIAN PAINTS LIMITED</t>
  </si>
  <si>
    <t>INE194D01017</t>
  </si>
  <si>
    <t>ASTAR</t>
  </si>
  <si>
    <t>ASIAN STAR CO. LTD.</t>
  </si>
  <si>
    <t>INE822B01017</t>
  </si>
  <si>
    <t>ASIANTNE</t>
  </si>
  <si>
    <t>ASIAN TEA &amp; EXPORTS LTD.</t>
  </si>
  <si>
    <t>INE491J01022</t>
  </si>
  <si>
    <t>ASKAUTOLTD</t>
  </si>
  <si>
    <t>ASK AUTOMOTIVE LIMITED</t>
  </si>
  <si>
    <t>INE991I01015</t>
  </si>
  <si>
    <t>ASPINWALL</t>
  </si>
  <si>
    <t>ASPINWALL &amp; CO LTD</t>
  </si>
  <si>
    <t>INE073G01016</t>
  </si>
  <si>
    <t>ASALCBR</t>
  </si>
  <si>
    <t>ASSO ALCOHOLS &amp; BREW LTD</t>
  </si>
  <si>
    <t>INE563J01010</t>
  </si>
  <si>
    <t>ASTEC</t>
  </si>
  <si>
    <t>ASTEC LIFESCIENCES LTD</t>
  </si>
  <si>
    <t>INE914M01019</t>
  </si>
  <si>
    <t>ASTERDM</t>
  </si>
  <si>
    <t>ASTER DM QUALITY CARE LTD</t>
  </si>
  <si>
    <t>INE386C01029</t>
  </si>
  <si>
    <t>ASTRA MICROWAVE LTD</t>
  </si>
  <si>
    <t>INE006I01046</t>
  </si>
  <si>
    <t>ASTRAL</t>
  </si>
  <si>
    <t>ASTRAL LIMITED</t>
  </si>
  <si>
    <t>INE203A01020</t>
  </si>
  <si>
    <t>ASTRAZEN</t>
  </si>
  <si>
    <t>ASTRAZENECA PHARMA IND LT</t>
  </si>
  <si>
    <t>INE646X01014</t>
  </si>
  <si>
    <t>ASTRON</t>
  </si>
  <si>
    <t>ASTRON PAPER BORD MIL LTD</t>
  </si>
  <si>
    <t>INE0ALR01029</t>
  </si>
  <si>
    <t>ATALREAL</t>
  </si>
  <si>
    <t>ATAL REALTECH LIMITED</t>
  </si>
  <si>
    <t>INE09KD01013</t>
  </si>
  <si>
    <t>ATAM</t>
  </si>
  <si>
    <t>ATAM VALVES LIMITED</t>
  </si>
  <si>
    <t>INE0V0Q01019</t>
  </si>
  <si>
    <t>ATCENERGY</t>
  </si>
  <si>
    <t>ATC ENERGIES SYSTEM LTD</t>
  </si>
  <si>
    <t>INE0LEZ01016</t>
  </si>
  <si>
    <t>ATHER ENERGY LIMITED</t>
  </si>
  <si>
    <t>IN90NN701011</t>
  </si>
  <si>
    <t>ATLPP</t>
  </si>
  <si>
    <t>E1</t>
  </si>
  <si>
    <t>ATL RE.0.50 PPD UP</t>
  </si>
  <si>
    <t>INE0Z4F01028</t>
  </si>
  <si>
    <t>ATLANTAELE</t>
  </si>
  <si>
    <t>ATLANTA ELECTRICALS LTD</t>
  </si>
  <si>
    <t>INE285H01022</t>
  </si>
  <si>
    <t>ATLANTAA</t>
  </si>
  <si>
    <t>ATLANTAA LIMITED</t>
  </si>
  <si>
    <t>INE446A01025</t>
  </si>
  <si>
    <t>ATLASCYCLE</t>
  </si>
  <si>
    <t>ATLAS CYCLE (HARYANA) LTD</t>
  </si>
  <si>
    <t>INE05DH01017</t>
  </si>
  <si>
    <t>ATMASTCO</t>
  </si>
  <si>
    <t>ATMASTCO LIMITED</t>
  </si>
  <si>
    <t>INE951D01028</t>
  </si>
  <si>
    <t>ATULAUTO</t>
  </si>
  <si>
    <t>ATUL AUTO LIMITED</t>
  </si>
  <si>
    <t>INE100A01010</t>
  </si>
  <si>
    <t>ATUL</t>
  </si>
  <si>
    <t>ATUL LTD</t>
  </si>
  <si>
    <t>INE949L01017</t>
  </si>
  <si>
    <t>AUBANK</t>
  </si>
  <si>
    <t>AU SMALL FINANCE BANK LTD</t>
  </si>
  <si>
    <t>INE16W401027</t>
  </si>
  <si>
    <t>AUGMONT</t>
  </si>
  <si>
    <t>AUGMONT ENTERPRISES LTD</t>
  </si>
  <si>
    <t>INE132H01018</t>
  </si>
  <si>
    <t>AURIONPRO SOLN LTD</t>
  </si>
  <si>
    <t>INE0NUL01018</t>
  </si>
  <si>
    <t>AUROIMPEX</t>
  </si>
  <si>
    <t>AURO IMPEX &amp; CHEMICALS L</t>
  </si>
  <si>
    <t>INE406A01037</t>
  </si>
  <si>
    <t>AUROPHARMA</t>
  </si>
  <si>
    <t>AUROBINDO PHARMA LTD</t>
  </si>
  <si>
    <t>INE898S01029</t>
  </si>
  <si>
    <t>AURUM</t>
  </si>
  <si>
    <t>AURUM PROPTECH LIMITED</t>
  </si>
  <si>
    <t>INE142K01011</t>
  </si>
  <si>
    <t>AURUS</t>
  </si>
  <si>
    <t>AURUS GEM CORP LIMITED</t>
  </si>
  <si>
    <t>INE218C01016</t>
  </si>
  <si>
    <t>AUSOMENT</t>
  </si>
  <si>
    <t>AUSOM ENTERPRISE LIMITED</t>
  </si>
  <si>
    <t>INE759F01012</t>
  </si>
  <si>
    <t>AUSTENG</t>
  </si>
  <si>
    <t>AUSTIN ENGINEERING CO. L</t>
  </si>
  <si>
    <t>INE0P0001010</t>
  </si>
  <si>
    <t>APS</t>
  </si>
  <si>
    <t>AUSTRALIAN PREM SOLAR I L</t>
  </si>
  <si>
    <t>INE206F01022</t>
  </si>
  <si>
    <t>AIIL</t>
  </si>
  <si>
    <t>AUTHUM INVEST &amp; INFRA LTD</t>
  </si>
  <si>
    <t>INE718H01014</t>
  </si>
  <si>
    <t>AUTOIND</t>
  </si>
  <si>
    <t>AUTOLINE INDUSTRIES LTD</t>
  </si>
  <si>
    <t>INE451C01013</t>
  </si>
  <si>
    <t>ACGL</t>
  </si>
  <si>
    <t>AUTOMOBILE CORPN OF GOA L</t>
  </si>
  <si>
    <t>INE449A01011</t>
  </si>
  <si>
    <t>AUTOAXLES</t>
  </si>
  <si>
    <t>AUTOMOTIVE AXLES LIMITED</t>
  </si>
  <si>
    <t>INE900C01027</t>
  </si>
  <si>
    <t>ASAL</t>
  </si>
  <si>
    <t>AUTOMOTIVE STAMPINGS &amp; AS</t>
  </si>
  <si>
    <t>INE349W01017</t>
  </si>
  <si>
    <t>AVADHSUGAR</t>
  </si>
  <si>
    <t>AVADH SUG &amp; ENERGY LTD</t>
  </si>
  <si>
    <t>INE0LCL01028</t>
  </si>
  <si>
    <t>AVALON TECHNOLOGIES LTD</t>
  </si>
  <si>
    <t>INE1KU201016</t>
  </si>
  <si>
    <t>AVANA</t>
  </si>
  <si>
    <t>AVANA ELECTROSYSTEMS LTD</t>
  </si>
  <si>
    <t>INE758A01072</t>
  </si>
  <si>
    <t>AVANCE</t>
  </si>
  <si>
    <t>AVANCE TECHNOLOGIES LTD.</t>
  </si>
  <si>
    <t>INE005B01027</t>
  </si>
  <si>
    <t>AVANTEL</t>
  </si>
  <si>
    <t>AVANTEL LIMITED</t>
  </si>
  <si>
    <t>INE871C01038</t>
  </si>
  <si>
    <t>AVANTIFEED</t>
  </si>
  <si>
    <t>AVANTI FEEDS LIMITED</t>
  </si>
  <si>
    <t>INE192R01011</t>
  </si>
  <si>
    <t>DMART</t>
  </si>
  <si>
    <t>AVENUE SUPERMARTS LIMITED</t>
  </si>
  <si>
    <t>INE483S01020</t>
  </si>
  <si>
    <t>CCAVENUE</t>
  </si>
  <si>
    <t>AVENUESAI LIMITED</t>
  </si>
  <si>
    <t>INE680Z01018</t>
  </si>
  <si>
    <t>AVG</t>
  </si>
  <si>
    <t>AVG LOGISTICS LIMITED</t>
  </si>
  <si>
    <t>INE0TFB01017</t>
  </si>
  <si>
    <t>AVIANSH</t>
  </si>
  <si>
    <t>AVI ANSH TEXTILE LIMITED</t>
  </si>
  <si>
    <t>INE0V9I01017</t>
  </si>
  <si>
    <t>AVIENCE</t>
  </si>
  <si>
    <t>AVIENCE BIOMEDICALS LTD</t>
  </si>
  <si>
    <t>INE855F01042</t>
  </si>
  <si>
    <t>ASMS</t>
  </si>
  <si>
    <t>AVIO SMART MRKT STACK LTD</t>
  </si>
  <si>
    <t>INE323B01024</t>
  </si>
  <si>
    <t>AVONMORE</t>
  </si>
  <si>
    <t>AVONMORE CAP&amp;MGT SERV LTD</t>
  </si>
  <si>
    <t>INE0R9401019</t>
  </si>
  <si>
    <t>AVPINFRA</t>
  </si>
  <si>
    <t>AVP INFRACON LIMITED</t>
  </si>
  <si>
    <t>INE652Z01025</t>
  </si>
  <si>
    <t>AVROIND</t>
  </si>
  <si>
    <t>AVRO INDIA LIMITED</t>
  </si>
  <si>
    <t>INE488D01021</t>
  </si>
  <si>
    <t>AVTNPL</t>
  </si>
  <si>
    <t>AVT NATURAL PRODUCTS LTD</t>
  </si>
  <si>
    <t>INE108V01019</t>
  </si>
  <si>
    <t>AWFIS</t>
  </si>
  <si>
    <t>AWFIS SPACE SOLUTIONS LTD</t>
  </si>
  <si>
    <t>INE699H01024</t>
  </si>
  <si>
    <t>AWL</t>
  </si>
  <si>
    <t>AWL AGRI BUSINESS LIMITED</t>
  </si>
  <si>
    <t>INE238A01034</t>
  </si>
  <si>
    <t>AXISBANK</t>
  </si>
  <si>
    <t>AXIS BANK LIMITED</t>
  </si>
  <si>
    <t>INF846KA1598</t>
  </si>
  <si>
    <t>ENERGYAXIS</t>
  </si>
  <si>
    <t>AXISAMC - ENERGYAXIS</t>
  </si>
  <si>
    <t>INF846K01X63</t>
  </si>
  <si>
    <t>BNKETFAXIS</t>
  </si>
  <si>
    <t>AXISAMC-BNKETFAXIS</t>
  </si>
  <si>
    <t>INF846K016C7</t>
  </si>
  <si>
    <t>CONSUMAXIS</t>
  </si>
  <si>
    <t>AXISAMC-CONSUMAXIS</t>
  </si>
  <si>
    <t>INF846K01W80</t>
  </si>
  <si>
    <t>GOLDAXIS</t>
  </si>
  <si>
    <t>AXISAMC-GOLDAXIS</t>
  </si>
  <si>
    <t>INF846K01Z12</t>
  </si>
  <si>
    <t>HEALTHAXIS</t>
  </si>
  <si>
    <t>AXISAMC-HEALTHAXIS</t>
  </si>
  <si>
    <t>INF846K01Y96</t>
  </si>
  <si>
    <t>ITAXIS</t>
  </si>
  <si>
    <t>AXISAMC-ITAXIS</t>
  </si>
  <si>
    <t>INF846K01W98</t>
  </si>
  <si>
    <t>NIFTYAXIS</t>
  </si>
  <si>
    <t>AXISAMC-NIFTYAXIS</t>
  </si>
  <si>
    <t>INF846K010Q0</t>
  </si>
  <si>
    <t>SENSEXAXIS</t>
  </si>
  <si>
    <t>AXISAMC-SENSEXAXIS</t>
  </si>
  <si>
    <t>INF846K011K1</t>
  </si>
  <si>
    <t>SILVERAXIS</t>
  </si>
  <si>
    <t>AXISAMC-SILVERAXIS</t>
  </si>
  <si>
    <t>INF846KA1119</t>
  </si>
  <si>
    <t>VALUEAXIS</t>
  </si>
  <si>
    <t>AXISAMC-VALUEAXIS</t>
  </si>
  <si>
    <t>INE555B01013</t>
  </si>
  <si>
    <t>AXISCADES</t>
  </si>
  <si>
    <t>AXISCADES TECH LTD</t>
  </si>
  <si>
    <t>INE02EZ01022</t>
  </si>
  <si>
    <t>AXITA</t>
  </si>
  <si>
    <t>AXITA COTTON LIMITED</t>
  </si>
  <si>
    <t>INE767C01012</t>
  </si>
  <si>
    <t>AXTEL</t>
  </si>
  <si>
    <t>AXTEL INDUSTRIES LTD.</t>
  </si>
  <si>
    <t>INE501X01029</t>
  </si>
  <si>
    <t>AYE</t>
  </si>
  <si>
    <t>AYE FINANCE LIMITED</t>
  </si>
  <si>
    <t>INE193B01039</t>
  </si>
  <si>
    <t>AYMSYNTEX</t>
  </si>
  <si>
    <t>AYM SYNTEX LIMITED</t>
  </si>
  <si>
    <t>INE02IJ01035</t>
  </si>
  <si>
    <t>AZAD</t>
  </si>
  <si>
    <t>AZAD ENGINEERING LIMITED</t>
  </si>
  <si>
    <t>INE566M01017</t>
  </si>
  <si>
    <t>AZADIND</t>
  </si>
  <si>
    <t>AZAD INDIA MOBILITY LTD.</t>
  </si>
  <si>
    <t>INE489D01011</t>
  </si>
  <si>
    <t>BNALTD</t>
  </si>
  <si>
    <t>B &amp; A LTD.</t>
  </si>
  <si>
    <t>INE01EE01011</t>
  </si>
  <si>
    <t>BBTCL</t>
  </si>
  <si>
    <t>B&amp;B TRIPLEWALL CONT LTD</t>
  </si>
  <si>
    <t>INE116D01028</t>
  </si>
  <si>
    <t>BAGFILMS</t>
  </si>
  <si>
    <t>B.A.G FILMS AND MEDIA LTD</t>
  </si>
  <si>
    <t>INE17CQ01015</t>
  </si>
  <si>
    <t>BAGDIGITAL</t>
  </si>
  <si>
    <t>B.A.G.CONVERGENCE LIMITED</t>
  </si>
  <si>
    <t>INE350H01032</t>
  </si>
  <si>
    <t>BLKASHYAP</t>
  </si>
  <si>
    <t>B.L.KASHYAP &amp; SON LTD</t>
  </si>
  <si>
    <t>INE01FR01028</t>
  </si>
  <si>
    <t>STYLEBAAZA</t>
  </si>
  <si>
    <t>BAAZAR STYLE RETAIL LTD</t>
  </si>
  <si>
    <t>INE0QW501012</t>
  </si>
  <si>
    <t>BABAFP</t>
  </si>
  <si>
    <t>BABA FOOD PROCESSING</t>
  </si>
  <si>
    <t>INE878I01022</t>
  </si>
  <si>
    <t>BAFNAPH</t>
  </si>
  <si>
    <t>BAFNA PHARMACEUTICALS LTD</t>
  </si>
  <si>
    <t>INE2OVN25015</t>
  </si>
  <si>
    <t>BAGMANE</t>
  </si>
  <si>
    <t>RR</t>
  </si>
  <si>
    <t>BAGMANE PRIME OFFICE REIT</t>
  </si>
  <si>
    <t>INE029Q01017</t>
  </si>
  <si>
    <t>BAHETI</t>
  </si>
  <si>
    <t>BAHETI RECYCLING IND LTD</t>
  </si>
  <si>
    <t>INE020D01022</t>
  </si>
  <si>
    <t>BAIDFIN</t>
  </si>
  <si>
    <t>BAID FINSERV LIMITED</t>
  </si>
  <si>
    <t>INE917I01010</t>
  </si>
  <si>
    <t>BAJAJ-AUTO</t>
  </si>
  <si>
    <t>BAJAJ AUTO LIMITED</t>
  </si>
  <si>
    <t>INE933K01021</t>
  </si>
  <si>
    <t>BAJAJCON</t>
  </si>
  <si>
    <t>BAJAJ CONSUMER CARE LTD</t>
  </si>
  <si>
    <t>INE193E01025</t>
  </si>
  <si>
    <t>BAJAJELEC</t>
  </si>
  <si>
    <t>BAJAJ ELECT.LTD</t>
  </si>
  <si>
    <t>INE296A01032</t>
  </si>
  <si>
    <t>BAJFINANCE</t>
  </si>
  <si>
    <t>BAJAJ FINANCE LIMITED</t>
  </si>
  <si>
    <t>INE918I01026</t>
  </si>
  <si>
    <t>BAJAJFINSV</t>
  </si>
  <si>
    <t>BAJAJ FINSERV LTD.</t>
  </si>
  <si>
    <t>INE411U01027</t>
  </si>
  <si>
    <t>BAJAJHCARE</t>
  </si>
  <si>
    <t>BAJAJ HEALTHCARE LIMITED</t>
  </si>
  <si>
    <t>INE306A01021</t>
  </si>
  <si>
    <t>BAJAJHIND</t>
  </si>
  <si>
    <t>BAJAJ HINDUSTHAN SUGAR LT</t>
  </si>
  <si>
    <t>INE118A01012</t>
  </si>
  <si>
    <t>BAJAJHLDNG</t>
  </si>
  <si>
    <t>BAJAJ HOLDINGS &amp; INVS LTD</t>
  </si>
  <si>
    <t>INE377Y01014</t>
  </si>
  <si>
    <t>BAJAJHFL</t>
  </si>
  <si>
    <t>BAJAJ HOUSING FINANCE LTD</t>
  </si>
  <si>
    <t>INE704G01024</t>
  </si>
  <si>
    <t>BAJAJST</t>
  </si>
  <si>
    <t>BAJAJ STEEL INDS. LTD.</t>
  </si>
  <si>
    <t>INE0KQN01018</t>
  </si>
  <si>
    <t>BAJEL</t>
  </si>
  <si>
    <t>BAJEL PROJECTS LIMITED</t>
  </si>
  <si>
    <t>INE083D01012</t>
  </si>
  <si>
    <t>BALPHARMA</t>
  </si>
  <si>
    <t>BAL PHARMA LTD.</t>
  </si>
  <si>
    <t>INE050E01027</t>
  </si>
  <si>
    <t>BALAMINES</t>
  </si>
  <si>
    <t>BALAJI AMINES LIMITED</t>
  </si>
  <si>
    <t>INE0PQ601019</t>
  </si>
  <si>
    <t>BALAJIPHOS</t>
  </si>
  <si>
    <t>BALAJI PHOSPHATES LIMITED</t>
  </si>
  <si>
    <t>INE794B01026</t>
  </si>
  <si>
    <t>BALAJITELE</t>
  </si>
  <si>
    <t>BALAJI TELEFILMS LIMITED.</t>
  </si>
  <si>
    <t>INE618N01022</t>
  </si>
  <si>
    <t>BALAXI</t>
  </si>
  <si>
    <t>BALAXI PHARMA LTD</t>
  </si>
  <si>
    <t>INE787D01026</t>
  </si>
  <si>
    <t>BALKRISIND</t>
  </si>
  <si>
    <t>BALKRISHNA IND. LTD</t>
  </si>
  <si>
    <t>INE875R01011</t>
  </si>
  <si>
    <t>BALKRISHNA</t>
  </si>
  <si>
    <t>BALKRISHNA PAPER MILLS L</t>
  </si>
  <si>
    <t>INE164A01016</t>
  </si>
  <si>
    <t>BALMLAWRIE</t>
  </si>
  <si>
    <t>BALMER LAWRIE &amp; CO LTD</t>
  </si>
  <si>
    <t>INE525F01025</t>
  </si>
  <si>
    <t>BLIL</t>
  </si>
  <si>
    <t>BALMER LAWRIE INVSTS. L</t>
  </si>
  <si>
    <t>INE119A01028</t>
  </si>
  <si>
    <t>BALRAMCHIN</t>
  </si>
  <si>
    <t>BALRAMPUR CHINI MILLS LTD</t>
  </si>
  <si>
    <t>INE011E01029</t>
  </si>
  <si>
    <t>BALUFORGE</t>
  </si>
  <si>
    <t>BALU FORGE INDUSTRIES LTD</t>
  </si>
  <si>
    <t>INE655B01011</t>
  </si>
  <si>
    <t>BANARBEADS</t>
  </si>
  <si>
    <t>BANARAS BEADS LTD</t>
  </si>
  <si>
    <t>INE213C01025</t>
  </si>
  <si>
    <t>BANCOINDIA</t>
  </si>
  <si>
    <t>BANCO PRODUCTS (I) LTD</t>
  </si>
  <si>
    <t>INE545U01014</t>
  </si>
  <si>
    <t>BANDHANBNK</t>
  </si>
  <si>
    <t>BANDHAN BANK LIMITED</t>
  </si>
  <si>
    <t>INF194KB1KJ7</t>
  </si>
  <si>
    <t>GOLDBND</t>
  </si>
  <si>
    <t>BANDHANAMC - GOLDBND</t>
  </si>
  <si>
    <t>INF194KA1U07</t>
  </si>
  <si>
    <t>IDFNIFTYET</t>
  </si>
  <si>
    <t>BANDHANAMC - IDFNIFTYET</t>
  </si>
  <si>
    <t>INF194KB1KI9</t>
  </si>
  <si>
    <t>SILVERBND</t>
  </si>
  <si>
    <t>BANDHANAMC - SILVERBND</t>
  </si>
  <si>
    <t>INE863I01016</t>
  </si>
  <si>
    <t>BANG</t>
  </si>
  <si>
    <t>BANG OVERSEAS LTD.</t>
  </si>
  <si>
    <t>INE028A01039</t>
  </si>
  <si>
    <t>BANKBARODA</t>
  </si>
  <si>
    <t>BANK OF BARODA</t>
  </si>
  <si>
    <t>INE084A01016</t>
  </si>
  <si>
    <t>BANKINDIA</t>
  </si>
  <si>
    <t>BANK OF INDIA</t>
  </si>
  <si>
    <t>INE457A01014</t>
  </si>
  <si>
    <t>MAHABANK</t>
  </si>
  <si>
    <t>BANK OF MAHARASHTRA</t>
  </si>
  <si>
    <t>INE862Y01015</t>
  </si>
  <si>
    <t>BANKA</t>
  </si>
  <si>
    <t>BANKA BIOLOO LIMITED</t>
  </si>
  <si>
    <t>INE186H01022</t>
  </si>
  <si>
    <t>BASML</t>
  </si>
  <si>
    <t>BANNARI AM SPIN MILL LTD.</t>
  </si>
  <si>
    <t>INE459A01010</t>
  </si>
  <si>
    <t>BANARISUG</t>
  </si>
  <si>
    <t>BANNARI AMMAN SUGARS LTD</t>
  </si>
  <si>
    <t>INE0B9K01025</t>
  </si>
  <si>
    <t>BANSALWIRE</t>
  </si>
  <si>
    <t>BANSAL WIRE INDUSTRIES L</t>
  </si>
  <si>
    <t>INE629D01020</t>
  </si>
  <si>
    <t>BANSWRAS</t>
  </si>
  <si>
    <t>BANSWARA SYNTEX LIMITED</t>
  </si>
  <si>
    <t>INE139I01011</t>
  </si>
  <si>
    <t>BVCL</t>
  </si>
  <si>
    <t>BARAK VALLEY CEM. LTD.</t>
  </si>
  <si>
    <t>INE0QX401014</t>
  </si>
  <si>
    <t>BARFLEX</t>
  </si>
  <si>
    <t>BARFLEX POLYFILMS LIMITED</t>
  </si>
  <si>
    <t>INF251K01TL6</t>
  </si>
  <si>
    <t>BBNPNBETF</t>
  </si>
  <si>
    <t>BARODABNP - BBNPNBETF</t>
  </si>
  <si>
    <t>INF251K01SU9</t>
  </si>
  <si>
    <t>BBNPPGOLD</t>
  </si>
  <si>
    <t>BARODABNP - BBNPPGOLD</t>
  </si>
  <si>
    <t>INE373A01013</t>
  </si>
  <si>
    <t>BASF</t>
  </si>
  <si>
    <t>BASF INDIA LTD</t>
  </si>
  <si>
    <t>INE0OCC01013</t>
  </si>
  <si>
    <t>BASILIC</t>
  </si>
  <si>
    <t>BASILIC FLY STUDIO LTD</t>
  </si>
  <si>
    <t>INE176A01028</t>
  </si>
  <si>
    <t>BATAINDIA</t>
  </si>
  <si>
    <t>BATA INDIA LTD</t>
  </si>
  <si>
    <t>INE177C01022</t>
  </si>
  <si>
    <t>BATLIBOI</t>
  </si>
  <si>
    <t>BATLIBOI LTD.</t>
  </si>
  <si>
    <t>INE0JFJ01011</t>
  </si>
  <si>
    <t>BAWEJA</t>
  </si>
  <si>
    <t>BAWEJA STUDIOS LIMITED</t>
  </si>
  <si>
    <t>INE462A01022</t>
  </si>
  <si>
    <t>BAYERCROP</t>
  </si>
  <si>
    <t>BAYER CROPSCIENCE LTD</t>
  </si>
  <si>
    <t>INE412G01024</t>
  </si>
  <si>
    <t>BCLIND</t>
  </si>
  <si>
    <t>BCL INDUSTRIES LIMITED</t>
  </si>
  <si>
    <t>INE00SW01015</t>
  </si>
  <si>
    <t>BCPL</t>
  </si>
  <si>
    <t>BCPL RAILWAY INFRA LTD</t>
  </si>
  <si>
    <t>INE639X01027</t>
  </si>
  <si>
    <t>BEACON</t>
  </si>
  <si>
    <t>BEACON TRUSTEESHIP LTD</t>
  </si>
  <si>
    <t>INE520H01022</t>
  </si>
  <si>
    <t>BEARDSELL</t>
  </si>
  <si>
    <t>BEARDSELL LIMITED</t>
  </si>
  <si>
    <t>INE844K01012</t>
  </si>
  <si>
    <t>BEDMUTHA</t>
  </si>
  <si>
    <t>BEDMUTHA INDUST LTD</t>
  </si>
  <si>
    <t>INE213D01015</t>
  </si>
  <si>
    <t>BEEKAY</t>
  </si>
  <si>
    <t>BEEKAY STEEL INDS. LTD.</t>
  </si>
  <si>
    <t>INE1EEM01017</t>
  </si>
  <si>
    <t>BLEL</t>
  </si>
  <si>
    <t>BEHARI LAL ENGINEERING L</t>
  </si>
  <si>
    <t>INE344T01014</t>
  </si>
  <si>
    <t>BELLACASA</t>
  </si>
  <si>
    <t>BELLA CASA FASH AND RET L</t>
  </si>
  <si>
    <t>INE894V01022</t>
  </si>
  <si>
    <t>BELRISE</t>
  </si>
  <si>
    <t>BELRISE INDUSTRIES LTD</t>
  </si>
  <si>
    <t>INE0N7W01012</t>
  </si>
  <si>
    <t>BLAL</t>
  </si>
  <si>
    <t>BEML LAND ASSETS LIMITED</t>
  </si>
  <si>
    <t>INE258A01024</t>
  </si>
  <si>
    <t>BEML</t>
  </si>
  <si>
    <t>BEML LIMITED</t>
  </si>
  <si>
    <t>INE664D01019</t>
  </si>
  <si>
    <t>BENARAS</t>
  </si>
  <si>
    <t>BENARES HOTELS LTD.</t>
  </si>
  <si>
    <t>INE083K01017</t>
  </si>
  <si>
    <t>BENGALASM</t>
  </si>
  <si>
    <t>BENGAL &amp; ASSAM CO. LTD.</t>
  </si>
  <si>
    <t>INE463A01038</t>
  </si>
  <si>
    <t>BERGEPAINT</t>
  </si>
  <si>
    <t>BERGER PAINTS (I) LTD</t>
  </si>
  <si>
    <t>INE052T01021</t>
  </si>
  <si>
    <t>BESTAGRO</t>
  </si>
  <si>
    <t>BEST AGROLIFE LIMITED</t>
  </si>
  <si>
    <t>INE351Y01019</t>
  </si>
  <si>
    <t>BETA</t>
  </si>
  <si>
    <t>BETA DRUGS LIMITED</t>
  </si>
  <si>
    <t>INE0HQI01014</t>
  </si>
  <si>
    <t>BEWLTD</t>
  </si>
  <si>
    <t>BEW ENGINEERING LIMITED</t>
  </si>
  <si>
    <t>INE878K01010</t>
  </si>
  <si>
    <t>BFINVEST</t>
  </si>
  <si>
    <t>BF INVESTMENT LIMITED</t>
  </si>
  <si>
    <t>INE243D01012</t>
  </si>
  <si>
    <t>BFUTILITIE</t>
  </si>
  <si>
    <t>BF UTILITIES LIMITED</t>
  </si>
  <si>
    <t>INF0QA701CI0</t>
  </si>
  <si>
    <t>BANK10BETF</t>
  </si>
  <si>
    <t>BFAM - BANK10BETF</t>
  </si>
  <si>
    <t>INF0QA701714</t>
  </si>
  <si>
    <t>BANKBETF</t>
  </si>
  <si>
    <t>BFAM - BANKBETF</t>
  </si>
  <si>
    <t>INF0QA701854</t>
  </si>
  <si>
    <t>LIQUIDBETF</t>
  </si>
  <si>
    <t>BFAM - LIQUIDBETF</t>
  </si>
  <si>
    <t>INF0QA701722</t>
  </si>
  <si>
    <t>NIFTYBETF</t>
  </si>
  <si>
    <t>BFAM - NIFTYBETF</t>
  </si>
  <si>
    <t>INE661I01014</t>
  </si>
  <si>
    <t>BGRENERGY</t>
  </si>
  <si>
    <t>BGR ENERGY SYSTEMS LTD</t>
  </si>
  <si>
    <t>INE0ZRC01017</t>
  </si>
  <si>
    <t>BHADORA</t>
  </si>
  <si>
    <t>BHADORA INDUSTRIES LTD</t>
  </si>
  <si>
    <t>INE354C01027</t>
  </si>
  <si>
    <t>BHAGERIA</t>
  </si>
  <si>
    <t>BHAGERIA INDUSTRIES LTD</t>
  </si>
  <si>
    <t>INE414D01027</t>
  </si>
  <si>
    <t>BHAGCHEM</t>
  </si>
  <si>
    <t>BHAGIRADHA CHEM &amp; INDS L</t>
  </si>
  <si>
    <t>INE458B01036</t>
  </si>
  <si>
    <t>BHAGYANGR</t>
  </si>
  <si>
    <t>BHAGYANAGAR INDIA LIMITED</t>
  </si>
  <si>
    <t>INE474E01029</t>
  </si>
  <si>
    <t>BHANDARI</t>
  </si>
  <si>
    <t>BHANDARI HOSIERY EXP LTD</t>
  </si>
  <si>
    <t>INE922A01025</t>
  </si>
  <si>
    <t>BEPL</t>
  </si>
  <si>
    <t>BHANSALI ENG. POLYMERS LT</t>
  </si>
  <si>
    <t>INE464A01036</t>
  </si>
  <si>
    <t>BBL</t>
  </si>
  <si>
    <t>BHARAT BIJLEE LTD</t>
  </si>
  <si>
    <t>INE05XR01022</t>
  </si>
  <si>
    <t>BHARATCOAL</t>
  </si>
  <si>
    <t>BHARAT COKING COAL LTD</t>
  </si>
  <si>
    <t>INE171Z01026</t>
  </si>
  <si>
    <t>BDL</t>
  </si>
  <si>
    <t>BHARAT DYNAMICS LIMITED</t>
  </si>
  <si>
    <t>INE263A01024</t>
  </si>
  <si>
    <t>BEL</t>
  </si>
  <si>
    <t>BHARAT ELECTRONICS LTD</t>
  </si>
  <si>
    <t>INE465A01025</t>
  </si>
  <si>
    <t>BHARATFORG</t>
  </si>
  <si>
    <t>BHARAT FORGE LTD</t>
  </si>
  <si>
    <t>INE561C01019</t>
  </si>
  <si>
    <t>BHARATGEAR</t>
  </si>
  <si>
    <t>BHARAT GEARS LTD</t>
  </si>
  <si>
    <t>INE365Y01019</t>
  </si>
  <si>
    <t>BPLPHARMA</t>
  </si>
  <si>
    <t>BHARAT PARENTERALS LTD.</t>
  </si>
  <si>
    <t>INE029A01011</t>
  </si>
  <si>
    <t>BPCL</t>
  </si>
  <si>
    <t>BHARAT PETROLEUM CORP  LT</t>
  </si>
  <si>
    <t>INE838B01021</t>
  </si>
  <si>
    <t>BHARATRAS</t>
  </si>
  <si>
    <t>BHARAT RASAYAN LTD</t>
  </si>
  <si>
    <t>INE727S01012</t>
  </si>
  <si>
    <t>BRNL</t>
  </si>
  <si>
    <t>BHARAT ROAD NETWORK LTD</t>
  </si>
  <si>
    <t>INE415D01024</t>
  </si>
  <si>
    <t>BHARATSE</t>
  </si>
  <si>
    <t>BHARAT SEATS LIMITED</t>
  </si>
  <si>
    <t>INE316L01019</t>
  </si>
  <si>
    <t>BHARATWIRE</t>
  </si>
  <si>
    <t>BHARAT WIRE ROPES LTD.</t>
  </si>
  <si>
    <t>INE397D01024</t>
  </si>
  <si>
    <t>BHARTIARTL</t>
  </si>
  <si>
    <t>BHARTI AIRTEL LIMITED</t>
  </si>
  <si>
    <t>INE343G01021</t>
  </si>
  <si>
    <t>BHARTIHEXA</t>
  </si>
  <si>
    <t>BHARTI HEXACOM LIMITED</t>
  </si>
  <si>
    <t>INE828A01016</t>
  </si>
  <si>
    <t>BIL</t>
  </si>
  <si>
    <t>BHARTIYA INTERNATIONAL</t>
  </si>
  <si>
    <t>INE257A01026</t>
  </si>
  <si>
    <t>BHEL</t>
  </si>
  <si>
    <t>INE274K01012</t>
  </si>
  <si>
    <t>BTTL</t>
  </si>
  <si>
    <t>BHILWARA TECHNICAL TEXT L</t>
  </si>
  <si>
    <t>INE412U01025</t>
  </si>
  <si>
    <t>BIGBLOC</t>
  </si>
  <si>
    <t>BIGBLOC CONSTRUCTION LTD</t>
  </si>
  <si>
    <t>INE00E101023</t>
  </si>
  <si>
    <t>BIKAJI</t>
  </si>
  <si>
    <t>BIKAJI FOODS INTERN LTD</t>
  </si>
  <si>
    <t>INE0SQH01013</t>
  </si>
  <si>
    <t>BIKEWO</t>
  </si>
  <si>
    <t>BIKEWO GREEN TECH LIMITED</t>
  </si>
  <si>
    <t>INE071A01013</t>
  </si>
  <si>
    <t>BILVYAPAR</t>
  </si>
  <si>
    <t>BIL VYAPAR LIMITED</t>
  </si>
  <si>
    <t>INE986A01012</t>
  </si>
  <si>
    <t>BI</t>
  </si>
  <si>
    <t>BILCARE LTD.</t>
  </si>
  <si>
    <t>INE0HOQ01053</t>
  </si>
  <si>
    <t>GROWW</t>
  </si>
  <si>
    <t>BILLIONBRAINS GARAGE VN L</t>
  </si>
  <si>
    <t>INE469A01019</t>
  </si>
  <si>
    <t>BIMETAL</t>
  </si>
  <si>
    <t>BIMETAL BEARINGS LTD.</t>
  </si>
  <si>
    <t>INE1BKA01015</t>
  </si>
  <si>
    <t>BMLL</t>
  </si>
  <si>
    <t>BIO MEDICA LABORATORIES L</t>
  </si>
  <si>
    <t>INE376G01013</t>
  </si>
  <si>
    <t>BIOCON</t>
  </si>
  <si>
    <t>BIOCON LIMITED.</t>
  </si>
  <si>
    <t>INE829A01014</t>
  </si>
  <si>
    <t>BIOFILCHEM</t>
  </si>
  <si>
    <t>BIOFIL CHEM &amp; PHARMA LTD</t>
  </si>
  <si>
    <t>INE0XW001014</t>
  </si>
  <si>
    <t>BIOPOL</t>
  </si>
  <si>
    <t>BIOPOL CHEMICALS LIMITED</t>
  </si>
  <si>
    <t>INE800A01015</t>
  </si>
  <si>
    <t>BIRLACABLE</t>
  </si>
  <si>
    <t>BIRLA CABLE LIMITED</t>
  </si>
  <si>
    <t>INE340A01012</t>
  </si>
  <si>
    <t>BIRLACORPN</t>
  </si>
  <si>
    <t>BIRLA CORPORATION LTD</t>
  </si>
  <si>
    <t>INE372E01025</t>
  </si>
  <si>
    <t>BIRLAPREC</t>
  </si>
  <si>
    <t>BIRLA PRECISION TECH L</t>
  </si>
  <si>
    <t>INE557A01011</t>
  </si>
  <si>
    <t>BIRLANU LIMITED</t>
  </si>
  <si>
    <t>INF209KC1670</t>
  </si>
  <si>
    <t>ABSL10BANK</t>
  </si>
  <si>
    <t>BIRLASLAMC - ABSL10BANK</t>
  </si>
  <si>
    <t>INF209KB17D5</t>
  </si>
  <si>
    <t>ABSLBANETF</t>
  </si>
  <si>
    <t>BIRLASLAMC - ABSLBANETF</t>
  </si>
  <si>
    <t>INF209KB18T9</t>
  </si>
  <si>
    <t>ABSLLIQUID</t>
  </si>
  <si>
    <t>BIRLASLAMC - ABSLLIQUID</t>
  </si>
  <si>
    <t>INF209KC1662</t>
  </si>
  <si>
    <t>ABSLMSCIN</t>
  </si>
  <si>
    <t>BIRLASLAMC - ABSLMSCIN</t>
  </si>
  <si>
    <t>INF209KB16D7</t>
  </si>
  <si>
    <t>ABSLNN50ET</t>
  </si>
  <si>
    <t>BIRLASLAMC - ABSLNN50ET</t>
  </si>
  <si>
    <t>INF209KB10E8</t>
  </si>
  <si>
    <t>BSLSENETFG</t>
  </si>
  <si>
    <t>BIRLASLAMC - BSLSENETFG</t>
  </si>
  <si>
    <t>INF209KC1142</t>
  </si>
  <si>
    <t>GSEC10ABSL</t>
  </si>
  <si>
    <t>BIRLASLAMC - GSEC10ABSL</t>
  </si>
  <si>
    <t>INF209KB10C2</t>
  </si>
  <si>
    <t>HEALTHY</t>
  </si>
  <si>
    <t>BIRLASLAMC - HEALTHY</t>
  </si>
  <si>
    <t>INF209KB14K7</t>
  </si>
  <si>
    <t>MOMENTUM</t>
  </si>
  <si>
    <t>BIRLASLAMC - MOMENTUM</t>
  </si>
  <si>
    <t>INF209KB15K4</t>
  </si>
  <si>
    <t>NIFTYQLITY</t>
  </si>
  <si>
    <t>BIRLASLAMC - NIFTYQLITY</t>
  </si>
  <si>
    <t>INF209KB19F6</t>
  </si>
  <si>
    <t>SILVER</t>
  </si>
  <si>
    <t>BIRLASLAMC - SILVER</t>
  </si>
  <si>
    <t>INF209KB11D8</t>
  </si>
  <si>
    <t>TECH</t>
  </si>
  <si>
    <t>BIRLASLAMC - TECH</t>
  </si>
  <si>
    <t>INF209KB19Z4</t>
  </si>
  <si>
    <t>ABSLPSE</t>
  </si>
  <si>
    <t>BIRLASLAMC-ABSLPSE</t>
  </si>
  <si>
    <t>INE836A01035</t>
  </si>
  <si>
    <t>BSOFT</t>
  </si>
  <si>
    <t>BIRLASOFT LIMITED</t>
  </si>
  <si>
    <t>INE676A01027</t>
  </si>
  <si>
    <t>BBOX</t>
  </si>
  <si>
    <t>BLACK BOX LIMITED</t>
  </si>
  <si>
    <t>INE761G01016</t>
  </si>
  <si>
    <t>BLACKROSE</t>
  </si>
  <si>
    <t>BLACK ROSE INDS. LTD.</t>
  </si>
  <si>
    <t>INE0UIZ01018</t>
  </si>
  <si>
    <t>BLACKBUCK</t>
  </si>
  <si>
    <t>BLACKBUCK LIMITED</t>
  </si>
  <si>
    <t>INE791A01024</t>
  </si>
  <si>
    <t>BLBLIMITED</t>
  </si>
  <si>
    <t>BLB LIMITED</t>
  </si>
  <si>
    <t>INE416D01022</t>
  </si>
  <si>
    <t>BLISSGVS</t>
  </si>
  <si>
    <t>BLISS GVS PHARMA LTD</t>
  </si>
  <si>
    <t>INE0NLT01010</t>
  </si>
  <si>
    <t>BLSE</t>
  </si>
  <si>
    <t>BLS E-SERVICES LIMITED</t>
  </si>
  <si>
    <t>INE153T01027</t>
  </si>
  <si>
    <t>BLS</t>
  </si>
  <si>
    <t>BLS INTL SERVS LTD</t>
  </si>
  <si>
    <t>INE373T01047</t>
  </si>
  <si>
    <t>BLUECLOUDS</t>
  </si>
  <si>
    <t>BLUE CLOUD SOFTECH SOLU L</t>
  </si>
  <si>
    <t>INE472B01011</t>
  </si>
  <si>
    <t>BLUECOAST</t>
  </si>
  <si>
    <t>BLUE COAST HOTELS LIMITED</t>
  </si>
  <si>
    <t>INE233B01017</t>
  </si>
  <si>
    <t>BLUEDART</t>
  </si>
  <si>
    <t>BLUE DART EXPRESS LTD</t>
  </si>
  <si>
    <t>INE0KBH01020</t>
  </si>
  <si>
    <t>BLUEJET</t>
  </si>
  <si>
    <t>BLUE JET HEALTHCARE LTD</t>
  </si>
  <si>
    <t>INE0SAK01011</t>
  </si>
  <si>
    <t>BLUEPEBBLE</t>
  </si>
  <si>
    <t>BLUE PEBBLE LIMITED</t>
  </si>
  <si>
    <t>INE472A01039</t>
  </si>
  <si>
    <t>BLUESTARCO</t>
  </si>
  <si>
    <t>BLUE STAR LIMITED</t>
  </si>
  <si>
    <t>INE0X3M01010</t>
  </si>
  <si>
    <t>BLUEWATER</t>
  </si>
  <si>
    <t>BLUE WATER LOGISTICS LTD</t>
  </si>
  <si>
    <t>INE304W01038</t>
  </si>
  <si>
    <t>BLUESTONE</t>
  </si>
  <si>
    <t>BLUESTONE JEWEL LFSTL LTD</t>
  </si>
  <si>
    <t>INE0U4101014</t>
  </si>
  <si>
    <t>BLUSPRING</t>
  </si>
  <si>
    <t>BLUSPRING ENTERPRISES LTD</t>
  </si>
  <si>
    <t>INE965W01036</t>
  </si>
  <si>
    <t>BMWVENTLTD</t>
  </si>
  <si>
    <t>BMW VENTURES LIMITED</t>
  </si>
  <si>
    <t>INE338D01028</t>
  </si>
  <si>
    <t>BODALCHEM</t>
  </si>
  <si>
    <t>BODAL CHEMICALS LTD</t>
  </si>
  <si>
    <t>INE0EEJ01023</t>
  </si>
  <si>
    <t>BTML</t>
  </si>
  <si>
    <t>BODHI TREE MULTIMEDIA LTD</t>
  </si>
  <si>
    <t>INE802W01023</t>
  </si>
  <si>
    <t>BOHRAIND</t>
  </si>
  <si>
    <t>BOHRA INDUSTRIES LIMITED</t>
  </si>
  <si>
    <t>INE050A01025</t>
  </si>
  <si>
    <t>BBTC</t>
  </si>
  <si>
    <t>BOMBAY BURMAH TRADING COR</t>
  </si>
  <si>
    <t>INE032A01023</t>
  </si>
  <si>
    <t>BOMDYEING</t>
  </si>
  <si>
    <t>BOMBAY DYEING &amp; MFG. CO L</t>
  </si>
  <si>
    <t>INE0I3Y01014</t>
  </si>
  <si>
    <t>BMETRICS</t>
  </si>
  <si>
    <t>BOMBAY METRICS S C LTD</t>
  </si>
  <si>
    <t>INE032Z01020</t>
  </si>
  <si>
    <t>BSHSL</t>
  </si>
  <si>
    <t>BOMBAY SUPER HYBRID SEEDS</t>
  </si>
  <si>
    <t>INE053F07538</t>
  </si>
  <si>
    <t>810IRFC27</t>
  </si>
  <si>
    <t>BOND 8.10% PA TAX FREE S2</t>
  </si>
  <si>
    <t>INE906B07CB9</t>
  </si>
  <si>
    <t>830NHAI27</t>
  </si>
  <si>
    <t>BOND 8.30% PA TAX FREE S2</t>
  </si>
  <si>
    <t>INE053F07660</t>
  </si>
  <si>
    <t>840IRFC29</t>
  </si>
  <si>
    <t>BOND 8.40% PA TF TI-SIIA</t>
  </si>
  <si>
    <t>INE053F07728</t>
  </si>
  <si>
    <t>863IRFC29</t>
  </si>
  <si>
    <t>NC</t>
  </si>
  <si>
    <t>BOND 8.63% PA TF TII-SIIA</t>
  </si>
  <si>
    <t>INE053F07686</t>
  </si>
  <si>
    <t>865IRFC29</t>
  </si>
  <si>
    <t>NA</t>
  </si>
  <si>
    <t>BOND 8.65% PA TF TI-SIIB</t>
  </si>
  <si>
    <t>INE020B07HS2</t>
  </si>
  <si>
    <t>871REC28</t>
  </si>
  <si>
    <t>BOND 8.71% TAX FREE S2B</t>
  </si>
  <si>
    <t>INE053F07744</t>
  </si>
  <si>
    <t>888IRFC29</t>
  </si>
  <si>
    <t>BOND 8.88% PA TF TII-SIIB</t>
  </si>
  <si>
    <t>INE557F07132</t>
  </si>
  <si>
    <t>901NHB34</t>
  </si>
  <si>
    <t>BOND 9.01%PA TF TR-I S 3B</t>
  </si>
  <si>
    <t>INE020B07IH3</t>
  </si>
  <si>
    <t>886REC34</t>
  </si>
  <si>
    <t>NG</t>
  </si>
  <si>
    <t>BOND8.86% PA TF TR II S3B</t>
  </si>
  <si>
    <t>INE020B07IG5</t>
  </si>
  <si>
    <t>888REC29</t>
  </si>
  <si>
    <t>BOND8.88% PA TF TR II S2B</t>
  </si>
  <si>
    <t>INE0B9A01018</t>
  </si>
  <si>
    <t>BONLON</t>
  </si>
  <si>
    <t>BONLON INDUSTRIES LIMITED</t>
  </si>
  <si>
    <t>INE16SF01016</t>
  </si>
  <si>
    <t>BORANA</t>
  </si>
  <si>
    <t>BORANA WEAVES LIMITED</t>
  </si>
  <si>
    <t>INE02PY01013</t>
  </si>
  <si>
    <t>BOROLTD</t>
  </si>
  <si>
    <t>BOROSIL LIMITED</t>
  </si>
  <si>
    <t>INE666D01022</t>
  </si>
  <si>
    <t>BORORENEW</t>
  </si>
  <si>
    <t>BOROSIL RENEWABLES LTD</t>
  </si>
  <si>
    <t>INE02L001032</t>
  </si>
  <si>
    <t>BOROSCI</t>
  </si>
  <si>
    <t>BOROSIL SCIENTIFIC LTD</t>
  </si>
  <si>
    <t>INE782A01015</t>
  </si>
  <si>
    <t>BOSCH-HCIL</t>
  </si>
  <si>
    <t>BOSCH HOME COMFRT IND LTD</t>
  </si>
  <si>
    <t>INE323A01026</t>
  </si>
  <si>
    <t>BOSCHLTD</t>
  </si>
  <si>
    <t>BOSCH LIMITED</t>
  </si>
  <si>
    <t>INE0QNI01012</t>
  </si>
  <si>
    <t>BOSS</t>
  </si>
  <si>
    <t>BOSS PACKAGING SOLU LTD</t>
  </si>
  <si>
    <t>INE110A01019</t>
  </si>
  <si>
    <t>BPL</t>
  </si>
  <si>
    <t>BPL LTD</t>
  </si>
  <si>
    <t>INE0R4Z01018</t>
  </si>
  <si>
    <t>BRACEPORT</t>
  </si>
  <si>
    <t>BRACE PORT LOGISTICS LTD</t>
  </si>
  <si>
    <t>INE320I01017</t>
  </si>
  <si>
    <t>BRAHMINFRA</t>
  </si>
  <si>
    <t>BRAHMAPUTRA INFRA L</t>
  </si>
  <si>
    <t>INE02RE01045</t>
  </si>
  <si>
    <t>FIRSTCRY</t>
  </si>
  <si>
    <t>BRAINBEES SOLUTIONS LTD</t>
  </si>
  <si>
    <t>INE977Y01011</t>
  </si>
  <si>
    <t>BCONCEPTS</t>
  </si>
  <si>
    <t>BRAND CONCEPTS LIMITED</t>
  </si>
  <si>
    <t>INE0XUD01014</t>
  </si>
  <si>
    <t>BRANDMAN</t>
  </si>
  <si>
    <t>BRANDMAN RETAIL LIMITED</t>
  </si>
  <si>
    <t>INE791I01019</t>
  </si>
  <si>
    <t>BRIGADE</t>
  </si>
  <si>
    <t>BRIGADE ENTER. LTD</t>
  </si>
  <si>
    <t>INE03NU01014</t>
  </si>
  <si>
    <t>BRIGHOTEL</t>
  </si>
  <si>
    <t>BRIGADE HOTEL VENTURE LTD</t>
  </si>
  <si>
    <t>INE630D01010</t>
  </si>
  <si>
    <t>BRIGHTBR</t>
  </si>
  <si>
    <t>BRIGHT BROTHERS LTD.</t>
  </si>
  <si>
    <t>INE425B01027</t>
  </si>
  <si>
    <t>BCG</t>
  </si>
  <si>
    <t>BRIGHTCOM GROUP LIMITED</t>
  </si>
  <si>
    <t>INE216A01030</t>
  </si>
  <si>
    <t>BRITANNIA</t>
  </si>
  <si>
    <t>BRITANNIA INDUSTRIES LTD</t>
  </si>
  <si>
    <t>INE0FDU25010</t>
  </si>
  <si>
    <t>BIRET</t>
  </si>
  <si>
    <t>BROOKFIELD INDIA RET</t>
  </si>
  <si>
    <t>INE650L01011</t>
  </si>
  <si>
    <t>BROOKS</t>
  </si>
  <si>
    <t>BROOKS LAB LIMITED</t>
  </si>
  <si>
    <t>INE118H01025</t>
  </si>
  <si>
    <t>BSE</t>
  </si>
  <si>
    <t>BSE LIMITED</t>
  </si>
  <si>
    <t>INE594B01012</t>
  </si>
  <si>
    <t>BSL</t>
  </si>
  <si>
    <t>BSL LTD</t>
  </si>
  <si>
    <t>INE295F01017</t>
  </si>
  <si>
    <t>BUTTERFLY</t>
  </si>
  <si>
    <t>BTRFLY GANDHI APPL LTD</t>
  </si>
  <si>
    <t>INE0SZ301012</t>
  </si>
  <si>
    <t>BULKCORP</t>
  </si>
  <si>
    <t>BULKCORP INTERNATIONAL L</t>
  </si>
  <si>
    <t>INE817H01022</t>
  </si>
  <si>
    <t>BURNPUR</t>
  </si>
  <si>
    <t>BURNPUR CEMENT LIMITED</t>
  </si>
  <si>
    <t>INE084D01010</t>
  </si>
  <si>
    <t>CGVAK</t>
  </si>
  <si>
    <t>C G V A K SOFTWARE &amp; EX L</t>
  </si>
  <si>
    <t>INE0SMX01019</t>
  </si>
  <si>
    <t>CKKRETAIL</t>
  </si>
  <si>
    <t>C K K RETAIL MART LIMITED</t>
  </si>
  <si>
    <t>INE0QBU01012</t>
  </si>
  <si>
    <t>CPS</t>
  </si>
  <si>
    <t>C P S SHAPERS LIMITED</t>
  </si>
  <si>
    <t>INE0BV301023</t>
  </si>
  <si>
    <t>MAPMYINDIA</t>
  </si>
  <si>
    <t>C.E. INFO SYSTEMS LIMITED</t>
  </si>
  <si>
    <t>INE0U7V01015</t>
  </si>
  <si>
    <t>C2C</t>
  </si>
  <si>
    <t>C2C ADVANCED SYSTEMS LTD</t>
  </si>
  <si>
    <t>INE11XY01018</t>
  </si>
  <si>
    <t>CMLL</t>
  </si>
  <si>
    <t>CALIBER MINING AND LOG L</t>
  </si>
  <si>
    <t>INE526B01014</t>
  </si>
  <si>
    <t>CALSOFT</t>
  </si>
  <si>
    <t>CALIFORNIA SOFTWARE CO LT</t>
  </si>
  <si>
    <t>INE627H01017</t>
  </si>
  <si>
    <t>CTE</t>
  </si>
  <si>
    <t>CAMBRIDGE TECH ENTER LTD</t>
  </si>
  <si>
    <t>INE052I01032</t>
  </si>
  <si>
    <t>CAMLINFINE</t>
  </si>
  <si>
    <t>CAMLIN FINE SCIENCES LTD</t>
  </si>
  <si>
    <t>INE278Y01022</t>
  </si>
  <si>
    <t>CAMPUS</t>
  </si>
  <si>
    <t>CAMPUS ACTIVEWEAR LIMITED</t>
  </si>
  <si>
    <t>INE477A01020</t>
  </si>
  <si>
    <t>CANFINHOME</t>
  </si>
  <si>
    <t>CAN FIN HOMES LTD</t>
  </si>
  <si>
    <t>INE476A01022</t>
  </si>
  <si>
    <t>CANBK</t>
  </si>
  <si>
    <t>CANARA BANK</t>
  </si>
  <si>
    <t>INE01TY01017</t>
  </si>
  <si>
    <t>CANHLIFE</t>
  </si>
  <si>
    <t>CANARA HSBC LIFE INS CO L</t>
  </si>
  <si>
    <t>INE218I01013</t>
  </si>
  <si>
    <t>CRAMC</t>
  </si>
  <si>
    <t>CANARA ROBECO AMC LIMITED</t>
  </si>
  <si>
    <t>INE0QG301017</t>
  </si>
  <si>
    <t>CANARYS</t>
  </si>
  <si>
    <t>CANARYS AUTOMATIONS LTD</t>
  </si>
  <si>
    <t>INE068L01024</t>
  </si>
  <si>
    <t>CANTABIL</t>
  </si>
  <si>
    <t>CANTABIL RETAIL LTD</t>
  </si>
  <si>
    <t>INE264T01014</t>
  </si>
  <si>
    <t>CAPACITE</t>
  </si>
  <si>
    <t>CAPACITE INFRAPROJECT LTD</t>
  </si>
  <si>
    <t>INE0ILV01024</t>
  </si>
  <si>
    <t>CAPILLARY</t>
  </si>
  <si>
    <t>CAPILLARY TECHNO INDIA L</t>
  </si>
  <si>
    <t>INE345H01024</t>
  </si>
  <si>
    <t>CIFL</t>
  </si>
  <si>
    <t>CAPITAL INDIA FINANCE LTD</t>
  </si>
  <si>
    <t>INE0Z8Z23013</t>
  </si>
  <si>
    <t>CAPINVIT</t>
  </si>
  <si>
    <t>CAPITAL INFRA TRUST</t>
  </si>
  <si>
    <t>INE646H01017</t>
  </si>
  <si>
    <t>CAPITALSFB</t>
  </si>
  <si>
    <t>CAPITAL SMALL FIN BANK L</t>
  </si>
  <si>
    <t>INE707C01018</t>
  </si>
  <si>
    <t>CAPTRUST</t>
  </si>
  <si>
    <t>CAPITAL TRUST LIMITED</t>
  </si>
  <si>
    <t>INE475E01026</t>
  </si>
  <si>
    <t>CAPLIPOINT</t>
  </si>
  <si>
    <t>CAPLIN POINT LAB LTD.</t>
  </si>
  <si>
    <t>INE180C01042</t>
  </si>
  <si>
    <t>CGCL</t>
  </si>
  <si>
    <t>CAPRI GLOBAL CAPITAL LTD</t>
  </si>
  <si>
    <t>INE536P01021</t>
  </si>
  <si>
    <t>CPL</t>
  </si>
  <si>
    <t>CAPTAIN POLYPLAST LIMITED</t>
  </si>
  <si>
    <t>INE120A01034</t>
  </si>
  <si>
    <t>CARBORUNIV</t>
  </si>
  <si>
    <t>CARBORUNDUM UNIVERSAL LTD</t>
  </si>
  <si>
    <t>INE752H01013</t>
  </si>
  <si>
    <t>CARERATING</t>
  </si>
  <si>
    <t>CARE RATINGS LIMITED</t>
  </si>
  <si>
    <t>INE0P6P01016</t>
  </si>
  <si>
    <t>CPEDU</t>
  </si>
  <si>
    <t>CAREER POINT EDUTECH LTD</t>
  </si>
  <si>
    <t>INE0V7W01012</t>
  </si>
  <si>
    <t>CARRARO</t>
  </si>
  <si>
    <t>CARRARO INDIA LIMITED</t>
  </si>
  <si>
    <t>INE290S01011</t>
  </si>
  <si>
    <t>CARTRADE</t>
  </si>
  <si>
    <t>CARTRADE TECH LIMITED</t>
  </si>
  <si>
    <t>INE482D01024</t>
  </si>
  <si>
    <t>CARYSIL</t>
  </si>
  <si>
    <t>CARYSIL LIMITED</t>
  </si>
  <si>
    <t>INE0WL201014</t>
  </si>
  <si>
    <t>CUDML</t>
  </si>
  <si>
    <t>CASH UR DRIVE MARKETING L</t>
  </si>
  <si>
    <t>INE172A01027</t>
  </si>
  <si>
    <t>CASTROLIND</t>
  </si>
  <si>
    <t>CASTROL INDIA LIMITED</t>
  </si>
  <si>
    <t>INE421D01022</t>
  </si>
  <si>
    <t>CCL</t>
  </si>
  <si>
    <t>CCL PRODUCTS (I) LTD</t>
  </si>
  <si>
    <t>INE482A01020</t>
  </si>
  <si>
    <t>CEATLTD</t>
  </si>
  <si>
    <t>CEAT LIMITED</t>
  </si>
  <si>
    <t>INE11J101017</t>
  </si>
  <si>
    <t>CEDAAR</t>
  </si>
  <si>
    <t>CEDAAR TEXTILE LIMITED</t>
  </si>
  <si>
    <t>INE0AG901020</t>
  </si>
  <si>
    <t>CEIGALL</t>
  </si>
  <si>
    <t>CEIGALL INDIA LIMITED</t>
  </si>
  <si>
    <t>INE016Q01014</t>
  </si>
  <si>
    <t>CEINSYS</t>
  </si>
  <si>
    <t>CEINSYS TECH LIMITED</t>
  </si>
  <si>
    <t>INE185H01016</t>
  </si>
  <si>
    <t>CELEBRITY</t>
  </si>
  <si>
    <t>CELEBRITY FASHIONS LTD</t>
  </si>
  <si>
    <t>INE0O0001013</t>
  </si>
  <si>
    <t>CELLPOINT</t>
  </si>
  <si>
    <t>CELL POINT (INDIA) LTD</t>
  </si>
  <si>
    <t>INE0OMO01025</t>
  </si>
  <si>
    <t>CELLECOR</t>
  </si>
  <si>
    <t>CELLECOR GADGETS LIMITED</t>
  </si>
  <si>
    <t>INE0LMW01024</t>
  </si>
  <si>
    <t>CELLO</t>
  </si>
  <si>
    <t>CELLO WORLD LIMITED</t>
  </si>
  <si>
    <t>INE686A01026</t>
  </si>
  <si>
    <t>CEMPRO</t>
  </si>
  <si>
    <t>CEMINDIA PROJECTS LIMITED</t>
  </si>
  <si>
    <t>INE483A01010</t>
  </si>
  <si>
    <t>CENTRALBK</t>
  </si>
  <si>
    <t>CENTRAL BANK OF INDIA</t>
  </si>
  <si>
    <t>INE736A01011</t>
  </si>
  <si>
    <t>CDSL</t>
  </si>
  <si>
    <t>CENTRAL DEPO SER (I) LTD</t>
  </si>
  <si>
    <t>INE05HV01027</t>
  </si>
  <si>
    <t>CMPDI</t>
  </si>
  <si>
    <t>CENTRAL MINE P N D INST L</t>
  </si>
  <si>
    <t>INE660C01027</t>
  </si>
  <si>
    <t>CENTRUM</t>
  </si>
  <si>
    <t>CENTRUM CAPITAL LIMITED</t>
  </si>
  <si>
    <t>INE320B01020</t>
  </si>
  <si>
    <t>CENTUM</t>
  </si>
  <si>
    <t>CENTUM ELECTRONICS LTD</t>
  </si>
  <si>
    <t>INE485A01015</t>
  </si>
  <si>
    <t>CENTENKA</t>
  </si>
  <si>
    <t>CENTURY ENKA LTD</t>
  </si>
  <si>
    <t>INE281A01026</t>
  </si>
  <si>
    <t>CENTEXT</t>
  </si>
  <si>
    <t>CENTURY EXTRUSIONS LTD</t>
  </si>
  <si>
    <t>INE348B01021</t>
  </si>
  <si>
    <t>CENTURYPLY</t>
  </si>
  <si>
    <t>CENTURY PLYBOARDS (I) LTD</t>
  </si>
  <si>
    <t>INE739E01017</t>
  </si>
  <si>
    <t>CERA</t>
  </si>
  <si>
    <t>CERA SANITARYWARE LTD</t>
  </si>
  <si>
    <t>INE345B01019</t>
  </si>
  <si>
    <t>CEREBRAINT</t>
  </si>
  <si>
    <t>CEREBRA INT TECH LTD</t>
  </si>
  <si>
    <t>INE486A01021</t>
  </si>
  <si>
    <t>CESC</t>
  </si>
  <si>
    <t>CESC LTD</t>
  </si>
  <si>
    <t>INE067A01029</t>
  </si>
  <si>
    <t>CGPOWER</t>
  </si>
  <si>
    <t>CG POWER AND IND SOL LTD</t>
  </si>
  <si>
    <t>INE427F01016</t>
  </si>
  <si>
    <t>CHALET</t>
  </si>
  <si>
    <t>CHALET HOTELS LIMITED</t>
  </si>
  <si>
    <t>INE419D01026</t>
  </si>
  <si>
    <t>CLSEL</t>
  </si>
  <si>
    <t>CHAMAN LAL SETIA EXP LTD</t>
  </si>
  <si>
    <t>INE06PV01010</t>
  </si>
  <si>
    <t>CMNL</t>
  </si>
  <si>
    <t>CHAMAN METALLICS LIMITED</t>
  </si>
  <si>
    <t>INE085A01013</t>
  </si>
  <si>
    <t>CHAMBLFERT</t>
  </si>
  <si>
    <t>CHAMBAL FERTILIZERS LTD</t>
  </si>
  <si>
    <t>INE11HG01018</t>
  </si>
  <si>
    <t>CHAMUNDA</t>
  </si>
  <si>
    <t>CHAMUNDA ELECTRICAL LTD</t>
  </si>
  <si>
    <t>INE0B2N01016</t>
  </si>
  <si>
    <t>CHANDAN</t>
  </si>
  <si>
    <t>CHANDAN HEALTHCARE LTD</t>
  </si>
  <si>
    <t>INE0PT101017</t>
  </si>
  <si>
    <t>CHAVDA</t>
  </si>
  <si>
    <t>CHAVDA INFRA LIMITED</t>
  </si>
  <si>
    <t>INE0TGX01019</t>
  </si>
  <si>
    <t>CHEMBONDCH</t>
  </si>
  <si>
    <t>CHEMBOND CHEMICAL LIMITED</t>
  </si>
  <si>
    <t>INE995D01025</t>
  </si>
  <si>
    <t>CHEMBOND</t>
  </si>
  <si>
    <t>CHEMBOND MATERIALTECH LTD</t>
  </si>
  <si>
    <t>INE03YM01018</t>
  </si>
  <si>
    <t>CHEMCON</t>
  </si>
  <si>
    <t>CHEMCON SPECIAL CHEM LTD</t>
  </si>
  <si>
    <t>INE298W01016</t>
  </si>
  <si>
    <t>CHEMCRUX</t>
  </si>
  <si>
    <t>CHEMCRUX ENTERPRISES LTD.</t>
  </si>
  <si>
    <t>INE783X01023</t>
  </si>
  <si>
    <t>CHEMFAB</t>
  </si>
  <si>
    <t>CHEMFAB ALKALIS LIMITED</t>
  </si>
  <si>
    <t>INE488A01050</t>
  </si>
  <si>
    <t>CHEMPLASTS</t>
  </si>
  <si>
    <t>CHEMPLAST SANMAR LIMITED</t>
  </si>
  <si>
    <t>INE178A01016</t>
  </si>
  <si>
    <t>CHENNPETRO</t>
  </si>
  <si>
    <t>CHENNAI PETROLEUM CORP LT</t>
  </si>
  <si>
    <t>INE0U1T01012</t>
  </si>
  <si>
    <t>CHETANA</t>
  </si>
  <si>
    <t>CHETANA EDUCATION LIMITED</t>
  </si>
  <si>
    <t>INE974B01016</t>
  </si>
  <si>
    <t>CHEVIOT</t>
  </si>
  <si>
    <t>CHEVIOT COMPANY LIMITED</t>
  </si>
  <si>
    <t>INE102B01014</t>
  </si>
  <si>
    <t>CHOICEIN</t>
  </si>
  <si>
    <t>CHOICE INTERNATIONAL LTD</t>
  </si>
  <si>
    <t>INF2KCX01012</t>
  </si>
  <si>
    <t>CHOICEGOLD</t>
  </si>
  <si>
    <t>CHOICEAMC - CHOICEGOLD</t>
  </si>
  <si>
    <t>INE149A01033</t>
  </si>
  <si>
    <t>CHOLAHLDNG</t>
  </si>
  <si>
    <t>CHOLAMANDALAM FIN HOL LTD</t>
  </si>
  <si>
    <t>INE121A01024</t>
  </si>
  <si>
    <t>CHOLAFIN</t>
  </si>
  <si>
    <t>CHOLAMANDALAM IN &amp; FIN CO</t>
  </si>
  <si>
    <t>INE536H01010</t>
  </si>
  <si>
    <t>CIEINDIA</t>
  </si>
  <si>
    <t>CIE AUTOMOTIVE INDIA LTD</t>
  </si>
  <si>
    <t>INE704H01022</t>
  </si>
  <si>
    <t>CINELINE</t>
  </si>
  <si>
    <t>CINELINE INDIA LIMITED</t>
  </si>
  <si>
    <t>INE039B01026</t>
  </si>
  <si>
    <t>CINEVISTA</t>
  </si>
  <si>
    <t>CINEVISTA LIMITED</t>
  </si>
  <si>
    <t>INE059A01026</t>
  </si>
  <si>
    <t>CIPLA</t>
  </si>
  <si>
    <t>CIPLA LTD</t>
  </si>
  <si>
    <t>INE2Q7823014</t>
  </si>
  <si>
    <t>CITIUSINVT</t>
  </si>
  <si>
    <t>CITIUS TRANSNET INV TRUST</t>
  </si>
  <si>
    <t>INE491A01021</t>
  </si>
  <si>
    <t>CUB</t>
  </si>
  <si>
    <t>CITY UNION BANK LTD</t>
  </si>
  <si>
    <t>INE201M01029</t>
  </si>
  <si>
    <t>CLEDUCATE</t>
  </si>
  <si>
    <t>CL EDUCATE LIMITED</t>
  </si>
  <si>
    <t>INE0UQ601012</t>
  </si>
  <si>
    <t>CLASSICEIL</t>
  </si>
  <si>
    <t>CLASSIC ELECTRODE (IND) L</t>
  </si>
  <si>
    <t>INE1QGM01024</t>
  </si>
  <si>
    <t>CLAYCRAFT</t>
  </si>
  <si>
    <t>CLAY CRAFT INDIA LIMITED</t>
  </si>
  <si>
    <t>INE647U01026</t>
  </si>
  <si>
    <t>CLEANMAX</t>
  </si>
  <si>
    <t>CLEAN MAX ENVIRO EN SOL L</t>
  </si>
  <si>
    <t>INE227W01023</t>
  </si>
  <si>
    <t>CLEAN</t>
  </si>
  <si>
    <t>CLEAN SCIENCE &amp; TECH LTD</t>
  </si>
  <si>
    <t>INE1EF801010</t>
  </si>
  <si>
    <t>CSSL</t>
  </si>
  <si>
    <t>CLEAR SECURED SERVICES L</t>
  </si>
  <si>
    <t>INE00WV01027</t>
  </si>
  <si>
    <t>CMRGREEN</t>
  </si>
  <si>
    <t>CMR GREEN TECHNOLOGIES L</t>
  </si>
  <si>
    <t>INE925R01014</t>
  </si>
  <si>
    <t>CMSINFO</t>
  </si>
  <si>
    <t>CMS INFO SYSTEMS LIMITED</t>
  </si>
  <si>
    <t>INE522F01014</t>
  </si>
  <si>
    <t>COALINDIA</t>
  </si>
  <si>
    <t>COAL INDIA LTD</t>
  </si>
  <si>
    <t>INE377E01024</t>
  </si>
  <si>
    <t>COASTCORP</t>
  </si>
  <si>
    <t>COASTAL CORPORATION LTD</t>
  </si>
  <si>
    <t>INE704P01025</t>
  </si>
  <si>
    <t>COCHINSHIP</t>
  </si>
  <si>
    <t>COCHIN SHIPYARD LIMITED</t>
  </si>
  <si>
    <t>INE335K01011</t>
  </si>
  <si>
    <t>COFFEEDAY</t>
  </si>
  <si>
    <t>COFFEE DAY ENTERPRISE LTD</t>
  </si>
  <si>
    <t>INE591G01025</t>
  </si>
  <si>
    <t>COFORGE</t>
  </si>
  <si>
    <t>COFORGE LIMITED</t>
  </si>
  <si>
    <t>INE03QK01018</t>
  </si>
  <si>
    <t>COHANCE</t>
  </si>
  <si>
    <t>COHANCE LIFESCIENCES LTD</t>
  </si>
  <si>
    <t>INE259A01022</t>
  </si>
  <si>
    <t>COLPAL</t>
  </si>
  <si>
    <t>COLGATE PALMOLIVE LTD.</t>
  </si>
  <si>
    <t>INE819A01049</t>
  </si>
  <si>
    <t>COMFINTE</t>
  </si>
  <si>
    <t>COMFORT INTECH LTD.</t>
  </si>
  <si>
    <t>INE073V01015</t>
  </si>
  <si>
    <t>COMSYN</t>
  </si>
  <si>
    <t>COMMERCIAL SYN BAGS LTD</t>
  </si>
  <si>
    <t>INE823B01015</t>
  </si>
  <si>
    <t>COMPEAU</t>
  </si>
  <si>
    <t>COMPETENT AUTOMOB CO. L</t>
  </si>
  <si>
    <t>INE070C01037</t>
  </si>
  <si>
    <t>COMPINFO</t>
  </si>
  <si>
    <t>COMPUAGE INFOCOM LTD</t>
  </si>
  <si>
    <t>INE453B01029</t>
  </si>
  <si>
    <t>COMPUSOFT</t>
  </si>
  <si>
    <t>COMPUCOM SOFTWARE LTD</t>
  </si>
  <si>
    <t>INE596I01020</t>
  </si>
  <si>
    <t>CAMS</t>
  </si>
  <si>
    <t>COMPUTER AGE MNGT SER LTD</t>
  </si>
  <si>
    <t>INE338H01029</t>
  </si>
  <si>
    <t>CONCORDBIO</t>
  </si>
  <si>
    <t>CONCORD BIOTECH LIMITED</t>
  </si>
  <si>
    <t>INE037Z01029</t>
  </si>
  <si>
    <t>CEWATER</t>
  </si>
  <si>
    <t>CONCORD ENVIRO SYSTEMS L</t>
  </si>
  <si>
    <t>INE700F01024</t>
  </si>
  <si>
    <t>CFEL</t>
  </si>
  <si>
    <t>CONFIDENCE FUTURIST ENE L</t>
  </si>
  <si>
    <t>INE552D01024</t>
  </si>
  <si>
    <t>CONFIPET</t>
  </si>
  <si>
    <t>CONFIDENCE PETRO IND LTD.</t>
  </si>
  <si>
    <t>INE0EAS01014</t>
  </si>
  <si>
    <t>CONNPLEX</t>
  </si>
  <si>
    <t>CONNPLEX CINEMAS LIMITED</t>
  </si>
  <si>
    <t>INE429I01024</t>
  </si>
  <si>
    <t>CCCL</t>
  </si>
  <si>
    <t>CONS. CONST. CONSORT LTD</t>
  </si>
  <si>
    <t>INE025A01027</t>
  </si>
  <si>
    <t>CONSOFINVT</t>
  </si>
  <si>
    <t>CONSO. FIN. &amp; HOLD. LTD.</t>
  </si>
  <si>
    <t>INE111A01025</t>
  </si>
  <si>
    <t>CONCOR</t>
  </si>
  <si>
    <t>CONTAINER CORP OF IND LTD</t>
  </si>
  <si>
    <t>INE663B01015</t>
  </si>
  <si>
    <t>CONTROLPR</t>
  </si>
  <si>
    <t>CONTROL PRINT LIMITED</t>
  </si>
  <si>
    <t>INE0HS001028</t>
  </si>
  <si>
    <t>COOLCAPS</t>
  </si>
  <si>
    <t>COOL CAPS INDUSTRIES LTD</t>
  </si>
  <si>
    <t>INE558D01021</t>
  </si>
  <si>
    <t>CORALFINAC</t>
  </si>
  <si>
    <t>CORAL INDIA FIN &amp; HOUS LT</t>
  </si>
  <si>
    <t>INE792I01017</t>
  </si>
  <si>
    <t>CORDSCABLE</t>
  </si>
  <si>
    <t>CORDS CABLE INDUS LTD.</t>
  </si>
  <si>
    <t>INE169A01031</t>
  </si>
  <si>
    <t>COROMANDEL</t>
  </si>
  <si>
    <t>COROMANDEL INTERNTL. LTD</t>
  </si>
  <si>
    <t>INE02ZQ01018</t>
  </si>
  <si>
    <t>CORONA</t>
  </si>
  <si>
    <t>CORONA REMEDIES LIMITED</t>
  </si>
  <si>
    <t>INE757A01017</t>
  </si>
  <si>
    <t>COSMOFIRST</t>
  </si>
  <si>
    <t>COSMO FIRST LIMITED</t>
  </si>
  <si>
    <t>INE652F01027</t>
  </si>
  <si>
    <t>CCHHL</t>
  </si>
  <si>
    <t>COUNTRY CLUB HOSP HOL LTD</t>
  </si>
  <si>
    <t>INE695B01025</t>
  </si>
  <si>
    <t>COUNCODOS</t>
  </si>
  <si>
    <t>COUNTRY CONDO S LIMITED</t>
  </si>
  <si>
    <t>INE521J01018</t>
  </si>
  <si>
    <t>CPCAP</t>
  </si>
  <si>
    <t>CP CAPITAL LIMITED</t>
  </si>
  <si>
    <t>INF457M01133</t>
  </si>
  <si>
    <t>CPSEETF</t>
  </si>
  <si>
    <t>CPSE ETF</t>
  </si>
  <si>
    <t>INE00LO01017</t>
  </si>
  <si>
    <t>CRAFTSMAN</t>
  </si>
  <si>
    <t>CRAFTSMAN AUTOMATION LTD</t>
  </si>
  <si>
    <t>INE145E01017</t>
  </si>
  <si>
    <t>CRAVATEX</t>
  </si>
  <si>
    <t>CRAVATEX LTD.</t>
  </si>
  <si>
    <t>INE0OFK01019</t>
  </si>
  <si>
    <t>CRAYONS</t>
  </si>
  <si>
    <t>CRAYONS ADVERTISING LTD</t>
  </si>
  <si>
    <t>INE230B01021</t>
  </si>
  <si>
    <t>CREATIVEYE</t>
  </si>
  <si>
    <t>CREATIVE EYE LIMITED</t>
  </si>
  <si>
    <t>INE0R7401011</t>
  </si>
  <si>
    <t>CGRAPHICS</t>
  </si>
  <si>
    <t>CREATIVE GRAPHICS S IND L</t>
  </si>
  <si>
    <t>INE985W01018</t>
  </si>
  <si>
    <t>CNL</t>
  </si>
  <si>
    <t>CREATIVE NEWTECH LIMITED</t>
  </si>
  <si>
    <t>INE1KPX01025</t>
  </si>
  <si>
    <t>CREDENT</t>
  </si>
  <si>
    <t>CREDENT CONNECT N CARE L</t>
  </si>
  <si>
    <t>INE741K01010</t>
  </si>
  <si>
    <t>CREDITACC</t>
  </si>
  <si>
    <t>CREDITACCESS GRAMEEN LTD</t>
  </si>
  <si>
    <t>INE220Q01020</t>
  </si>
  <si>
    <t>MUFTI</t>
  </si>
  <si>
    <t>CREDO BRANDS MARKETING L</t>
  </si>
  <si>
    <t>INE716D01033</t>
  </si>
  <si>
    <t>CRSL</t>
  </si>
  <si>
    <t>CRESSANDA RAILWAY SOLUT L</t>
  </si>
  <si>
    <t>INE559D01011</t>
  </si>
  <si>
    <t>CREST</t>
  </si>
  <si>
    <t>CREST VENTURES LIMITED</t>
  </si>
  <si>
    <t>INE007A01025</t>
  </si>
  <si>
    <t>CRISIL</t>
  </si>
  <si>
    <t>CRISIL LTD</t>
  </si>
  <si>
    <t>INE0S4R01014</t>
  </si>
  <si>
    <t>CRIZAC</t>
  </si>
  <si>
    <t>CRIZAC LIMITED</t>
  </si>
  <si>
    <t>INE299U01018</t>
  </si>
  <si>
    <t>CROMPTON</t>
  </si>
  <si>
    <t>CROMPT GREA CON ELEC LTD</t>
  </si>
  <si>
    <t>INE491V01019</t>
  </si>
  <si>
    <t>CROWN</t>
  </si>
  <si>
    <t>CROWN LIFTERS LIMITED</t>
  </si>
  <si>
    <t>INE679A01013</t>
  </si>
  <si>
    <t>CSBBANK</t>
  </si>
  <si>
    <t>CSB BANK LIMITED</t>
  </si>
  <si>
    <t>INE718F01018</t>
  </si>
  <si>
    <t>CSLFINANCE</t>
  </si>
  <si>
    <t>CSL FINANCE LIMITED</t>
  </si>
  <si>
    <t>INE0ZK601013</t>
  </si>
  <si>
    <t>CSM</t>
  </si>
  <si>
    <t>CSM TECHNOLOGIES LIMITED</t>
  </si>
  <si>
    <t>INE0NR623014</t>
  </si>
  <si>
    <t>CUBEINVIT</t>
  </si>
  <si>
    <t>CUBE HIGHWAYS TRUST</t>
  </si>
  <si>
    <t>INE144D01012</t>
  </si>
  <si>
    <t>CUBEXTUB</t>
  </si>
  <si>
    <t>CUBEX TUBINGS LTD</t>
  </si>
  <si>
    <t>INE298A01020</t>
  </si>
  <si>
    <t>CUMMINSIND</t>
  </si>
  <si>
    <t>CUMMINS INDIA LTD</t>
  </si>
  <si>
    <t>INE509F01029</t>
  </si>
  <si>
    <t>CUPID</t>
  </si>
  <si>
    <t>CUPID LIMITED</t>
  </si>
  <si>
    <t>INE117B01020</t>
  </si>
  <si>
    <t>CURAA</t>
  </si>
  <si>
    <t>CURA TECHNOLOGIES LIMITED</t>
  </si>
  <si>
    <t>INE1BZN01016</t>
  </si>
  <si>
    <t>CURIS</t>
  </si>
  <si>
    <t>CURIS LIFESCIENCES LTD</t>
  </si>
  <si>
    <t>INE1CRQ01014</t>
  </si>
  <si>
    <t>CURRENT</t>
  </si>
  <si>
    <t>CURRENT INFRAPROJECTS LTD</t>
  </si>
  <si>
    <t>INE278G01037</t>
  </si>
  <si>
    <t>CYBERMEDIA</t>
  </si>
  <si>
    <t>CYBER MEDIA (INDIA) LTD.</t>
  </si>
  <si>
    <t>INE214A01019</t>
  </si>
  <si>
    <t>CYBERTECH</t>
  </si>
  <si>
    <t>CYBERTECH SYSTEMS &amp; SOFTW</t>
  </si>
  <si>
    <t>INE055S01018</t>
  </si>
  <si>
    <t>CYIENTDLM</t>
  </si>
  <si>
    <t>CYIENT DLM LIMITED</t>
  </si>
  <si>
    <t>INE136B01020</t>
  </si>
  <si>
    <t>CYIENT</t>
  </si>
  <si>
    <t>CYIENT LIMITED</t>
  </si>
  <si>
    <t>INE0GN101014</t>
  </si>
  <si>
    <t>DKEGL</t>
  </si>
  <si>
    <t>D K ENTERPRISES GLOBAL L</t>
  </si>
  <si>
    <t>INE864X01013</t>
  </si>
  <si>
    <t>DPWIRES</t>
  </si>
  <si>
    <t>D P WIRES LIMITED</t>
  </si>
  <si>
    <t>INE250K01012</t>
  </si>
  <si>
    <t>DLINKINDIA</t>
  </si>
  <si>
    <t>D-LINK INDIA LTD</t>
  </si>
  <si>
    <t>INE266Y01019</t>
  </si>
  <si>
    <t>DPABHUSHAN</t>
  </si>
  <si>
    <t>D. P. ABHUSHAN LIMITED</t>
  </si>
  <si>
    <t>INE950I01011</t>
  </si>
  <si>
    <t>DBCORP</t>
  </si>
  <si>
    <t>D.B.CORP LTD</t>
  </si>
  <si>
    <t>INE016A01026</t>
  </si>
  <si>
    <t>DABUR</t>
  </si>
  <si>
    <t>DABUR INDIA LTD</t>
  </si>
  <si>
    <t>INE928C01010</t>
  </si>
  <si>
    <t>DAICHI</t>
  </si>
  <si>
    <t>DAI-ICHI KARKARIA LTD.</t>
  </si>
  <si>
    <t>INE00R701025</t>
  </si>
  <si>
    <t>DALBHARAT</t>
  </si>
  <si>
    <t>DALMIA BHARAT LIMITED</t>
  </si>
  <si>
    <t>INE495A01022</t>
  </si>
  <si>
    <t>DALMIASUG</t>
  </si>
  <si>
    <t>DALMIA BHARAT SUG IN LTD</t>
  </si>
  <si>
    <t>INE284H01025</t>
  </si>
  <si>
    <t>DAMCAPITAL</t>
  </si>
  <si>
    <t>DAM CAPITAL ADVISORS LTD</t>
  </si>
  <si>
    <t>INE497D01022</t>
  </si>
  <si>
    <t>DAMODARIND</t>
  </si>
  <si>
    <t>DAMODAR INDUSTRIES LTD</t>
  </si>
  <si>
    <t>INE688Y01022</t>
  </si>
  <si>
    <t>DANGEE</t>
  </si>
  <si>
    <t>DANGEE DUMS LIMITED</t>
  </si>
  <si>
    <t>INE0YU901016</t>
  </si>
  <si>
    <t>DANISH</t>
  </si>
  <si>
    <t>DANISH POWER LIMITED</t>
  </si>
  <si>
    <t>INE04Q901010</t>
  </si>
  <si>
    <t>DCCL</t>
  </si>
  <si>
    <t>DAR CREDIT &amp; CAPITAL LTD</t>
  </si>
  <si>
    <t>INE0IX101010</t>
  </si>
  <si>
    <t>DATAPATTNS</t>
  </si>
  <si>
    <t>DATA PATTERNS INDIA LTD</t>
  </si>
  <si>
    <t>INE365B01017</t>
  </si>
  <si>
    <t>DATAMATICS</t>
  </si>
  <si>
    <t>DATAMATICS GLOBAL SER LTD</t>
  </si>
  <si>
    <t>INE179G01029</t>
  </si>
  <si>
    <t>DAVANGERE</t>
  </si>
  <si>
    <t>DAVANGERE SUGAR COMPANY L</t>
  </si>
  <si>
    <t>INE921B01025</t>
  </si>
  <si>
    <t>DBSTOCKBRO</t>
  </si>
  <si>
    <t>DB (INT) STOCK BROKERS</t>
  </si>
  <si>
    <t>INE0A1101019</t>
  </si>
  <si>
    <t>DCI</t>
  </si>
  <si>
    <t>DC INFOTECH AND COMUN LTD</t>
  </si>
  <si>
    <t>INE503A01015</t>
  </si>
  <si>
    <t>DCBBANK</t>
  </si>
  <si>
    <t>DCB BANK LIMITED</t>
  </si>
  <si>
    <t>INE0S8401018</t>
  </si>
  <si>
    <t>DCG</t>
  </si>
  <si>
    <t>DCG CABLES &amp; WIRES LTD</t>
  </si>
  <si>
    <t>INE891B01012</t>
  </si>
  <si>
    <t>DCMFINSERV</t>
  </si>
  <si>
    <t>DCM FINANCIAL SERVICES LT</t>
  </si>
  <si>
    <t>INE498A01018</t>
  </si>
  <si>
    <t>DCM</t>
  </si>
  <si>
    <t>DCM LIMITED</t>
  </si>
  <si>
    <t>INE08KP01019</t>
  </si>
  <si>
    <t>DCMNVL</t>
  </si>
  <si>
    <t>DCM NOUVELLE LIMITED</t>
  </si>
  <si>
    <t>INE0OFM01015</t>
  </si>
  <si>
    <t>DSFCL</t>
  </si>
  <si>
    <t>DCM SHRIRAM FINE CHEM LTD</t>
  </si>
  <si>
    <t>INE843D01027</t>
  </si>
  <si>
    <t>DCMSRIND</t>
  </si>
  <si>
    <t>DCM SHRIRAM IND LTD</t>
  </si>
  <si>
    <t>INE0OU201013</t>
  </si>
  <si>
    <t>DCMSIL</t>
  </si>
  <si>
    <t>DCM SHRIRAM INTERNATNL L</t>
  </si>
  <si>
    <t>INE499A01024</t>
  </si>
  <si>
    <t>DCMSHRIRAM</t>
  </si>
  <si>
    <t>DCM SHRIRAM LIMITED</t>
  </si>
  <si>
    <t>INE500A01029</t>
  </si>
  <si>
    <t>DCW</t>
  </si>
  <si>
    <t>DCW LTD</t>
  </si>
  <si>
    <t>INE0KL801015</t>
  </si>
  <si>
    <t>DCXINDIA</t>
  </si>
  <si>
    <t>DCX SYSTEMS LIMITED</t>
  </si>
  <si>
    <t>INE0HR601026</t>
  </si>
  <si>
    <t>DDEVPLSTIK</t>
  </si>
  <si>
    <t>DDEV PLASTIKS IND LTD</t>
  </si>
  <si>
    <t>INE0JWV01011</t>
  </si>
  <si>
    <t>DENEERS</t>
  </si>
  <si>
    <t>DE NEERS TOOLS LIMITED</t>
  </si>
  <si>
    <t>INE244A01016</t>
  </si>
  <si>
    <t>DENORA</t>
  </si>
  <si>
    <t>DE NORA INDIA LIMITED</t>
  </si>
  <si>
    <t>INE583C01021</t>
  </si>
  <si>
    <t>DECCANCE</t>
  </si>
  <si>
    <t>DECCAN CEMENTS LIMITED</t>
  </si>
  <si>
    <t>INE945F01025</t>
  </si>
  <si>
    <t>DECNGOLD</t>
  </si>
  <si>
    <t>DECCAN GOLD MINES LTD.</t>
  </si>
  <si>
    <t>INE0S7C01019</t>
  </si>
  <si>
    <t>DECCANTRAN</t>
  </si>
  <si>
    <t>DECCAN TRANSCON LEASING L</t>
  </si>
  <si>
    <t>INE841L01016</t>
  </si>
  <si>
    <t>DEEDEV</t>
  </si>
  <si>
    <t>DEE DEVELOPMENT ENG LTD</t>
  </si>
  <si>
    <t>INE586O01011</t>
  </si>
  <si>
    <t>DEEM</t>
  </si>
  <si>
    <t>DEEM ROLL TECH LIMITED</t>
  </si>
  <si>
    <t>INE0FHS01024</t>
  </si>
  <si>
    <t>DEEPINDS</t>
  </si>
  <si>
    <t>DEEP INDUSTRIES LIMITED</t>
  </si>
  <si>
    <t>INE00IY01012</t>
  </si>
  <si>
    <t>DEEP</t>
  </si>
  <si>
    <t>DEEP POLYMERS LTD.</t>
  </si>
  <si>
    <t>INE1M2N01020</t>
  </si>
  <si>
    <t>DEEPA</t>
  </si>
  <si>
    <t>DEEPA JEWELLERS LIMITED</t>
  </si>
  <si>
    <t>INE0OPA01027</t>
  </si>
  <si>
    <t>DBEIL</t>
  </si>
  <si>
    <t>DEEPAK BUILDERS &amp; ENG I L</t>
  </si>
  <si>
    <t>INE501A01019</t>
  </si>
  <si>
    <t>DEEPAKFERT</t>
  </si>
  <si>
    <t>DEEPAK FERTILIZERS &amp; PETR</t>
  </si>
  <si>
    <t>INE288B01029</t>
  </si>
  <si>
    <t>DEEPAKNTR</t>
  </si>
  <si>
    <t>DEEPAK NITRITE LTD</t>
  </si>
  <si>
    <t>INE0SK801018</t>
  </si>
  <si>
    <t>DELAPLEX</t>
  </si>
  <si>
    <t>DELAPLEX LIMITED</t>
  </si>
  <si>
    <t>INE148O01028</t>
  </si>
  <si>
    <t>DELHIVERY</t>
  </si>
  <si>
    <t>DELHIVERY LIMITED</t>
  </si>
  <si>
    <t>INE726L01027</t>
  </si>
  <si>
    <t>DELPHIFX</t>
  </si>
  <si>
    <t>DELPHI WORLD MONEY LTD</t>
  </si>
  <si>
    <t>INE0XRN01019</t>
  </si>
  <si>
    <t>DELTIC</t>
  </si>
  <si>
    <t>DELTA AUTOCORP LIMITED</t>
  </si>
  <si>
    <t>INE124G01033</t>
  </si>
  <si>
    <t>DELTACORP</t>
  </si>
  <si>
    <t>DELTA CORP LIMITED</t>
  </si>
  <si>
    <t>INE393A01011</t>
  </si>
  <si>
    <t>DELTAMAGNT</t>
  </si>
  <si>
    <t>DELTA MANUFACTURING LTD</t>
  </si>
  <si>
    <t>INE947J01015</t>
  </si>
  <si>
    <t>DEN</t>
  </si>
  <si>
    <t>DEN NETWORKS LTD</t>
  </si>
  <si>
    <t>INE0R4L01018</t>
  </si>
  <si>
    <t>DENTA</t>
  </si>
  <si>
    <t>DENTA WATER N INFRA SOL L</t>
  </si>
  <si>
    <t>INE0VOV01021</t>
  </si>
  <si>
    <t>DEVX</t>
  </si>
  <si>
    <t>DEV ACCELERATOR LIMITED</t>
  </si>
  <si>
    <t>INE060X01034</t>
  </si>
  <si>
    <t>DEVIT</t>
  </si>
  <si>
    <t>DEV INFO TECHNOLOGY LTD</t>
  </si>
  <si>
    <t>INE872J01023</t>
  </si>
  <si>
    <t>DEVYANI</t>
  </si>
  <si>
    <t>DEVYANI INTERNATIONAL LTD</t>
  </si>
  <si>
    <t>INE260R01016</t>
  </si>
  <si>
    <t>DHABRIYA</t>
  </si>
  <si>
    <t>DHABRIYA POLYWOOD LTD.</t>
  </si>
  <si>
    <t>INE0I3401014</t>
  </si>
  <si>
    <t>DBOL</t>
  </si>
  <si>
    <t>DHAMPUR BIO ORGANICS LTD</t>
  </si>
  <si>
    <t>INE041A01016</t>
  </si>
  <si>
    <t>DHAMPURSUG</t>
  </si>
  <si>
    <t>DHAMPUR SUGAR MILLS LTD.</t>
  </si>
  <si>
    <t>INE680A01011</t>
  </si>
  <si>
    <t>DHANBANK</t>
  </si>
  <si>
    <t>DHANLAXMI BANK LIMITED</t>
  </si>
  <si>
    <t>INE0V9V01010</t>
  </si>
  <si>
    <t>DHANLAXMI</t>
  </si>
  <si>
    <t>DHANLAXMI CROP SCIENCE L</t>
  </si>
  <si>
    <t>INE0M3I01029</t>
  </si>
  <si>
    <t>DHANSA</t>
  </si>
  <si>
    <t>DHANSA LABS LIMITED</t>
  </si>
  <si>
    <t>INE435G01025</t>
  </si>
  <si>
    <t>DHANUKA</t>
  </si>
  <si>
    <t>DHANUKA AGRITECH LTD</t>
  </si>
  <si>
    <t>INE2HJL01019</t>
  </si>
  <si>
    <t>DHARARAIL</t>
  </si>
  <si>
    <t>DHARA RAIL PROJECTS LTD</t>
  </si>
  <si>
    <t>INE278R01034</t>
  </si>
  <si>
    <t>DHARAN</t>
  </si>
  <si>
    <t>DHARAN INFRA-EPC LIMITED</t>
  </si>
  <si>
    <t>INE0YRN01025</t>
  </si>
  <si>
    <t>DHARIWAL</t>
  </si>
  <si>
    <t>DHARIWALCORP LIMITED</t>
  </si>
  <si>
    <t>INE00OQ01016</t>
  </si>
  <si>
    <t>DHARMAJ</t>
  </si>
  <si>
    <t>DHARMAJ CROP GUARD LTD</t>
  </si>
  <si>
    <t>INE715T01031</t>
  </si>
  <si>
    <t>DHATRE</t>
  </si>
  <si>
    <t>DHATRE UDYOG LTD.</t>
  </si>
  <si>
    <t>INE01NH01023</t>
  </si>
  <si>
    <t>DHOOTTRANS</t>
  </si>
  <si>
    <t>DHOOT TRANSMISSION LTD</t>
  </si>
  <si>
    <t>INE506Z01015</t>
  </si>
  <si>
    <t>DHRUV</t>
  </si>
  <si>
    <t>DHRUV CONSULTANCY SER LTD</t>
  </si>
  <si>
    <t>INE320L01011</t>
  </si>
  <si>
    <t>DHUNINV</t>
  </si>
  <si>
    <t>DHUNSERI INVESTMENTS LTD</t>
  </si>
  <si>
    <t>INE341R01014</t>
  </si>
  <si>
    <t>DTIL</t>
  </si>
  <si>
    <t>DHUNSERI TEA &amp; IND. LTD.</t>
  </si>
  <si>
    <t>INE477B01010</t>
  </si>
  <si>
    <t>DVL</t>
  </si>
  <si>
    <t>DHUNSERI VENTURES LIMITED</t>
  </si>
  <si>
    <t>INE591D01014</t>
  </si>
  <si>
    <t>DIAMINESQ</t>
  </si>
  <si>
    <t>DIAMINES &amp; CHEMICALS LTD</t>
  </si>
  <si>
    <t>INE989C01038</t>
  </si>
  <si>
    <t>DIACABS</t>
  </si>
  <si>
    <t>DIAMOND POWER INFRA LTD</t>
  </si>
  <si>
    <t>INE303A01010</t>
  </si>
  <si>
    <t>DICIND</t>
  </si>
  <si>
    <t>DIC INDIA LIMITED</t>
  </si>
  <si>
    <t>INE184O01015</t>
  </si>
  <si>
    <t>DIFFNKG</t>
  </si>
  <si>
    <t>DIFFUSION ENGINEERS LTD</t>
  </si>
  <si>
    <t>INE03JI01017</t>
  </si>
  <si>
    <t>DGCONTENT</t>
  </si>
  <si>
    <t>DIGICONTENT LIMITED</t>
  </si>
  <si>
    <t>INE0PSC01024</t>
  </si>
  <si>
    <t>DIGIDRIVE</t>
  </si>
  <si>
    <t>DIGIDRIVE DISTRIBUTORS L</t>
  </si>
  <si>
    <t>INE0QJ901011</t>
  </si>
  <si>
    <t>DIGIKORE</t>
  </si>
  <si>
    <t>DIGIKORE STUDIOS LIMITED</t>
  </si>
  <si>
    <t>INE927C01020</t>
  </si>
  <si>
    <t>DIGISPICE</t>
  </si>
  <si>
    <t>DIGISPICE TECHNOLOGIES LT</t>
  </si>
  <si>
    <t>INE0U4701011</t>
  </si>
  <si>
    <t>DIGITIDE</t>
  </si>
  <si>
    <t>DIGITIDE SOLUTIONS LTD</t>
  </si>
  <si>
    <t>INE731U01028</t>
  </si>
  <si>
    <t>DIGJAMLMTD</t>
  </si>
  <si>
    <t>DIGJAM LTD</t>
  </si>
  <si>
    <t>INE016M01021</t>
  </si>
  <si>
    <t>DNAMEDIA</t>
  </si>
  <si>
    <t>DILIGENT MEDIA CORP LTD.</t>
  </si>
  <si>
    <t>INE917M01012</t>
  </si>
  <si>
    <t>DBL</t>
  </si>
  <si>
    <t>DILIP BUILDCON LIMITED</t>
  </si>
  <si>
    <t>INE131C01011</t>
  </si>
  <si>
    <t>DISAQ</t>
  </si>
  <si>
    <t>DISA INDIA LTD.</t>
  </si>
  <si>
    <t>INE836F01026</t>
  </si>
  <si>
    <t>DISHTV</t>
  </si>
  <si>
    <t>DISH TV INDIA LTD.</t>
  </si>
  <si>
    <t>INE385W01011</t>
  </si>
  <si>
    <t>DCAL</t>
  </si>
  <si>
    <t>DISHMAN CARBO AMCIS LTD</t>
  </si>
  <si>
    <t>INE753U01022</t>
  </si>
  <si>
    <t>DIVGIITTS</t>
  </si>
  <si>
    <t>DIVGI TORQTRANSFER SYST L</t>
  </si>
  <si>
    <t>INE361B01024</t>
  </si>
  <si>
    <t>DIVISLAB</t>
  </si>
  <si>
    <t>DIVI S LABORATORIES LTD</t>
  </si>
  <si>
    <t>INE0NA501011</t>
  </si>
  <si>
    <t>DIVINEHIRA</t>
  </si>
  <si>
    <t>DIVINE HIRA JEWELLERS LTD</t>
  </si>
  <si>
    <t>INE0SCO01019</t>
  </si>
  <si>
    <t>DPEL</t>
  </si>
  <si>
    <t>DIVINE POWER ENERGY LTD</t>
  </si>
  <si>
    <t>INE0QYI01019</t>
  </si>
  <si>
    <t>DIVYADHAN</t>
  </si>
  <si>
    <t>DIVYADHAN RECYCLING IND L</t>
  </si>
  <si>
    <t>INE935N01020</t>
  </si>
  <si>
    <t>DIXON</t>
  </si>
  <si>
    <t>DIXON TECHNO (INDIA) LTD</t>
  </si>
  <si>
    <t>INE0B1K01014</t>
  </si>
  <si>
    <t>DJML</t>
  </si>
  <si>
    <t>DJ MEDIAPRINT &amp; LOG LTD</t>
  </si>
  <si>
    <t>INE271C01023</t>
  </si>
  <si>
    <t>DLF</t>
  </si>
  <si>
    <t>DLF LIMITED</t>
  </si>
  <si>
    <t>INE505A01010</t>
  </si>
  <si>
    <t>DMCC</t>
  </si>
  <si>
    <t>DMCC SPECIALITY CHEMICALS</t>
  </si>
  <si>
    <t>INE021O01019</t>
  </si>
  <si>
    <t>DODLA</t>
  </si>
  <si>
    <t>DODLA DAIRY LIMITED</t>
  </si>
  <si>
    <t>INE966A01022</t>
  </si>
  <si>
    <t>DOLATALGO</t>
  </si>
  <si>
    <t>DOLAT ALGOTECH LIMITED</t>
  </si>
  <si>
    <t>INE325C01035</t>
  </si>
  <si>
    <t>DOLLAR</t>
  </si>
  <si>
    <t>DOLLAR INDUSTRIES LIMITED</t>
  </si>
  <si>
    <t>INE0JHH01011</t>
  </si>
  <si>
    <t>DOLLEX</t>
  </si>
  <si>
    <t>DOLLEX AGROTECH LIMITED</t>
  </si>
  <si>
    <t>INE920A01037</t>
  </si>
  <si>
    <t>DOLPHIN</t>
  </si>
  <si>
    <t>DOLPHIN OFF ENT (IND) L</t>
  </si>
  <si>
    <t>INE321T01012</t>
  </si>
  <si>
    <t>DOMS</t>
  </si>
  <si>
    <t>DOMS INDUSTRIES LIMITED</t>
  </si>
  <si>
    <t>INE668D01028</t>
  </si>
  <si>
    <t>DONEAR</t>
  </si>
  <si>
    <t>DONEAR IND. LIMITED</t>
  </si>
  <si>
    <t>INE360C01024</t>
  </si>
  <si>
    <t>DPSCLTD</t>
  </si>
  <si>
    <t>DPSC LIMITED</t>
  </si>
  <si>
    <t>INE943P01029</t>
  </si>
  <si>
    <t>AGARWALEYE</t>
  </si>
  <si>
    <t>DR AGARWALS HEALTH CARE L</t>
  </si>
  <si>
    <t>INE934C01018</t>
  </si>
  <si>
    <t>DRAGARWQ</t>
  </si>
  <si>
    <t>DR. AGARWAL'S EYE HOSP L</t>
  </si>
  <si>
    <t>INE600L01024</t>
  </si>
  <si>
    <t>LALPATHLAB</t>
  </si>
  <si>
    <t>DR. LAL PATH LABS LTD.</t>
  </si>
  <si>
    <t>INE089A01031</t>
  </si>
  <si>
    <t>DRREDDY</t>
  </si>
  <si>
    <t>DR. REDDY S LABORATORIES</t>
  </si>
  <si>
    <t>INE03RS01027</t>
  </si>
  <si>
    <t>DRCSYSTEMS</t>
  </si>
  <si>
    <t>DRC SYSTEMS INDIA LIMITED</t>
  </si>
  <si>
    <t>INE0JS101016</t>
  </si>
  <si>
    <t>DREAMFOLKS</t>
  </si>
  <si>
    <t>DREAMFOLKS SERVICES LTD</t>
  </si>
  <si>
    <t>INE506A01018</t>
  </si>
  <si>
    <t>DREDGECORP</t>
  </si>
  <si>
    <t>DREDGING CORP OF INDIA</t>
  </si>
  <si>
    <t>INE0P7201019</t>
  </si>
  <si>
    <t>DRONE</t>
  </si>
  <si>
    <t>DRONE DESTINATION LIMITED</t>
  </si>
  <si>
    <t>INE055C01020</t>
  </si>
  <si>
    <t>KEEPLEARN</t>
  </si>
  <si>
    <t>DSJ KEEP LEARNING LTD</t>
  </si>
  <si>
    <t>INF740KA1EU7</t>
  </si>
  <si>
    <t>LIQUIDETF</t>
  </si>
  <si>
    <t>DSP LIQUID ETF</t>
  </si>
  <si>
    <t>INF740KA1YH2</t>
  </si>
  <si>
    <t>BANK10ADD</t>
  </si>
  <si>
    <t>DSPAMC - BANK10ADD</t>
  </si>
  <si>
    <t>INF740KA1RX3</t>
  </si>
  <si>
    <t>BANKADD</t>
  </si>
  <si>
    <t>DSPAMC - DSPBANK</t>
  </si>
  <si>
    <t>INF740KA1ZP2</t>
  </si>
  <si>
    <t>GOLDADD</t>
  </si>
  <si>
    <t>DSPAMC - DSPGOLD</t>
  </si>
  <si>
    <t>INF740KA1SX1</t>
  </si>
  <si>
    <t>ITADD</t>
  </si>
  <si>
    <t>DSPAMC - DSPIT</t>
  </si>
  <si>
    <t>INF740KA1QK2</t>
  </si>
  <si>
    <t>EQUAL50ADD</t>
  </si>
  <si>
    <t>DSPAMC - DSPNEWETF</t>
  </si>
  <si>
    <t>INF740KA1CL0</t>
  </si>
  <si>
    <t>NIFTYADD</t>
  </si>
  <si>
    <t>DSPAMC - DSPNIFTY</t>
  </si>
  <si>
    <t>INF740KA1SY9</t>
  </si>
  <si>
    <t>PSUBANKADD</t>
  </si>
  <si>
    <t>DSPAMC - DSPPSBKETF</t>
  </si>
  <si>
    <t>INF740KA1TA7</t>
  </si>
  <si>
    <t>PVTBANKADD</t>
  </si>
  <si>
    <t>DSPAMC - DSPPVBKETF</t>
  </si>
  <si>
    <t>INF740KA1ZF3</t>
  </si>
  <si>
    <t>MIDQ50ADD</t>
  </si>
  <si>
    <t>DSPAMC - DSPQ50ETF</t>
  </si>
  <si>
    <t>INF740KA1SZ6</t>
  </si>
  <si>
    <t>SENSEXADD</t>
  </si>
  <si>
    <t>DSPAMC - DSPSENXETF</t>
  </si>
  <si>
    <t>INF740KA1ZQ0</t>
  </si>
  <si>
    <t>SILVERADD</t>
  </si>
  <si>
    <t>DSPAMC - DSPSILVETF</t>
  </si>
  <si>
    <t>INF740KA1WU9</t>
  </si>
  <si>
    <t>FLEXIADD</t>
  </si>
  <si>
    <t>DSPAMC - FLEXIADD</t>
  </si>
  <si>
    <t>INF740KA1ZA4</t>
  </si>
  <si>
    <t>FMCGADD</t>
  </si>
  <si>
    <t>DSPAMC - FMCGADD</t>
  </si>
  <si>
    <t>INF740KA1ZI7</t>
  </si>
  <si>
    <t>GSEC10ADD</t>
  </si>
  <si>
    <t>DSPAMC - GSEC10ADD</t>
  </si>
  <si>
    <t>INF740KA1ZG1</t>
  </si>
  <si>
    <t>HEALTHADD</t>
  </si>
  <si>
    <t>DSPAMC - HEALTHADD</t>
  </si>
  <si>
    <t>INF740KA1UM0</t>
  </si>
  <si>
    <t>LIQUIDADD</t>
  </si>
  <si>
    <t>DSPAMC - LIQUIDADD</t>
  </si>
  <si>
    <t>INF740KA1ZH9</t>
  </si>
  <si>
    <t>MIDBANKADD</t>
  </si>
  <si>
    <t>DSPAMC - MIDBANKADD</t>
  </si>
  <si>
    <t>INF740KA1WW5</t>
  </si>
  <si>
    <t>MIDCAPADD</t>
  </si>
  <si>
    <t>DSPAMC - MIDCAPADD</t>
  </si>
  <si>
    <t>INF740KA1WV7</t>
  </si>
  <si>
    <t>MSCIADD</t>
  </si>
  <si>
    <t>DSPAMC - MSCIADD</t>
  </si>
  <si>
    <t>INF740KA1VE5</t>
  </si>
  <si>
    <t>NEXT30ADD</t>
  </si>
  <si>
    <t>DSPAMC - NEXT30ADD</t>
  </si>
  <si>
    <t>INF740KA1XU7</t>
  </si>
  <si>
    <t>NEXT50ADD</t>
  </si>
  <si>
    <t>DSPAMC - NEXT50ADD</t>
  </si>
  <si>
    <t>INF740KA1WX3</t>
  </si>
  <si>
    <t>SMALLADD</t>
  </si>
  <si>
    <t>DSPAMC - SMALLADD</t>
  </si>
  <si>
    <t>INF740KA1UR9</t>
  </si>
  <si>
    <t>TOP10ADD</t>
  </si>
  <si>
    <t>DSPAMC - TOP10ADD</t>
  </si>
  <si>
    <t>INE0LZO01015</t>
  </si>
  <si>
    <t>DUCOL</t>
  </si>
  <si>
    <t>DUCOL ORGS AND COLOURS LT</t>
  </si>
  <si>
    <t>INE741L01018</t>
  </si>
  <si>
    <t>DUCON</t>
  </si>
  <si>
    <t>DUCON INFRATECHNOLOGIES L</t>
  </si>
  <si>
    <t>INE0HPK01020</t>
  </si>
  <si>
    <t>DUGLOBAL</t>
  </si>
  <si>
    <t>DUDIGITAL GLOBAL LIMITED</t>
  </si>
  <si>
    <t>INE0OUW01013</t>
  </si>
  <si>
    <t>DURLAX</t>
  </si>
  <si>
    <t>DURLAX TOP SURFACE LTD</t>
  </si>
  <si>
    <t>INE366A01041</t>
  </si>
  <si>
    <t>DWARKESH</t>
  </si>
  <si>
    <t>DWARIKESH SUGAR IND LTD</t>
  </si>
  <si>
    <t>INE417B01040</t>
  </si>
  <si>
    <t>DSSL</t>
  </si>
  <si>
    <t>DYNACONS SYS &amp; SOLN LTD</t>
  </si>
  <si>
    <t>INE221B01012</t>
  </si>
  <si>
    <t>DYNAMATECH</t>
  </si>
  <si>
    <t>DYNAMATIC TECHNOLOGIES</t>
  </si>
  <si>
    <t>INE600Y01019</t>
  </si>
  <si>
    <t>DYCL</t>
  </si>
  <si>
    <t>DYNAMIC CABLES LIMITED</t>
  </si>
  <si>
    <t>INE0DZ701010</t>
  </si>
  <si>
    <t>DYNAMIC</t>
  </si>
  <si>
    <t>DYNAMIC SRVCS &amp; SEC LTD</t>
  </si>
  <si>
    <t>INE256H01015</t>
  </si>
  <si>
    <t>DYNPRO</t>
  </si>
  <si>
    <t>DYNEMIC PRODUCTS LIMITED</t>
  </si>
  <si>
    <t>INE0KFF01017</t>
  </si>
  <si>
    <t>EFACTOR</t>
  </si>
  <si>
    <t>E FACTOR EXPERIENCES LTD</t>
  </si>
  <si>
    <t>INE1CEJ01017</t>
  </si>
  <si>
    <t>E2ERAIL</t>
  </si>
  <si>
    <t>E TO E TRANS INFRA LTD</t>
  </si>
  <si>
    <t>INE255Z01027</t>
  </si>
  <si>
    <t>E2E NETWORKS LIMITED</t>
  </si>
  <si>
    <t>INE595R01023</t>
  </si>
  <si>
    <t>EASTWEST</t>
  </si>
  <si>
    <t>EAST WEST FREIGHT CARRI L</t>
  </si>
  <si>
    <t>INE962C01035</t>
  </si>
  <si>
    <t>EASTSILK</t>
  </si>
  <si>
    <t>EASTERN SILK INDUSTRIES L</t>
  </si>
  <si>
    <t>INE07O001026</t>
  </si>
  <si>
    <t>EASEMYTRIP</t>
  </si>
  <si>
    <t>EASY TRIP PLANNERS LTD</t>
  </si>
  <si>
    <t>INE432F01032</t>
  </si>
  <si>
    <t>EBIX</t>
  </si>
  <si>
    <t>EBIX LIMITED</t>
  </si>
  <si>
    <t>INE528S07110</t>
  </si>
  <si>
    <t>888ECL28</t>
  </si>
  <si>
    <t>N1</t>
  </si>
  <si>
    <t>ECL 8.88% 2028 SR V</t>
  </si>
  <si>
    <t>INE528S07128</t>
  </si>
  <si>
    <t>925ECL28</t>
  </si>
  <si>
    <t>ECL 9.25% 2028 SR VI</t>
  </si>
  <si>
    <t>INE738I01010</t>
  </si>
  <si>
    <t>ECLERX</t>
  </si>
  <si>
    <t>ECLERX SERVICES LTD</t>
  </si>
  <si>
    <t>INE316A01038</t>
  </si>
  <si>
    <t>ECORECO</t>
  </si>
  <si>
    <t>ECO RECYCLING LTD.</t>
  </si>
  <si>
    <t>INE0VBS01016</t>
  </si>
  <si>
    <t>ECOLINE</t>
  </si>
  <si>
    <t>ECOLINE EXIM LIMITED</t>
  </si>
  <si>
    <t>INE06HJ01020</t>
  </si>
  <si>
    <t>ECOSMOBLTY</t>
  </si>
  <si>
    <t>ECOS (INDIA) MOB &amp; HOSP L</t>
  </si>
  <si>
    <t>INF754K01OB1</t>
  </si>
  <si>
    <t>BBETF0432</t>
  </si>
  <si>
    <t>EDELAMC - BBETF0432</t>
  </si>
  <si>
    <t>INF754K01XH9</t>
  </si>
  <si>
    <t>EBANK10</t>
  </si>
  <si>
    <t>EDELAMC - EBANK10</t>
  </si>
  <si>
    <t>INF754K01TE4</t>
  </si>
  <si>
    <t>EBANKNIFTY</t>
  </si>
  <si>
    <t>EDELAMC - EBANKNIFTY</t>
  </si>
  <si>
    <t>INF754K01KO2</t>
  </si>
  <si>
    <t>EBBETF0430</t>
  </si>
  <si>
    <t>EDELAMC - EBBETF0430</t>
  </si>
  <si>
    <t>INF754K01LE1</t>
  </si>
  <si>
    <t>EBBETF0431</t>
  </si>
  <si>
    <t>EDELAMC - EBBETF0431</t>
  </si>
  <si>
    <t>INF754K01QX0</t>
  </si>
  <si>
    <t>EBBETF0433</t>
  </si>
  <si>
    <t>EDELAMC - EBBETF0433</t>
  </si>
  <si>
    <t>INF754K01TX4</t>
  </si>
  <si>
    <t>ECAPINSURE</t>
  </si>
  <si>
    <t>EDELAMC - ECAPINSURE</t>
  </si>
  <si>
    <t>INF754K01SE6</t>
  </si>
  <si>
    <t>EGOLD</t>
  </si>
  <si>
    <t>EDELAMC - EGOLD</t>
  </si>
  <si>
    <t>INF754K01VW2</t>
  </si>
  <si>
    <t>ELIQUID</t>
  </si>
  <si>
    <t>EDELAMC - ELIQUID</t>
  </si>
  <si>
    <t>INF754K01VV4</t>
  </si>
  <si>
    <t>ELM250</t>
  </si>
  <si>
    <t>EDELAMC - ELM250</t>
  </si>
  <si>
    <t>INF754K01XI7</t>
  </si>
  <si>
    <t>ELMDIV</t>
  </si>
  <si>
    <t>EDELAMC - ELMDIV</t>
  </si>
  <si>
    <t>INF754K01XG1</t>
  </si>
  <si>
    <t>EMETAL</t>
  </si>
  <si>
    <t>EDELAMC - EMETAL</t>
  </si>
  <si>
    <t>INF754K01TF1</t>
  </si>
  <si>
    <t>EMULTIMQ</t>
  </si>
  <si>
    <t>EDELAMC - EMULTIMQ</t>
  </si>
  <si>
    <t>INF754K01XF3</t>
  </si>
  <si>
    <t>ENEXT50</t>
  </si>
  <si>
    <t>EDELAMC - ENEXT50</t>
  </si>
  <si>
    <t>INF754K01VX0</t>
  </si>
  <si>
    <t>ENIFTY</t>
  </si>
  <si>
    <t>EDELAMC - ENIFTY</t>
  </si>
  <si>
    <t>INF754K01VY8</t>
  </si>
  <si>
    <t>ESENSEX</t>
  </si>
  <si>
    <t>EDELAMC - ESENSEX</t>
  </si>
  <si>
    <t>INF754K01SF3</t>
  </si>
  <si>
    <t>ESILVER</t>
  </si>
  <si>
    <t>EDELAMC - ESILVER</t>
  </si>
  <si>
    <t>INE532F01054</t>
  </si>
  <si>
    <t>EDELWEISS</t>
  </si>
  <si>
    <t>EDELWEISS FIN SERV LTD</t>
  </si>
  <si>
    <t>INE886D01026</t>
  </si>
  <si>
    <t>EFCIL</t>
  </si>
  <si>
    <t>EFC (I) LIMITED</t>
  </si>
  <si>
    <t>INE0U9101019</t>
  </si>
  <si>
    <t>EFFWA</t>
  </si>
  <si>
    <t>EFFWA INFRA &amp; RESEARCH L</t>
  </si>
  <si>
    <t>INE066A01021</t>
  </si>
  <si>
    <t>EICHERMOT</t>
  </si>
  <si>
    <t>EICHER MOTORS LTD</t>
  </si>
  <si>
    <t>INE126A01031</t>
  </si>
  <si>
    <t>EIDPARRY</t>
  </si>
  <si>
    <t>EID PARRY INDIA LTD</t>
  </si>
  <si>
    <t>INE276C01014</t>
  </si>
  <si>
    <t>EIHAHOTELS</t>
  </si>
  <si>
    <t>EIH ASSOCIATED HOTELS LTD</t>
  </si>
  <si>
    <t>INE230A01023</t>
  </si>
  <si>
    <t>EIHOTEL</t>
  </si>
  <si>
    <t>EIH LIMITED</t>
  </si>
  <si>
    <t>INE158B01016</t>
  </si>
  <si>
    <t>EIMCOELECO</t>
  </si>
  <si>
    <t>EIMCO ELECON (INDIA) LTD</t>
  </si>
  <si>
    <t>INE0CPR01018</t>
  </si>
  <si>
    <t>EKI</t>
  </si>
  <si>
    <t>EKI ENERGY SERVICES LTD</t>
  </si>
  <si>
    <t>INE280B01018</t>
  </si>
  <si>
    <t>ELANTAS</t>
  </si>
  <si>
    <t>ELANTAS BECK INDIA LTD.</t>
  </si>
  <si>
    <t>INE927X01018</t>
  </si>
  <si>
    <t>ELCIDIN</t>
  </si>
  <si>
    <t>ELCID INVESTMENTS LTD.</t>
  </si>
  <si>
    <t>INE668G01021</t>
  </si>
  <si>
    <t>ELDEHSG</t>
  </si>
  <si>
    <t>ELDECO HSG &amp; IND LTD.</t>
  </si>
  <si>
    <t>INE205B01031</t>
  </si>
  <si>
    <t>ELECON</t>
  </si>
  <si>
    <t>ELECON ENG. CO. LTD</t>
  </si>
  <si>
    <t>INE0Q1W01012</t>
  </si>
  <si>
    <t>EFORCE</t>
  </si>
  <si>
    <t>ELECTRO FORCE (INDIA) LTD</t>
  </si>
  <si>
    <t>INE02YR01019</t>
  </si>
  <si>
    <t>EMIL</t>
  </si>
  <si>
    <t>ELECTRONICS MART IND LTD</t>
  </si>
  <si>
    <t>INE086A01029</t>
  </si>
  <si>
    <t>ELECTCAST</t>
  </si>
  <si>
    <t>ELECTROSTEEL CASTINGS LTD</t>
  </si>
  <si>
    <t>INE822G01016</t>
  </si>
  <si>
    <t>ELECTHERM</t>
  </si>
  <si>
    <t>ELECTROTHERM (I) LTD.</t>
  </si>
  <si>
    <t>INE0R9101015</t>
  </si>
  <si>
    <t>ELGNZ</t>
  </si>
  <si>
    <t>ELEGANZ INTERIORS LIMITED</t>
  </si>
  <si>
    <t>INE285A01027</t>
  </si>
  <si>
    <t>ELGIEQUIP</t>
  </si>
  <si>
    <t>ELGI EQUIPMENTS LTD</t>
  </si>
  <si>
    <t>INE819L01012</t>
  </si>
  <si>
    <t>ELGIRUBCO</t>
  </si>
  <si>
    <t>ELGI RUBBER CO. LTD</t>
  </si>
  <si>
    <t>INE050401020</t>
  </si>
  <si>
    <t>ELIN</t>
  </si>
  <si>
    <t>ELIN ELECTRONICS LIMITED</t>
  </si>
  <si>
    <t>INE669R01026</t>
  </si>
  <si>
    <t>ELITECON</t>
  </si>
  <si>
    <t>ELITECON INTERNATIONAL L</t>
  </si>
  <si>
    <t>INE236E01022</t>
  </si>
  <si>
    <t>ELLEN</t>
  </si>
  <si>
    <t>ELLENBARRIE INDUS GASES L</t>
  </si>
  <si>
    <t>INE579B01039</t>
  </si>
  <si>
    <t>ELPROINTL</t>
  </si>
  <si>
    <t>ELPRO INTERNATIONAL LTD</t>
  </si>
  <si>
    <t>INE0ZOL01023</t>
  </si>
  <si>
    <t>EMAPARTNER</t>
  </si>
  <si>
    <t>EMA PARTNERS INDIA LTD</t>
  </si>
  <si>
    <t>INE548C01032</t>
  </si>
  <si>
    <t>EMAMILTD</t>
  </si>
  <si>
    <t>EMAMI LIMITED</t>
  </si>
  <si>
    <t>INE830C01026</t>
  </si>
  <si>
    <t>EMAMIPAP</t>
  </si>
  <si>
    <t>EMAMI PAPER MILLS LIMITED</t>
  </si>
  <si>
    <t>INE778K01012</t>
  </si>
  <si>
    <t>EMAMIREAL</t>
  </si>
  <si>
    <t>EMAMI REALTY LIMITED</t>
  </si>
  <si>
    <t>INE069I01010</t>
  </si>
  <si>
    <t>EMBDL</t>
  </si>
  <si>
    <t>EMBASSY DEVELOPMENTS LTD</t>
  </si>
  <si>
    <t>INE041025011</t>
  </si>
  <si>
    <t>EMBASSY</t>
  </si>
  <si>
    <t>EMBASSY OFFICE PARKS REIT</t>
  </si>
  <si>
    <t>INE168P01015</t>
  </si>
  <si>
    <t>EMCURE</t>
  </si>
  <si>
    <t>EMCURE PHARMACEUTICALS L</t>
  </si>
  <si>
    <t>INE0RHD01013</t>
  </si>
  <si>
    <t>ETML</t>
  </si>
  <si>
    <t>EMERALD TYRE MANUF LTD</t>
  </si>
  <si>
    <t>INE296H01011</t>
  </si>
  <si>
    <t>EMKAY</t>
  </si>
  <si>
    <t>EMKAY GLOBAL FIN SERV LTD</t>
  </si>
  <si>
    <t>INE332S01011</t>
  </si>
  <si>
    <t>EMKAYTOOLS</t>
  </si>
  <si>
    <t>EMKAY TAP &amp; CUT. TOOL LTD</t>
  </si>
  <si>
    <t>INE0PXC01024</t>
  </si>
  <si>
    <t>ETL</t>
  </si>
  <si>
    <t>EMKAY TOOLS LIMITED</t>
  </si>
  <si>
    <t>INE753K01015</t>
  </si>
  <si>
    <t>EMMBI</t>
  </si>
  <si>
    <t>EMMBI INDUSTRIES LIMITED</t>
  </si>
  <si>
    <t>INE1C6T01020</t>
  </si>
  <si>
    <t>EMMVEE</t>
  </si>
  <si>
    <t>EMMVEE PHOTOVOLTAIC PWR L</t>
  </si>
  <si>
    <t>INE515H01014</t>
  </si>
  <si>
    <t>EMPIND</t>
  </si>
  <si>
    <t>EMPIRE INDUSTRIES LTD.</t>
  </si>
  <si>
    <t>INE507F01023</t>
  </si>
  <si>
    <t>EMPOWER</t>
  </si>
  <si>
    <t>EMPOWER INDIA LTD.</t>
  </si>
  <si>
    <t>INE0OV601013</t>
  </si>
  <si>
    <t>EMSLIMITED</t>
  </si>
  <si>
    <t>EMS LIMITED</t>
  </si>
  <si>
    <t>INE01QM01018</t>
  </si>
  <si>
    <t>EMUDHRA</t>
  </si>
  <si>
    <t>EMUDHRA LIMITED</t>
  </si>
  <si>
    <t>INE433T01015</t>
  </si>
  <si>
    <t>ENCOMPAS</t>
  </si>
  <si>
    <t>ENCOMPASS DESIGN INDIA L</t>
  </si>
  <si>
    <t>INE913H01037</t>
  </si>
  <si>
    <t>ENDURANCE</t>
  </si>
  <si>
    <t>ENDURANCE TECHNO. LTD.</t>
  </si>
  <si>
    <t>INE306C01019</t>
  </si>
  <si>
    <t>ENERGYDEV</t>
  </si>
  <si>
    <t>ENERGY DEVE. CO.LTD</t>
  </si>
  <si>
    <t>INE0S1L01013</t>
  </si>
  <si>
    <t>EMMIL</t>
  </si>
  <si>
    <t>ENERGY MISSION MACH IND L</t>
  </si>
  <si>
    <t>INE0S3X01014</t>
  </si>
  <si>
    <t>ENFUSE</t>
  </si>
  <si>
    <t>ENFUSE SOLUTIONS LIMITED</t>
  </si>
  <si>
    <t>INE510A01028</t>
  </si>
  <si>
    <t>ENGINERSIN</t>
  </si>
  <si>
    <t>ENGINEERS INDIA LTD</t>
  </si>
  <si>
    <t>INE130L01014</t>
  </si>
  <si>
    <t>ENKEIWHEL</t>
  </si>
  <si>
    <t>ENKEI WHEELS (INDIA) LTD.</t>
  </si>
  <si>
    <t>INE010601016</t>
  </si>
  <si>
    <t>ENTERO</t>
  </si>
  <si>
    <t>ENTERO HEALTHCARE SOLU L</t>
  </si>
  <si>
    <t>INE265F01028</t>
  </si>
  <si>
    <t>ENIL</t>
  </si>
  <si>
    <t>ENTERTAIN NET. IND. LTD.</t>
  </si>
  <si>
    <t>INE0LLY01014</t>
  </si>
  <si>
    <t>EIEL</t>
  </si>
  <si>
    <t>ENVIRO INFRA ENGINEERS L</t>
  </si>
  <si>
    <t>INE0SUH01015</t>
  </si>
  <si>
    <t>ENVIRO</t>
  </si>
  <si>
    <t>ENVIROTECH SYSTEMS LTD</t>
  </si>
  <si>
    <t>INE0G5901015</t>
  </si>
  <si>
    <t>EPACK</t>
  </si>
  <si>
    <t>EPACK DURABLE LIMITED</t>
  </si>
  <si>
    <t>INE0MLS01022</t>
  </si>
  <si>
    <t>EPACKPEB</t>
  </si>
  <si>
    <t>EPACK PREFAB TECHN LTD</t>
  </si>
  <si>
    <t>INE071N01016</t>
  </si>
  <si>
    <t>EPIGRAL</t>
  </si>
  <si>
    <t>EPIGRAL LIMITED</t>
  </si>
  <si>
    <t>INE255A01020</t>
  </si>
  <si>
    <t>EPL</t>
  </si>
  <si>
    <t>EPL LIMITED</t>
  </si>
  <si>
    <t>INE11HF01010</t>
  </si>
  <si>
    <t>EEPL</t>
  </si>
  <si>
    <t>EPPELTONE ENGINEERS LTD</t>
  </si>
  <si>
    <t>INE1KEC01023</t>
  </si>
  <si>
    <t>EPWINDIA</t>
  </si>
  <si>
    <t>EPW INDIA LIMITED</t>
  </si>
  <si>
    <t>INE217G01035</t>
  </si>
  <si>
    <t>EQUIPPP</t>
  </si>
  <si>
    <t>EQUIPPP SOC IMP TECH LTD</t>
  </si>
  <si>
    <t>INE063P01018</t>
  </si>
  <si>
    <t>EQUITASBNK</t>
  </si>
  <si>
    <t>EQUITAS SMALL FIN BNK LTD</t>
  </si>
  <si>
    <t>INE406M01024</t>
  </si>
  <si>
    <t>ERIS</t>
  </si>
  <si>
    <t>ERIS LIFESCIENCES LIMITED</t>
  </si>
  <si>
    <t>INE284A01012</t>
  </si>
  <si>
    <t>ESABINDIA</t>
  </si>
  <si>
    <t>ESAB INDIA LTD</t>
  </si>
  <si>
    <t>INE818W01011</t>
  </si>
  <si>
    <t>ESAFSFB</t>
  </si>
  <si>
    <t>ESAF SMALL FINANCE BANK L</t>
  </si>
  <si>
    <t>INE0RQZ01017</t>
  </si>
  <si>
    <t>ESCONET</t>
  </si>
  <si>
    <t>ESCONET TECHNOLOGIES LTD</t>
  </si>
  <si>
    <t>INE042A01014</t>
  </si>
  <si>
    <t>ESCORTS</t>
  </si>
  <si>
    <t>ESCORTS KUBOTA LIMITED</t>
  </si>
  <si>
    <t>INE0DRI01029</t>
  </si>
  <si>
    <t>ESDS</t>
  </si>
  <si>
    <t>ESDS SOFTWARE SOLUTION L</t>
  </si>
  <si>
    <t>INE0SBP01018</t>
  </si>
  <si>
    <t>ESPRIT</t>
  </si>
  <si>
    <t>ESPRIT STONES LIMITED</t>
  </si>
  <si>
    <t>INE122M01019</t>
  </si>
  <si>
    <t>ESSARSHPNG</t>
  </si>
  <si>
    <t>ESSAR SHIPPING LTD</t>
  </si>
  <si>
    <t>INE0ITO01014</t>
  </si>
  <si>
    <t>ESFL</t>
  </si>
  <si>
    <t>ESSEN SPECIALITY FILMS L</t>
  </si>
  <si>
    <t>INE778B01029</t>
  </si>
  <si>
    <t>ESTER</t>
  </si>
  <si>
    <t>ESTER INDUSTRIES LTD</t>
  </si>
  <si>
    <t>INE758T01015</t>
  </si>
  <si>
    <t>ETERNAL</t>
  </si>
  <si>
    <t>ETERNAL LIMITED</t>
  </si>
  <si>
    <t>INE04TZ01018</t>
  </si>
  <si>
    <t>ETHOSLTD</t>
  </si>
  <si>
    <t>ETHOS LIMITED</t>
  </si>
  <si>
    <t>INE0KCE01017</t>
  </si>
  <si>
    <t>EUREKAFORB</t>
  </si>
  <si>
    <t>EUREKA FORBES LIMITED</t>
  </si>
  <si>
    <t>INE546V01010</t>
  </si>
  <si>
    <t>EIFFL</t>
  </si>
  <si>
    <t>EURO (I) FRESH FOODS LTD</t>
  </si>
  <si>
    <t>INE505V01016</t>
  </si>
  <si>
    <t>EUROBOND</t>
  </si>
  <si>
    <t>EURO PANEL PRODUCTS LTD</t>
  </si>
  <si>
    <t>INE198501012</t>
  </si>
  <si>
    <t>EUROPRATIK</t>
  </si>
  <si>
    <t>EURO PRATIK SALES LIMITED</t>
  </si>
  <si>
    <t>INE128A01029</t>
  </si>
  <si>
    <t>EVEREADY</t>
  </si>
  <si>
    <t>EVEREADY INDS. IND.  LTD.</t>
  </si>
  <si>
    <t>INE295A01018</t>
  </si>
  <si>
    <t>EVERESTIND</t>
  </si>
  <si>
    <t>EVEREST INDUSTRIES LTD</t>
  </si>
  <si>
    <t>INE184H01027</t>
  </si>
  <si>
    <t>EKC</t>
  </si>
  <si>
    <t>EVEREST KANTO CYLINDERLTD</t>
  </si>
  <si>
    <t>INE369A01029</t>
  </si>
  <si>
    <t>EXCELINDUS</t>
  </si>
  <si>
    <t>EXCEL INDUSTRIES LTD</t>
  </si>
  <si>
    <t>INE0Y4801011</t>
  </si>
  <si>
    <t>EXCELLENT</t>
  </si>
  <si>
    <t>EXCELLENT WIRES N PACK L</t>
  </si>
  <si>
    <t>INE606N01019</t>
  </si>
  <si>
    <t>EXCELSOFT</t>
  </si>
  <si>
    <t>EXCELSOFT TECHNOLOGIES L</t>
  </si>
  <si>
    <t>INE777F01014</t>
  </si>
  <si>
    <t>EXICOM</t>
  </si>
  <si>
    <t>EXICOM TELE SYSTEMS LTD</t>
  </si>
  <si>
    <t>INE302A01020</t>
  </si>
  <si>
    <t>EXIDEIND</t>
  </si>
  <si>
    <t>EXIDE INDUSTRIES LTD</t>
  </si>
  <si>
    <t>INE19I001020</t>
  </si>
  <si>
    <t>EXIMROUTES</t>
  </si>
  <si>
    <t>EXIM ROUTES LIMITED</t>
  </si>
  <si>
    <t>INE201K01015</t>
  </si>
  <si>
    <t>EXPLEOSOL</t>
  </si>
  <si>
    <t>EXPLEO SOLUTIONS LIMITED</t>
  </si>
  <si>
    <t>INE0GFE01026</t>
  </si>
  <si>
    <t>EXXARO</t>
  </si>
  <si>
    <t>EXXARO TILES LIMITED</t>
  </si>
  <si>
    <t>INE0HF201011</t>
  </si>
  <si>
    <t>FABTECH</t>
  </si>
  <si>
    <t>FABTECH TECHNOLOGIES LTD</t>
  </si>
  <si>
    <t>INE188A01015</t>
  </si>
  <si>
    <t>FACT</t>
  </si>
  <si>
    <t>FACT LTD</t>
  </si>
  <si>
    <t>INE0DNW01011</t>
  </si>
  <si>
    <t>FAIRCHEMOR</t>
  </si>
  <si>
    <t>FAIRCHEM ORGANICS LIMITED</t>
  </si>
  <si>
    <t>INE1Q2D01019</t>
  </si>
  <si>
    <t>FASCINATE</t>
  </si>
  <si>
    <t>FASCINATE TEXTILES LTD</t>
  </si>
  <si>
    <t>INE963C01033</t>
  </si>
  <si>
    <t>FAZE3Q</t>
  </si>
  <si>
    <t>FAZE THREE LIMITED</t>
  </si>
  <si>
    <t>INE512B01022</t>
  </si>
  <si>
    <t>FCSSOFT</t>
  </si>
  <si>
    <t>FCS SOFTWARE SOLN. LTD.</t>
  </si>
  <si>
    <t>INE258B01022</t>
  </si>
  <si>
    <t>FDC</t>
  </si>
  <si>
    <t>FDC LIMITED</t>
  </si>
  <si>
    <t>INE007N01010</t>
  </si>
  <si>
    <t>FEDFINA</t>
  </si>
  <si>
    <t>FEDBANK FINANCIAL SER L</t>
  </si>
  <si>
    <t>INE417D01020</t>
  </si>
  <si>
    <t>FEDDERSHOL</t>
  </si>
  <si>
    <t>FEDDERS HOLDING LTD.</t>
  </si>
  <si>
    <t>INE171A01029</t>
  </si>
  <si>
    <t>FEDERALBNK</t>
  </si>
  <si>
    <t>FEDERAL BANK LTD</t>
  </si>
  <si>
    <t>INE529A01010</t>
  </si>
  <si>
    <t>FMGOETZE</t>
  </si>
  <si>
    <t>FEDERAL-MOGUL GOETZE (IND</t>
  </si>
  <si>
    <t>INE901X01013</t>
  </si>
  <si>
    <t>FELIX</t>
  </si>
  <si>
    <t>FELIX INDUSTRIES LTD.</t>
  </si>
  <si>
    <t>INE225B01021</t>
  </si>
  <si>
    <t>FERMENTA</t>
  </si>
  <si>
    <t>FERMENTA BIOTECH LTD.</t>
  </si>
  <si>
    <t>INE296C01020</t>
  </si>
  <si>
    <t>FIBERWEB</t>
  </si>
  <si>
    <t>FIBERWEB INDIA LIMITED</t>
  </si>
  <si>
    <t>INE0LQQ01019</t>
  </si>
  <si>
    <t>FIDEL</t>
  </si>
  <si>
    <t>FIDEL SOFTECH LIMITED</t>
  </si>
  <si>
    <t>INE737H01014</t>
  </si>
  <si>
    <t>FIEMIND</t>
  </si>
  <si>
    <t>FIEM INDUSTRIES LIMITED</t>
  </si>
  <si>
    <t>INE185E01021</t>
  </si>
  <si>
    <t>FILATFASH</t>
  </si>
  <si>
    <t>FILATEX FASHIONS LIMITED</t>
  </si>
  <si>
    <t>INE816B01035</t>
  </si>
  <si>
    <t>FILATEX</t>
  </si>
  <si>
    <t>FILATEX INDIA LTD</t>
  </si>
  <si>
    <t>INE0EDU01014</t>
  </si>
  <si>
    <t>FINBUD</t>
  </si>
  <si>
    <t>FINBUD FINANCIAL SERV LTD</t>
  </si>
  <si>
    <t>INE686Y01026</t>
  </si>
  <si>
    <t>FINEORG</t>
  </si>
  <si>
    <t>FINE ORGANIC IND. LTD.</t>
  </si>
  <si>
    <t>INE045J01034</t>
  </si>
  <si>
    <t>FCL</t>
  </si>
  <si>
    <t>FINEOTEX CHEMICAL LIMITED</t>
  </si>
  <si>
    <t>INE734I01027</t>
  </si>
  <si>
    <t>FINKURVE</t>
  </si>
  <si>
    <t>FINKURVE FINANCIAL SERV L</t>
  </si>
  <si>
    <t>INE02NC01014</t>
  </si>
  <si>
    <t>FINOPB</t>
  </si>
  <si>
    <t>FINO PAYMENTS BANK LTD</t>
  </si>
  <si>
    <t>INE235A01022</t>
  </si>
  <si>
    <t>FINCABLES</t>
  </si>
  <si>
    <t>FINOLEX CABLES LTD</t>
  </si>
  <si>
    <t>INE183A01024</t>
  </si>
  <si>
    <t>FINPIPE</t>
  </si>
  <si>
    <t>FINOLEX INDUSTRIES LTD</t>
  </si>
  <si>
    <t>INE684F01012</t>
  </si>
  <si>
    <t>FSL</t>
  </si>
  <si>
    <t>FIRSTSOURCE SOLU. LTD.</t>
  </si>
  <si>
    <t>INE771F01041</t>
  </si>
  <si>
    <t>FISCHER</t>
  </si>
  <si>
    <t>FISCHER MEDICAL VENTURE L</t>
  </si>
  <si>
    <t>INE128S01021</t>
  </si>
  <si>
    <t>FIVESTAR</t>
  </si>
  <si>
    <t>FIVE-STAR BUS FIN LTD</t>
  </si>
  <si>
    <t>INE00Y201027</t>
  </si>
  <si>
    <t>FLAIR</t>
  </si>
  <si>
    <t>FLAIR WRITING INDUST LTD</t>
  </si>
  <si>
    <t>INE060J01017</t>
  </si>
  <si>
    <t>FLEXITUFF</t>
  </si>
  <si>
    <t>FLEXITUFF VENTURES INT L</t>
  </si>
  <si>
    <t>INE0VCK01011</t>
  </si>
  <si>
    <t>FLYSBS</t>
  </si>
  <si>
    <t>FLYSBS AVIATION LIMITED</t>
  </si>
  <si>
    <t>INE0I7D01019</t>
  </si>
  <si>
    <t>FOCE</t>
  </si>
  <si>
    <t>FOCE INDIA LIMITED</t>
  </si>
  <si>
    <t>INE593W01028</t>
  </si>
  <si>
    <t>FOCUS</t>
  </si>
  <si>
    <t>FOCUS LIGHTG &amp; FIXTRS LTD</t>
  </si>
  <si>
    <t>INE0Q4701019</t>
  </si>
  <si>
    <t>FONEBOX</t>
  </si>
  <si>
    <t>FONEBOX RETAIL LIMITED</t>
  </si>
  <si>
    <t>INE976E01023</t>
  </si>
  <si>
    <t>FOODSIN</t>
  </si>
  <si>
    <t>FOODS &amp; INNS LIMITED</t>
  </si>
  <si>
    <t>INE0U2501017</t>
  </si>
  <si>
    <t>FORCAS</t>
  </si>
  <si>
    <t>FORCAS STUDIO LIMITED</t>
  </si>
  <si>
    <t>INE451A01017</t>
  </si>
  <si>
    <t>FORCEMOT</t>
  </si>
  <si>
    <t>FORCE MOTORS LIMITED</t>
  </si>
  <si>
    <t>INE0YKW01013</t>
  </si>
  <si>
    <t>FORGEAUTO</t>
  </si>
  <si>
    <t>FORGE AUTO INTERNATION L</t>
  </si>
  <si>
    <t>INE061F01013</t>
  </si>
  <si>
    <t>FORTIS</t>
  </si>
  <si>
    <t>FORTIS HEALTHCARE LTD</t>
  </si>
  <si>
    <t>INE519A01011</t>
  </si>
  <si>
    <t>FOSECOIND</t>
  </si>
  <si>
    <t>FOSECO INDIA LTD</t>
  </si>
  <si>
    <t>INE212S01015</t>
  </si>
  <si>
    <t>FRACTAL</t>
  </si>
  <si>
    <t>FRACTAL ANALYTICS LIMITED</t>
  </si>
  <si>
    <t>INE194R01017</t>
  </si>
  <si>
    <t>FREDUN</t>
  </si>
  <si>
    <t>FREDUN PHARMACEUTICALS L</t>
  </si>
  <si>
    <t>INE0SFW01015</t>
  </si>
  <si>
    <t>FRESHARA</t>
  </si>
  <si>
    <t>FRESHARA AGRO EXPORTS LTD</t>
  </si>
  <si>
    <t>INE385O01018</t>
  </si>
  <si>
    <t>FROG</t>
  </si>
  <si>
    <t>FROG INNOVATIONS LIMITED</t>
  </si>
  <si>
    <t>INE572D01014</t>
  </si>
  <si>
    <t>FRONTSP</t>
  </si>
  <si>
    <t>FRONTIER SPRINGS LTD.</t>
  </si>
  <si>
    <t>INE388Y01029</t>
  </si>
  <si>
    <t>NYKAA</t>
  </si>
  <si>
    <t>FSN E COMMERCE VENTURES</t>
  </si>
  <si>
    <t>INE12UR01024</t>
  </si>
  <si>
    <t>UTLSOLAR</t>
  </si>
  <si>
    <t>FUJIYAMA POWER SYSTEMS L</t>
  </si>
  <si>
    <t>INE139R01012</t>
  </si>
  <si>
    <t>FUSION</t>
  </si>
  <si>
    <t>FUSION FINANCE LIMITED</t>
  </si>
  <si>
    <t>INE452O01016</t>
  </si>
  <si>
    <t>FLFL</t>
  </si>
  <si>
    <t>FUT LIFESTYLE FASH LTD</t>
  </si>
  <si>
    <t>INE623B01027</t>
  </si>
  <si>
    <t>FEL</t>
  </si>
  <si>
    <t>FUTURE ENTERPRISES LTD</t>
  </si>
  <si>
    <t>IN9623B01058</t>
  </si>
  <si>
    <t>FELDVR</t>
  </si>
  <si>
    <t>INE360L01017</t>
  </si>
  <si>
    <t>FMNL</t>
  </si>
  <si>
    <t>FUTURE MKT NETWORKS LTD</t>
  </si>
  <si>
    <t>INE075D01018</t>
  </si>
  <si>
    <t>GMBREW</t>
  </si>
  <si>
    <t>G M BREWERIES LTD</t>
  </si>
  <si>
    <t>INE201P01022</t>
  </si>
  <si>
    <t>GRINFRA</t>
  </si>
  <si>
    <t>G R INFRAPROJECTS LIMITED</t>
  </si>
  <si>
    <t>INE586X01012</t>
  </si>
  <si>
    <t>GTECJAINX</t>
  </si>
  <si>
    <t>G-TEC JAINX EDUCATION LTD</t>
  </si>
  <si>
    <t>INE524A01029</t>
  </si>
  <si>
    <t>GABRIEL</t>
  </si>
  <si>
    <t>GABRIEL INDIA LTD</t>
  </si>
  <si>
    <t>INE224E01028</t>
  </si>
  <si>
    <t>GATECH</t>
  </si>
  <si>
    <t>GACM TECHNOLOGIES LIMITED</t>
  </si>
  <si>
    <t>INE224E01036</t>
  </si>
  <si>
    <t>GATECHDVR</t>
  </si>
  <si>
    <t>INE129A01019</t>
  </si>
  <si>
    <t>GAIL</t>
  </si>
  <si>
    <t>GAIL (INDIA) LTD</t>
  </si>
  <si>
    <t>INE18UN01038</t>
  </si>
  <si>
    <t>GAJA</t>
  </si>
  <si>
    <t>GAJA ALT ASSET MGT LTD</t>
  </si>
  <si>
    <t>INE0QTE01018</t>
  </si>
  <si>
    <t>GAJANAND</t>
  </si>
  <si>
    <t>GAJANAND INTERNATIONAL L</t>
  </si>
  <si>
    <t>INE0RE001014</t>
  </si>
  <si>
    <t>GALAPREC</t>
  </si>
  <si>
    <t>GALA PRECISION ENG LTD</t>
  </si>
  <si>
    <t>INE09A801015</t>
  </si>
  <si>
    <t>GML</t>
  </si>
  <si>
    <t>GALAXY MEDICARE LIMITED</t>
  </si>
  <si>
    <t>INE600K01018</t>
  </si>
  <si>
    <t>GALAXYSURF</t>
  </si>
  <si>
    <t>GALAXY SURFACTANTS LTD</t>
  </si>
  <si>
    <t>INE297H01019</t>
  </si>
  <si>
    <t>GALLANTT</t>
  </si>
  <si>
    <t>GALLANTT ISPAT LIMITED</t>
  </si>
  <si>
    <t>INE717W01049</t>
  </si>
  <si>
    <t>GANDHAR</t>
  </si>
  <si>
    <t>GANDHAR OIL REFINE IND L</t>
  </si>
  <si>
    <t>INE524B01027</t>
  </si>
  <si>
    <t>GANDHITUBE</t>
  </si>
  <si>
    <t>GANDHI SPL. TUBES LTD</t>
  </si>
  <si>
    <t>INE388A01029</t>
  </si>
  <si>
    <t>GANESHBE</t>
  </si>
  <si>
    <t>GANESH BENZOPLAST LIMITED</t>
  </si>
  <si>
    <t>INE652V01016</t>
  </si>
  <si>
    <t>GANESHCP</t>
  </si>
  <si>
    <t>GANESH CONSUMER PRODUCT L</t>
  </si>
  <si>
    <t>INE0R8C01018</t>
  </si>
  <si>
    <t>GGBL</t>
  </si>
  <si>
    <t>GANESH GREEN BHARAT LTD</t>
  </si>
  <si>
    <t>INE460C01014</t>
  </si>
  <si>
    <t>GANESHHOU</t>
  </si>
  <si>
    <t>GANESH HOUSING LIMITED</t>
  </si>
  <si>
    <t>INE0TVT01024</t>
  </si>
  <si>
    <t>GANESHIN</t>
  </si>
  <si>
    <t>GANESH INFRAWORLD LIMITED</t>
  </si>
  <si>
    <t>INE845D01014</t>
  </si>
  <si>
    <t>GANECOS</t>
  </si>
  <si>
    <t>GANESHA ECOSPHERE LIMITED</t>
  </si>
  <si>
    <t>INE0ZI101018</t>
  </si>
  <si>
    <t>GANGABATH</t>
  </si>
  <si>
    <t>GANGA BATH FITTINGS LTD</t>
  </si>
  <si>
    <t>INE691Z01023</t>
  </si>
  <si>
    <t>GANGAFORGE</t>
  </si>
  <si>
    <t>GANGA FORGING LIMITED</t>
  </si>
  <si>
    <t>INE335W01016</t>
  </si>
  <si>
    <t>GANGESSECU</t>
  </si>
  <si>
    <t>GANGES SECURITIES LIMITED</t>
  </si>
  <si>
    <t>INE382Z01011</t>
  </si>
  <si>
    <t>GRSE</t>
  </si>
  <si>
    <t>GARDEN REACH SHIP&amp;ENG LTD</t>
  </si>
  <si>
    <t>INE0JVO01026</t>
  </si>
  <si>
    <t>GARUDA</t>
  </si>
  <si>
    <t>GARUDA CONSTRUCT N ENG L</t>
  </si>
  <si>
    <t>INE291A01017</t>
  </si>
  <si>
    <t>GRWRHITECH</t>
  </si>
  <si>
    <t>GARWARE HI-TECH FILMS LTD</t>
  </si>
  <si>
    <t>INE276A01018</t>
  </si>
  <si>
    <t>GARFIBRES</t>
  </si>
  <si>
    <t>GARWARE TECH FIBRES LTD</t>
  </si>
  <si>
    <t>INE079J01017</t>
  </si>
  <si>
    <t>GATEWAY</t>
  </si>
  <si>
    <t>GATEWAY DISTRIPARKS LTD</t>
  </si>
  <si>
    <t>INE0P8B01020</t>
  </si>
  <si>
    <t>GAUDIUMIVF</t>
  </si>
  <si>
    <t>GAUDIUM IVF N WOMEN H L</t>
  </si>
  <si>
    <t>INE287Z01012</t>
  </si>
  <si>
    <t>GAYAHWS</t>
  </si>
  <si>
    <t>GAYATRI HIGHWAYS LIMITED</t>
  </si>
  <si>
    <t>INE336H01023</t>
  </si>
  <si>
    <t>GAYAPROJ</t>
  </si>
  <si>
    <t>GAYATRI PROJECTS LTD</t>
  </si>
  <si>
    <t>INE0LVM01018</t>
  </si>
  <si>
    <t>GRCL</t>
  </si>
  <si>
    <t>GAYATRI RUBB AND CHEM LTD</t>
  </si>
  <si>
    <t>INE878A01011</t>
  </si>
  <si>
    <t>GVPIL</t>
  </si>
  <si>
    <t>GE POWER INDIA LIMITED</t>
  </si>
  <si>
    <t>INE200A01026</t>
  </si>
  <si>
    <t>GVT&amp;D</t>
  </si>
  <si>
    <t>GE VERNOVA T&amp;D INDIA LTD</t>
  </si>
  <si>
    <t>INE916G01016</t>
  </si>
  <si>
    <t>GEECEE</t>
  </si>
  <si>
    <t>GEECEE VENTURES LIMITED</t>
  </si>
  <si>
    <t>INE669X01032</t>
  </si>
  <si>
    <t>GEEKAYWIRE</t>
  </si>
  <si>
    <t>GEEKAY WIRES LIMITED</t>
  </si>
  <si>
    <t>INE06XZ01023</t>
  </si>
  <si>
    <t>GEMAROMA</t>
  </si>
  <si>
    <t>GEM AROMATICS LIMITED</t>
  </si>
  <si>
    <t>INE481Y01014</t>
  </si>
  <si>
    <t>GICRE</t>
  </si>
  <si>
    <t>GENERAL INS CORP OF INDIA</t>
  </si>
  <si>
    <t>INE854S01022</t>
  </si>
  <si>
    <t>GENCON</t>
  </si>
  <si>
    <t>GENERIC ENG CONS PROJ LTD</t>
  </si>
  <si>
    <t>INE727B01026</t>
  </si>
  <si>
    <t>GENESYS</t>
  </si>
  <si>
    <t>GENESYS INTL CORPN LTD</t>
  </si>
  <si>
    <t>INE06H201014</t>
  </si>
  <si>
    <t>GENSOL</t>
  </si>
  <si>
    <t>GENSOL ENGINEERING LTD</t>
  </si>
  <si>
    <t>INE949P01018</t>
  </si>
  <si>
    <t>GENUSPAPER</t>
  </si>
  <si>
    <t>GENUS P&amp;B LIMITED</t>
  </si>
  <si>
    <t>INE955D01029</t>
  </si>
  <si>
    <t>GENUSPOWER</t>
  </si>
  <si>
    <t>GENUS POWER INFRASTRU LTD</t>
  </si>
  <si>
    <t>INE1W0N01014</t>
  </si>
  <si>
    <t>GENXAI</t>
  </si>
  <si>
    <t>GENXAI ANALYTICS LIMITED</t>
  </si>
  <si>
    <t>INE007B01023</t>
  </si>
  <si>
    <t>GEOJITFSL</t>
  </si>
  <si>
    <t>GEOJIT FINANCIAL SER L</t>
  </si>
  <si>
    <t>INE538A01037</t>
  </si>
  <si>
    <t>GFLLIMITED</t>
  </si>
  <si>
    <t>GFL LIMITED</t>
  </si>
  <si>
    <t>INE539A01019</t>
  </si>
  <si>
    <t>GHCL</t>
  </si>
  <si>
    <t>GHCL LIMITED</t>
  </si>
  <si>
    <t>INE0PA801013</t>
  </si>
  <si>
    <t>GHCLTEXTIL</t>
  </si>
  <si>
    <t>GHCL TEXTILES LIMITED</t>
  </si>
  <si>
    <t>INE289B01019</t>
  </si>
  <si>
    <t>GICHSGFIN</t>
  </si>
  <si>
    <t>GIC HOUSING FINANCE LTD</t>
  </si>
  <si>
    <t>INE047B01011</t>
  </si>
  <si>
    <t>GILLANDERS</t>
  </si>
  <si>
    <t>GILLANDERS ARBUTHNOT LTD</t>
  </si>
  <si>
    <t>INE322A01010</t>
  </si>
  <si>
    <t>GILLETTE</t>
  </si>
  <si>
    <t>GILLETTE INDIA LTD</t>
  </si>
  <si>
    <t>INE424C01010</t>
  </si>
  <si>
    <t>GINNIFILA</t>
  </si>
  <si>
    <t>GINNIFILAMENTS LTD.</t>
  </si>
  <si>
    <t>INE614Z01017</t>
  </si>
  <si>
    <t>GIRIRAJ</t>
  </si>
  <si>
    <t>GIRIRAJ CIVIL DEVP LTD</t>
  </si>
  <si>
    <t>INE1AG301022</t>
  </si>
  <si>
    <t>GKENERGY</t>
  </si>
  <si>
    <t>GK ENERGY LIMITED</t>
  </si>
  <si>
    <t>INE265D01015</t>
  </si>
  <si>
    <t>GKB</t>
  </si>
  <si>
    <t>GKB OPHTHALMICS LTD.</t>
  </si>
  <si>
    <t>INE528A01020</t>
  </si>
  <si>
    <t>GKWLIMITED</t>
  </si>
  <si>
    <t>GKW LIMITED</t>
  </si>
  <si>
    <t>INE068V01023</t>
  </si>
  <si>
    <t>GLAND</t>
  </si>
  <si>
    <t>GLAND PHARMA LIMITED</t>
  </si>
  <si>
    <t>INE159A01016</t>
  </si>
  <si>
    <t>GLAXO</t>
  </si>
  <si>
    <t>GLAXOSMITHKLINE PHARMA LT</t>
  </si>
  <si>
    <t>INE935A01035</t>
  </si>
  <si>
    <t>GLENMARK</t>
  </si>
  <si>
    <t>GLENMARK PHARMACEUTICALS</t>
  </si>
  <si>
    <t>INE291W01037</t>
  </si>
  <si>
    <t>GLOBAL</t>
  </si>
  <si>
    <t>GLOBAL EDUCATION LIMITED</t>
  </si>
  <si>
    <t>INE474Q01031</t>
  </si>
  <si>
    <t>MEDANTA</t>
  </si>
  <si>
    <t>GLOBAL HEALTH LIMITED</t>
  </si>
  <si>
    <t>INE0PS501019</t>
  </si>
  <si>
    <t>GLOBALPET</t>
  </si>
  <si>
    <t>GLOBAL PET INDUSTRIES LTD</t>
  </si>
  <si>
    <t>INE0JSX01015</t>
  </si>
  <si>
    <t>GSLSU</t>
  </si>
  <si>
    <t>GLOBAL SURFACES LIMITED</t>
  </si>
  <si>
    <t>INE792H01019</t>
  </si>
  <si>
    <t>GLOBALVECT</t>
  </si>
  <si>
    <t>GLOBAL VEC HELICORP LTD</t>
  </si>
  <si>
    <t>INE0URU01010</t>
  </si>
  <si>
    <t>GLOBALE</t>
  </si>
  <si>
    <t>GLOBALE TESSILE LIMITED</t>
  </si>
  <si>
    <t>INE0V3U01015</t>
  </si>
  <si>
    <t>GLOBECIVIL</t>
  </si>
  <si>
    <t>GLOBE CIVIL PROJECTS LTD</t>
  </si>
  <si>
    <t>INE581X01021</t>
  </si>
  <si>
    <t>GLOBE</t>
  </si>
  <si>
    <t>GLOBE ENTERPRISE (I) LTD</t>
  </si>
  <si>
    <t>INE947T01022</t>
  </si>
  <si>
    <t>GICL</t>
  </si>
  <si>
    <t>GLOBE INTL CARRIERS LTD</t>
  </si>
  <si>
    <t>INE00WS01056</t>
  </si>
  <si>
    <t>GSTL</t>
  </si>
  <si>
    <t>GLOBESECURE TECHNO LTD</t>
  </si>
  <si>
    <t>INE615I01010</t>
  </si>
  <si>
    <t>GLOBUSSPR</t>
  </si>
  <si>
    <t>GLOBUS SPIRITS LTD</t>
  </si>
  <si>
    <t>INE350Z01018</t>
  </si>
  <si>
    <t>GLOSTERLTD</t>
  </si>
  <si>
    <t>GLOSTER LIMITED</t>
  </si>
  <si>
    <t>INE0TQE01026</t>
  </si>
  <si>
    <t>GLOTTIS</t>
  </si>
  <si>
    <t>GLOTTIS LIMITED</t>
  </si>
  <si>
    <t>INE541A01023</t>
  </si>
  <si>
    <t>GMMPFAUDLR</t>
  </si>
  <si>
    <t>GMM PFAUDLER LIMITED</t>
  </si>
  <si>
    <t>INE776C01039</t>
  </si>
  <si>
    <t>GMRAIRPORT</t>
  </si>
  <si>
    <t>GMR AIRPORTS LIMITED</t>
  </si>
  <si>
    <t>INE0CU601026</t>
  </si>
  <si>
    <t>GMRP&amp;UI</t>
  </si>
  <si>
    <t>GMR POW AND URBAN INFRA L</t>
  </si>
  <si>
    <t>INE934S01014</t>
  </si>
  <si>
    <t>GNA</t>
  </si>
  <si>
    <t>GNA AXLES LIMITED</t>
  </si>
  <si>
    <t>INE18JU01028</t>
  </si>
  <si>
    <t>EBGNG</t>
  </si>
  <si>
    <t>GNG ELECTRONICS LIMITED</t>
  </si>
  <si>
    <t>INE03JT01014</t>
  </si>
  <si>
    <t>GODIGIT</t>
  </si>
  <si>
    <t>GO DIGIT GENERAL INS LTD</t>
  </si>
  <si>
    <t>INE0BJS01011</t>
  </si>
  <si>
    <t>GOCOLORS</t>
  </si>
  <si>
    <t>GO FASHION INDIA LTD</t>
  </si>
  <si>
    <t>INE426D01013</t>
  </si>
  <si>
    <t>GOACARBON</t>
  </si>
  <si>
    <t>GOA CARBON LIMITED</t>
  </si>
  <si>
    <t>INE077F01035</t>
  </si>
  <si>
    <t>GOCLCORP</t>
  </si>
  <si>
    <t>GOCL CORPORATION LIMITED</t>
  </si>
  <si>
    <t>INE497S01012</t>
  </si>
  <si>
    <t>GODAVARIB</t>
  </si>
  <si>
    <t>GODAVARI BIOREFINERIES L</t>
  </si>
  <si>
    <t>INE177H01039</t>
  </si>
  <si>
    <t>GPIL</t>
  </si>
  <si>
    <t>GODAWARI POW &amp; ISP LTD</t>
  </si>
  <si>
    <t>INE260B01028</t>
  </si>
  <si>
    <t>GODFRYPHLP</t>
  </si>
  <si>
    <t>GODFREY PHILLIPS INDIA LT</t>
  </si>
  <si>
    <t>INE850D01014</t>
  </si>
  <si>
    <t>GODREJAGRO</t>
  </si>
  <si>
    <t>GODREJ AGROVET LIMITED</t>
  </si>
  <si>
    <t>INE102D01028</t>
  </si>
  <si>
    <t>GODREJCP</t>
  </si>
  <si>
    <t>GODREJ CONSUMER PRODUCTS</t>
  </si>
  <si>
    <t>INE233A01035</t>
  </si>
  <si>
    <t>GODREJIND</t>
  </si>
  <si>
    <t>GODREJ INDUSTRIES LTD</t>
  </si>
  <si>
    <t>INE484J01027</t>
  </si>
  <si>
    <t>GODREJPROP</t>
  </si>
  <si>
    <t>GODREJ PROPERTIES LTD</t>
  </si>
  <si>
    <t>IN0020260058</t>
  </si>
  <si>
    <t>620GS2029</t>
  </si>
  <si>
    <t>GS</t>
  </si>
  <si>
    <t>GOI LOAN   6.20% 2029</t>
  </si>
  <si>
    <t>IN0020240191</t>
  </si>
  <si>
    <t>679GS2031</t>
  </si>
  <si>
    <t>GOI LOAN   6.79% 2031</t>
  </si>
  <si>
    <t>IN0020240159</t>
  </si>
  <si>
    <t>679GS2034A</t>
  </si>
  <si>
    <t>GOI LOAN   6.79% 2034</t>
  </si>
  <si>
    <t>IN0020240134</t>
  </si>
  <si>
    <t>692GS2039</t>
  </si>
  <si>
    <t>GOI LOAN   6.92% 2039</t>
  </si>
  <si>
    <t>IN0020240100</t>
  </si>
  <si>
    <t>697GR2034</t>
  </si>
  <si>
    <t>GOI LOAN   6.97% 2034</t>
  </si>
  <si>
    <t>IN0020240175</t>
  </si>
  <si>
    <t>698GR2054</t>
  </si>
  <si>
    <t>GOI LOAN   6.98% 2054</t>
  </si>
  <si>
    <t>IN0020240142</t>
  </si>
  <si>
    <t>709GS2074</t>
  </si>
  <si>
    <t>GOI LOAN   7.09% 2074</t>
  </si>
  <si>
    <t>IN0020210186</t>
  </si>
  <si>
    <t>574GS2026</t>
  </si>
  <si>
    <t>GOI LOAN  5.74% 2026</t>
  </si>
  <si>
    <t>IN0020210095</t>
  </si>
  <si>
    <t>610GS2031</t>
  </si>
  <si>
    <t>GOI LOAN  6.10% 2031</t>
  </si>
  <si>
    <t>IN0020250026</t>
  </si>
  <si>
    <t>633GS2035</t>
  </si>
  <si>
    <t>GOI LOAN  6.33% 2035</t>
  </si>
  <si>
    <t>IN0020250141</t>
  </si>
  <si>
    <t>636GS2031</t>
  </si>
  <si>
    <t>GOI LOAN  6.36% 2031</t>
  </si>
  <si>
    <t>IN0020250091</t>
  </si>
  <si>
    <t>648GS2035</t>
  </si>
  <si>
    <t>GOI LOAN  6.48% 2035</t>
  </si>
  <si>
    <t>IN0020210244</t>
  </si>
  <si>
    <t>654GS2032</t>
  </si>
  <si>
    <t>GOI LOAN  6.54% 2032</t>
  </si>
  <si>
    <t>IN0020200252</t>
  </si>
  <si>
    <t>667GS2050</t>
  </si>
  <si>
    <t>GOI LOAN  6.67% 2050</t>
  </si>
  <si>
    <t>IN0020250042</t>
  </si>
  <si>
    <t>668GS2040</t>
  </si>
  <si>
    <t>GOI LOAN  6.68% 2040</t>
  </si>
  <si>
    <t>IN0020200401</t>
  </si>
  <si>
    <t>676GS2061</t>
  </si>
  <si>
    <t>GOI LOAN  6.76% 2061</t>
  </si>
  <si>
    <t>IN0020250018</t>
  </si>
  <si>
    <t>690GS2065</t>
  </si>
  <si>
    <t>GOI LOAN  6.90% 2065</t>
  </si>
  <si>
    <t>IN0020260025</t>
  </si>
  <si>
    <t>694GS2036</t>
  </si>
  <si>
    <t>GOI LOAN  6.94% 2036</t>
  </si>
  <si>
    <t>IN0020210202</t>
  </si>
  <si>
    <t>695GS2061</t>
  </si>
  <si>
    <t>GOI LOAN  6.95% 2061</t>
  </si>
  <si>
    <t>IN0020210194</t>
  </si>
  <si>
    <t>699GS2051</t>
  </si>
  <si>
    <t>GOI LOAN  6.99% 2051</t>
  </si>
  <si>
    <t>IN0020240050</t>
  </si>
  <si>
    <t>704GS2029</t>
  </si>
  <si>
    <t>GOI LOAN  7.04% 2029</t>
  </si>
  <si>
    <t>IN0020230010</t>
  </si>
  <si>
    <t>706GS2028</t>
  </si>
  <si>
    <t>GOI LOAN  7.06% 2028</t>
  </si>
  <si>
    <t>IN0020260041</t>
  </si>
  <si>
    <t>706GS2041</t>
  </si>
  <si>
    <t>GOI LOAN  7.06% 2041</t>
  </si>
  <si>
    <t>IN0020240118</t>
  </si>
  <si>
    <t>709GS2054</t>
  </si>
  <si>
    <t>GOI LOAN  7.09% 2054</t>
  </si>
  <si>
    <t>IN0020230036</t>
  </si>
  <si>
    <t>717GS2030</t>
  </si>
  <si>
    <t>GOI LOAN  7.17% 2030</t>
  </si>
  <si>
    <t>IN0020230077</t>
  </si>
  <si>
    <t>718GS2037</t>
  </si>
  <si>
    <t>GOI LOAN  7.18% 2037</t>
  </si>
  <si>
    <t>IN0020240027</t>
  </si>
  <si>
    <t>723GS2039</t>
  </si>
  <si>
    <t>GOI LOAN  7.23% 2039</t>
  </si>
  <si>
    <t>IN0020250075</t>
  </si>
  <si>
    <t>724GS2055</t>
  </si>
  <si>
    <t>GOI LOAN  7.24% 2055</t>
  </si>
  <si>
    <t>IN0020230044</t>
  </si>
  <si>
    <t>725GS2063</t>
  </si>
  <si>
    <t>GOI LOAN  7.25% 2063</t>
  </si>
  <si>
    <t>IN0020220060</t>
  </si>
  <si>
    <t>726GS2032</t>
  </si>
  <si>
    <t>GOI LOAN  7.26% 2032</t>
  </si>
  <si>
    <t>IN0020220151</t>
  </si>
  <si>
    <t>726GS2033</t>
  </si>
  <si>
    <t>GOI LOAN  7.26% 2033</t>
  </si>
  <si>
    <t>IN0020230051</t>
  </si>
  <si>
    <t>73GS2053</t>
  </si>
  <si>
    <t>GOI LOAN  7.3% 2053</t>
  </si>
  <si>
    <t>IN0020230119</t>
  </si>
  <si>
    <t>733GS2026</t>
  </si>
  <si>
    <t>GOI LOAN  7.33% 2026</t>
  </si>
  <si>
    <t>IN0020240035</t>
  </si>
  <si>
    <t>734GS2064</t>
  </si>
  <si>
    <t>GOI LOAN  7.34% 2064</t>
  </si>
  <si>
    <t>IN0020220086</t>
  </si>
  <si>
    <t>736GS2052</t>
  </si>
  <si>
    <t>GOI LOAN  7.36% 2052</t>
  </si>
  <si>
    <t>IN0020230101</t>
  </si>
  <si>
    <t>737GS2028</t>
  </si>
  <si>
    <t>GOI LOAN  7.37% 2028</t>
  </si>
  <si>
    <t>IN0020220094</t>
  </si>
  <si>
    <t>74GS2062</t>
  </si>
  <si>
    <t>GOI LOAN  7.4% 2062</t>
  </si>
  <si>
    <t>IN0020220102</t>
  </si>
  <si>
    <t>741GS2036</t>
  </si>
  <si>
    <t>GOI LOAN  7.41% 2036</t>
  </si>
  <si>
    <t>IN0020250117</t>
  </si>
  <si>
    <t>743GS2076</t>
  </si>
  <si>
    <t>GOI LOAN  7.43% 2076</t>
  </si>
  <si>
    <t>IN0020230127</t>
  </si>
  <si>
    <t>746GS2073</t>
  </si>
  <si>
    <t>GOI LOAN  7.46% 2073</t>
  </si>
  <si>
    <t>IN0020260017</t>
  </si>
  <si>
    <t>750GS2056</t>
  </si>
  <si>
    <t>GOI LOAN  7.50% 2056</t>
  </si>
  <si>
    <t>IN0020220029</t>
  </si>
  <si>
    <t>754GS2036</t>
  </si>
  <si>
    <t>GOI LOAN  7.54% 2036</t>
  </si>
  <si>
    <t>IN0020260033</t>
  </si>
  <si>
    <t>771GS2066</t>
  </si>
  <si>
    <t>GOI LOAN  7.71% 2066</t>
  </si>
  <si>
    <t>IN0020160068</t>
  </si>
  <si>
    <t>706GS2046</t>
  </si>
  <si>
    <t>GOI LOAN 7.06% 2046</t>
  </si>
  <si>
    <t>IN0020220011</t>
  </si>
  <si>
    <t>710GS2029</t>
  </si>
  <si>
    <t>GOI LOAN 7.10% 2029</t>
  </si>
  <si>
    <t>IN0020220037</t>
  </si>
  <si>
    <t>738GS2027</t>
  </si>
  <si>
    <t>GOI LOAN 7.38% 2027</t>
  </si>
  <si>
    <t>IN0020050012</t>
  </si>
  <si>
    <t>74GS2035</t>
  </si>
  <si>
    <t>GOI LOAN 7.40% 2035</t>
  </si>
  <si>
    <t>IN0020040039</t>
  </si>
  <si>
    <t>75GS2034</t>
  </si>
  <si>
    <t>GOI LOAN 7.50% 2034</t>
  </si>
  <si>
    <t>IN0020020106</t>
  </si>
  <si>
    <t>795GS2032</t>
  </si>
  <si>
    <t>GOI LOAN 7.95% 2032</t>
  </si>
  <si>
    <t>IN0020140052</t>
  </si>
  <si>
    <t>824GS2033</t>
  </si>
  <si>
    <t>GOI LOAN 8.24% 2033</t>
  </si>
  <si>
    <t>IN0020060078</t>
  </si>
  <si>
    <t>824GS2027</t>
  </si>
  <si>
    <t>GOI LOAN 8.24%2027</t>
  </si>
  <si>
    <t>IN0020110055</t>
  </si>
  <si>
    <t>897GS2030</t>
  </si>
  <si>
    <t>GOI LOAN 8.97% 2030</t>
  </si>
  <si>
    <t>IN0020130053</t>
  </si>
  <si>
    <t>92GS2030</t>
  </si>
  <si>
    <t>GOI LOAN 9.20% 2030</t>
  </si>
  <si>
    <t>IN002025Y503</t>
  </si>
  <si>
    <t>182D180926</t>
  </si>
  <si>
    <t>TB</t>
  </si>
  <si>
    <t>GOI TBILL 182D-18/09/26</t>
  </si>
  <si>
    <t>IN002026Z052</t>
  </si>
  <si>
    <t>364D060527</t>
  </si>
  <si>
    <t>GOI TBILL 364D-06/05/27</t>
  </si>
  <si>
    <t>IN002026Z144</t>
  </si>
  <si>
    <t>364D080727</t>
  </si>
  <si>
    <t>GOI TBILL 364D-08/07/27</t>
  </si>
  <si>
    <t>IN002026Z102</t>
  </si>
  <si>
    <t>364D100627</t>
  </si>
  <si>
    <t>GOI TBILL 364D-10/06/27</t>
  </si>
  <si>
    <t>IN002025Z492</t>
  </si>
  <si>
    <t>364D110327</t>
  </si>
  <si>
    <t>GOI TBILL 364D-11/03/27</t>
  </si>
  <si>
    <t>IN002026Z110</t>
  </si>
  <si>
    <t>364D170627</t>
  </si>
  <si>
    <t>GOI TBILL 364D-17/06/27</t>
  </si>
  <si>
    <t>IN002026Z128</t>
  </si>
  <si>
    <t>364D240627</t>
  </si>
  <si>
    <t>GOI TBILL 364D-24/06/27</t>
  </si>
  <si>
    <t>IN002025Z476</t>
  </si>
  <si>
    <t>364D250227</t>
  </si>
  <si>
    <t>GOI TBILL 364D-25/02/27</t>
  </si>
  <si>
    <t>IN002026X214</t>
  </si>
  <si>
    <t>91D271126</t>
  </si>
  <si>
    <t>GOI TBILL 91D-27/11/26</t>
  </si>
  <si>
    <t>IN002026X172</t>
  </si>
  <si>
    <t>91D291026</t>
  </si>
  <si>
    <t>GOI TBILL 91D-29/10/26</t>
  </si>
  <si>
    <t>INE887G01027</t>
  </si>
  <si>
    <t>GOKEX</t>
  </si>
  <si>
    <t>GOKALDAS EXPORTS LTD.</t>
  </si>
  <si>
    <t>INE314T01033</t>
  </si>
  <si>
    <t>GOKULAGRO</t>
  </si>
  <si>
    <t>GOKUL AGRO RESOURCES LTD</t>
  </si>
  <si>
    <t>INE020J01029</t>
  </si>
  <si>
    <t>GOKUL</t>
  </si>
  <si>
    <t>GOKUL REFOILS &amp; SOLV LTD</t>
  </si>
  <si>
    <t>INE973A01010</t>
  </si>
  <si>
    <t>GOLDENTOBC</t>
  </si>
  <si>
    <t>GOLDEN TOBACCO LIMITED</t>
  </si>
  <si>
    <t>INE025B01025</t>
  </si>
  <si>
    <t>GOLDIAM</t>
  </si>
  <si>
    <t>GOLDIAM INTERNATIONAL LTD</t>
  </si>
  <si>
    <t>INE405Y01021</t>
  </si>
  <si>
    <t>GOLDSTAR</t>
  </si>
  <si>
    <t>GOLDSTAR POWER LIMITED</t>
  </si>
  <si>
    <t>INE127I01024</t>
  </si>
  <si>
    <t>GOODLUCK</t>
  </si>
  <si>
    <t>GOODLUCK INDIA LIMITED</t>
  </si>
  <si>
    <t>INE533A01012</t>
  </si>
  <si>
    <t>GOODYEAR</t>
  </si>
  <si>
    <t>GOODYEAR INDIA LIMITED</t>
  </si>
  <si>
    <t>INE0L9R01028</t>
  </si>
  <si>
    <t>GOPAL</t>
  </si>
  <si>
    <t>GOPAL SNACKS LIMITED</t>
  </si>
  <si>
    <t>INE705X01026</t>
  </si>
  <si>
    <t>GOYALALUM</t>
  </si>
  <si>
    <t>GOYAL ALUMINIUMS LIMITED</t>
  </si>
  <si>
    <t>INE0QFE01017</t>
  </si>
  <si>
    <t>GOYALSALT</t>
  </si>
  <si>
    <t>GOYAL SALT LIMITED</t>
  </si>
  <si>
    <t>INE0S7E01015</t>
  </si>
  <si>
    <t>GPECO</t>
  </si>
  <si>
    <t>GP ECO SOLUTIONS INDIA L</t>
  </si>
  <si>
    <t>INE586G01017</t>
  </si>
  <si>
    <t>GULFPETRO</t>
  </si>
  <si>
    <t>GP PETROLEUMS LIMITED</t>
  </si>
  <si>
    <t>INE486R01017</t>
  </si>
  <si>
    <t>GPTHEALTH</t>
  </si>
  <si>
    <t>GPT HEALTHCARE LIMITED</t>
  </si>
  <si>
    <t>INE390G01014</t>
  </si>
  <si>
    <t>GPTINFRA</t>
  </si>
  <si>
    <t>GPT INFRAPROJECTS LTD</t>
  </si>
  <si>
    <t>INE361K01017</t>
  </si>
  <si>
    <t>GRADIENTE</t>
  </si>
  <si>
    <t>GRADIENTE INFOTAINMENT L</t>
  </si>
  <si>
    <t>INE12E301017</t>
  </si>
  <si>
    <t>GCHOTELS</t>
  </si>
  <si>
    <t>GRAND CONTINENT HOTELS L</t>
  </si>
  <si>
    <t>INE534A01028</t>
  </si>
  <si>
    <t>GFSTEELS</t>
  </si>
  <si>
    <t>GRAND FOUNDRY LTD</t>
  </si>
  <si>
    <t>INE926B01016</t>
  </si>
  <si>
    <t>GRANDOAK</t>
  </si>
  <si>
    <t>GRAND OAK CANYONS DIST L</t>
  </si>
  <si>
    <t>INE101D01020</t>
  </si>
  <si>
    <t>GRANULES</t>
  </si>
  <si>
    <t>GRANULES INDIA LIMITED</t>
  </si>
  <si>
    <t>INE0POU01017</t>
  </si>
  <si>
    <t>GRAPHISAD</t>
  </si>
  <si>
    <t>GRAPHISADS LIMITED</t>
  </si>
  <si>
    <t>INE371A01025</t>
  </si>
  <si>
    <t>GRAPHITE</t>
  </si>
  <si>
    <t>GRAPHITE INDIA LTD</t>
  </si>
  <si>
    <t>INE047A01021</t>
  </si>
  <si>
    <t>GRASIM</t>
  </si>
  <si>
    <t>GRASIM INDUSTRIES LTD</t>
  </si>
  <si>
    <t>INE266D01021</t>
  </si>
  <si>
    <t>GRAUWEIL</t>
  </si>
  <si>
    <t>GRAUER &amp; WEIL IND LTD</t>
  </si>
  <si>
    <t>INE214F01026</t>
  </si>
  <si>
    <t>GRAVISSHO</t>
  </si>
  <si>
    <t>GRAVISS HOSPITALITY LTD.</t>
  </si>
  <si>
    <t>INE024L01027</t>
  </si>
  <si>
    <t>GRAVITA</t>
  </si>
  <si>
    <t>GRAVITA INDIA LIMITED</t>
  </si>
  <si>
    <t>INE224A01026</t>
  </si>
  <si>
    <t>GREAVESCOT</t>
  </si>
  <si>
    <t>GREAVES COTTON LTD.</t>
  </si>
  <si>
    <t>INE0O7P01015</t>
  </si>
  <si>
    <t>GREENCHEF</t>
  </si>
  <si>
    <t>GREENCHEF APPLIANCES LTD</t>
  </si>
  <si>
    <t>INE544R01021</t>
  </si>
  <si>
    <t>GREENLAM</t>
  </si>
  <si>
    <t>GREENLAM INDUSTRIES LTD.</t>
  </si>
  <si>
    <t>INE0PLX01017</t>
  </si>
  <si>
    <t>GREENLEAF</t>
  </si>
  <si>
    <t>GREENLEAF ENVIROTECH LTD</t>
  </si>
  <si>
    <t>INE08ZM01014</t>
  </si>
  <si>
    <t>GREENPANEL</t>
  </si>
  <si>
    <t>GREENPANEL INDUSTRIES LTD</t>
  </si>
  <si>
    <t>INE461C01038</t>
  </si>
  <si>
    <t>GREENPLY</t>
  </si>
  <si>
    <t>GREENPLY INDUSTRIES LTD</t>
  </si>
  <si>
    <t>INE199P01028</t>
  </si>
  <si>
    <t>GCSL</t>
  </si>
  <si>
    <t>GRETEX CORPORATE SERVICES</t>
  </si>
  <si>
    <t>INE0PC901019</t>
  </si>
  <si>
    <t>BIRDYS</t>
  </si>
  <si>
    <t>GRILL SPLENDOUR SER LTD</t>
  </si>
  <si>
    <t>INE536A01023</t>
  </si>
  <si>
    <t>GRINDWELL</t>
  </si>
  <si>
    <t>GRINDWELL NORTON LIMITED</t>
  </si>
  <si>
    <t>INE192H01020</t>
  </si>
  <si>
    <t>GRMOVER</t>
  </si>
  <si>
    <t>GRM OVERSEAS LIMITED</t>
  </si>
  <si>
    <t>INE1TY801010</t>
  </si>
  <si>
    <t>GJL</t>
  </si>
  <si>
    <t>GROVER JEWELLS LIMITED</t>
  </si>
  <si>
    <t>INF666M01PH7</t>
  </si>
  <si>
    <t>CEMNTGROWW</t>
  </si>
  <si>
    <t>GROWWAMC - CEMNTGROWW</t>
  </si>
  <si>
    <t>INF666M01MM4</t>
  </si>
  <si>
    <t>GROWWCAPM</t>
  </si>
  <si>
    <t>GROWWAMC - GROWWCAPM</t>
  </si>
  <si>
    <t>INF666M01NP5</t>
  </si>
  <si>
    <t>GROWWCHEM</t>
  </si>
  <si>
    <t>GROWWAMC - GROWWCHEM</t>
  </si>
  <si>
    <t>INF666M01IO8</t>
  </si>
  <si>
    <t>GROWWDEFNC</t>
  </si>
  <si>
    <t>GROWWAMC - GROWWDEFNC</t>
  </si>
  <si>
    <t>INF666M01IH2</t>
  </si>
  <si>
    <t>GROWWEV</t>
  </si>
  <si>
    <t>GROWWAMC - GROWWEV</t>
  </si>
  <si>
    <t>INF666M01OE7</t>
  </si>
  <si>
    <t>GROWWGOLD</t>
  </si>
  <si>
    <t>GROWWAMC - GROWWGOLD</t>
  </si>
  <si>
    <t>INF666M01OD9</t>
  </si>
  <si>
    <t>GROWWHOSPI</t>
  </si>
  <si>
    <t>GROWWAMC - GROWWHOSPI</t>
  </si>
  <si>
    <t>INF666M01IP5</t>
  </si>
  <si>
    <t>GROWWLIQID</t>
  </si>
  <si>
    <t>GROWWAMC - GROWWLIQID</t>
  </si>
  <si>
    <t>INF666M01LB9</t>
  </si>
  <si>
    <t>GROWWLOVOL</t>
  </si>
  <si>
    <t>GROWWAMC - GROWWLOVOL</t>
  </si>
  <si>
    <t>INF666M01MV5</t>
  </si>
  <si>
    <t>GROWWMC150</t>
  </si>
  <si>
    <t>GROWWAMC - GROWWMC150</t>
  </si>
  <si>
    <t>INF666M01NI0</t>
  </si>
  <si>
    <t>GROWWMETAL</t>
  </si>
  <si>
    <t>GROWWAMC - GROWWMETAL</t>
  </si>
  <si>
    <t>INF666M01KJ4</t>
  </si>
  <si>
    <t>GROWWMOM50</t>
  </si>
  <si>
    <t>GROWWAMC - GROWWMOM50</t>
  </si>
  <si>
    <t>INF666M01JV1</t>
  </si>
  <si>
    <t>GROWWN200</t>
  </si>
  <si>
    <t>GROWWAMC - GROWWN200</t>
  </si>
  <si>
    <t>INF666M01LI4</t>
  </si>
  <si>
    <t>GROWWNET</t>
  </si>
  <si>
    <t>GROWWAMC - GROWWNET</t>
  </si>
  <si>
    <t>INF666M01LL8</t>
  </si>
  <si>
    <t>GROWWNIFTY</t>
  </si>
  <si>
    <t>GROWWAMC - GROWWNIFTY</t>
  </si>
  <si>
    <t>INF666M01LZ8</t>
  </si>
  <si>
    <t>GROWWNXT50</t>
  </si>
  <si>
    <t>GROWWAMC - GROWWNXT50</t>
  </si>
  <si>
    <t>INF666M01LM6</t>
  </si>
  <si>
    <t>GROWWPOWER</t>
  </si>
  <si>
    <t>GROWWAMC - GROWWPOWER</t>
  </si>
  <si>
    <t>INF666M01NQ3</t>
  </si>
  <si>
    <t>GROWWPSE</t>
  </si>
  <si>
    <t>GROWWAMC - GROWWPSE</t>
  </si>
  <si>
    <t>INF666M01OG2</t>
  </si>
  <si>
    <t>GROWWPSUBK</t>
  </si>
  <si>
    <t>GROWWAMC - GROWWPSUBK</t>
  </si>
  <si>
    <t>INF666M01JJ6</t>
  </si>
  <si>
    <t>GROWWRAIL</t>
  </si>
  <si>
    <t>GROWWAMC - GROWWRAIL</t>
  </si>
  <si>
    <t>INF666M01MN2</t>
  </si>
  <si>
    <t>GROWWRLTY</t>
  </si>
  <si>
    <t>GROWWAMC - GROWWRLTY</t>
  </si>
  <si>
    <t>INF666M01MO0</t>
  </si>
  <si>
    <t>GROWWSC250</t>
  </si>
  <si>
    <t>GROWWAMC - GROWWSC250</t>
  </si>
  <si>
    <t>INF666M01OF4</t>
  </si>
  <si>
    <t>GROWWSLVR</t>
  </si>
  <si>
    <t>GROWWAMC - GROWWSLVR</t>
  </si>
  <si>
    <t>INF666M01OT5</t>
  </si>
  <si>
    <t>PVTBKGROWW</t>
  </si>
  <si>
    <t>GROWWAMC - PVTBKGROWW</t>
  </si>
  <si>
    <t>INF666M01PG9</t>
  </si>
  <si>
    <t>SMALLGROWW</t>
  </si>
  <si>
    <t>GROWWAMC - SMALLGROWW</t>
  </si>
  <si>
    <t>INE137I01015</t>
  </si>
  <si>
    <t>GRPLTD</t>
  </si>
  <si>
    <t>GRP LIMITED</t>
  </si>
  <si>
    <t>INE0SQY01018</t>
  </si>
  <si>
    <t>GSMFOILS</t>
  </si>
  <si>
    <t>GSM FOILS LIMITED</t>
  </si>
  <si>
    <t>INE713R01022</t>
  </si>
  <si>
    <t>GSPCROP</t>
  </si>
  <si>
    <t>GSP CROP SCIENCE LIMITED</t>
  </si>
  <si>
    <t>INE871H01011</t>
  </si>
  <si>
    <t>GSS</t>
  </si>
  <si>
    <t>GSS INFOTECH LIMITED</t>
  </si>
  <si>
    <t>INE221H01019</t>
  </si>
  <si>
    <t>GTLINFRA</t>
  </si>
  <si>
    <t>GTL INFRA.LTD</t>
  </si>
  <si>
    <t>INE043A01012</t>
  </si>
  <si>
    <t>GTL</t>
  </si>
  <si>
    <t>GTL LTD</t>
  </si>
  <si>
    <t>INE869I01013</t>
  </si>
  <si>
    <t>GTPL</t>
  </si>
  <si>
    <t>GTPL HATHWAY LIMITED</t>
  </si>
  <si>
    <t>INE742B01025</t>
  </si>
  <si>
    <t>GUFICBIO</t>
  </si>
  <si>
    <t>GUFIC BIOSCIENCES LTD.</t>
  </si>
  <si>
    <t>INE162A01010</t>
  </si>
  <si>
    <t>GIPCL</t>
  </si>
  <si>
    <t>GUJ IND POW CO. LTD</t>
  </si>
  <si>
    <t>INE113A01013</t>
  </si>
  <si>
    <t>GNFC</t>
  </si>
  <si>
    <t>GUJ NAR VAL FER &amp; CHEM L</t>
  </si>
  <si>
    <t>INE026A01025</t>
  </si>
  <si>
    <t>GSFC</t>
  </si>
  <si>
    <t>GUJ STATE FERT &amp; CHEM LTD</t>
  </si>
  <si>
    <t>INE826C01016</t>
  </si>
  <si>
    <t>GUJAPOLLO</t>
  </si>
  <si>
    <t>GUJ. APOLLO IND. LTD.</t>
  </si>
  <si>
    <t>INE186A01019</t>
  </si>
  <si>
    <t>GUJALKALI</t>
  </si>
  <si>
    <t>GUJARAT ALKALIES &amp; CHEM</t>
  </si>
  <si>
    <t>INE036B01030</t>
  </si>
  <si>
    <t>GAEL</t>
  </si>
  <si>
    <t>GUJARAT AMBUJA EXPORTS LT</t>
  </si>
  <si>
    <t>INE844O01030</t>
  </si>
  <si>
    <t>GUJENERGY</t>
  </si>
  <si>
    <t>GUJARAT ENERGY LIMITED</t>
  </si>
  <si>
    <t>INE09N301011</t>
  </si>
  <si>
    <t>FLUOROCHEM</t>
  </si>
  <si>
    <t>GUJARAT FLUOROCHEM LTD</t>
  </si>
  <si>
    <t>INE0V0W01025</t>
  </si>
  <si>
    <t>GKSL</t>
  </si>
  <si>
    <t>GUJARAT KIDNEY N SUP SP L</t>
  </si>
  <si>
    <t>INE540A01017</t>
  </si>
  <si>
    <t>GLFL</t>
  </si>
  <si>
    <t>GUJARAT LEASE FINANCING L</t>
  </si>
  <si>
    <t>INE131A01031</t>
  </si>
  <si>
    <t>GMDCLTD</t>
  </si>
  <si>
    <t>GUJARAT MINERAL DEV CORP</t>
  </si>
  <si>
    <t>INE207H01018</t>
  </si>
  <si>
    <t>GNRL</t>
  </si>
  <si>
    <t>GUJARAT NATURAL RES L</t>
  </si>
  <si>
    <t>INE517F01014</t>
  </si>
  <si>
    <t>GPPL</t>
  </si>
  <si>
    <t>GUJARAT PIPAVAV PORT LTD</t>
  </si>
  <si>
    <t>INE610B01024</t>
  </si>
  <si>
    <t>GUJRAFFIA</t>
  </si>
  <si>
    <t>GUJARAT RAFFIA INDUST LTD</t>
  </si>
  <si>
    <t>INE942C01045</t>
  </si>
  <si>
    <t>GUJTHEM</t>
  </si>
  <si>
    <t>GUJARAT THEMIS BIOSYN LTD</t>
  </si>
  <si>
    <t>INE635Q01029</t>
  </si>
  <si>
    <t>GULFOILLUB</t>
  </si>
  <si>
    <t>GULF OIL LUB. IND. LTD.</t>
  </si>
  <si>
    <t>INE255D01024</t>
  </si>
  <si>
    <t>GULPOLY</t>
  </si>
  <si>
    <t>GULSHAN POLYOLS LIMITED</t>
  </si>
  <si>
    <t>INE1CCX01012</t>
  </si>
  <si>
    <t>GURUNANAK</t>
  </si>
  <si>
    <t>GURUNANAK AGRICULTUR IN L</t>
  </si>
  <si>
    <t>INE251H01024</t>
  </si>
  <si>
    <t>GVKPIL</t>
  </si>
  <si>
    <t>GVK POW. &amp; INFRA LTD.</t>
  </si>
  <si>
    <t>INE382T01030</t>
  </si>
  <si>
    <t>GVPTECH</t>
  </si>
  <si>
    <t>GVP INFOTECH LIMITED</t>
  </si>
  <si>
    <t>INE724A01017</t>
  </si>
  <si>
    <t>GYFTR</t>
  </si>
  <si>
    <t>GYFTR LIMITED</t>
  </si>
  <si>
    <t>INE640B01021</t>
  </si>
  <si>
    <t>HBESD</t>
  </si>
  <si>
    <t>H B ESTATE DEVELOPERS L</t>
  </si>
  <si>
    <t>INE926X01010</t>
  </si>
  <si>
    <t>HGINFRA</t>
  </si>
  <si>
    <t>H.G.INFRA ENGINEERING LTD</t>
  </si>
  <si>
    <t>INE115S01010</t>
  </si>
  <si>
    <t>HALDER</t>
  </si>
  <si>
    <t>HALDER VENTURE LIMITED</t>
  </si>
  <si>
    <t>INE506D01020</t>
  </si>
  <si>
    <t>HALDYNGL</t>
  </si>
  <si>
    <t>HALDYN GLASS LTD.</t>
  </si>
  <si>
    <t>INE320X01016</t>
  </si>
  <si>
    <t>HALEOSLABS</t>
  </si>
  <si>
    <t>HALEOS LABS LIMITED</t>
  </si>
  <si>
    <t>INE299D01022</t>
  </si>
  <si>
    <t>HAMPTON</t>
  </si>
  <si>
    <t>HAMPTON SKY REALTY LTD.</t>
  </si>
  <si>
    <t>INE596H01014</t>
  </si>
  <si>
    <t>HGM</t>
  </si>
  <si>
    <t>HANDSON GBL MNGMNT LTD</t>
  </si>
  <si>
    <t>INE419U01012</t>
  </si>
  <si>
    <t>HAPPSTMNDS</t>
  </si>
  <si>
    <t>HAPPIEST MINDS TECHNO LTD</t>
  </si>
  <si>
    <t>INE330T01021</t>
  </si>
  <si>
    <t>HAPPYFORGE</t>
  </si>
  <si>
    <t>HAPPY FORGINGS LIMITED</t>
  </si>
  <si>
    <t>INE0TLP01015</t>
  </si>
  <si>
    <t>WHITEFORCE</t>
  </si>
  <si>
    <t>HAPPY SQUARE OUTSOURC S L</t>
  </si>
  <si>
    <t>INE1GFG01011</t>
  </si>
  <si>
    <t>HAPPY</t>
  </si>
  <si>
    <t>HAPPY STEELS LIMITED</t>
  </si>
  <si>
    <t>INE626Z01029</t>
  </si>
  <si>
    <t>HARDWYN</t>
  </si>
  <si>
    <t>HARDWYN INDIA LIMITED</t>
  </si>
  <si>
    <t>INE00EV01017</t>
  </si>
  <si>
    <t>HARIOMPIPE</t>
  </si>
  <si>
    <t>HARIOM PIPE INDUSTRIES L</t>
  </si>
  <si>
    <t>INE400G01011</t>
  </si>
  <si>
    <t>HRYNSHP</t>
  </si>
  <si>
    <t>HARIYANA SHIP BREAKERS L</t>
  </si>
  <si>
    <t>INE544A01019</t>
  </si>
  <si>
    <t>HARRMALAYA</t>
  </si>
  <si>
    <t>HARRISON MALAYALAM LTD</t>
  </si>
  <si>
    <t>INE0JUS01029</t>
  </si>
  <si>
    <t>HARSHA</t>
  </si>
  <si>
    <t>HARSHA ENGINEERS INT LTD</t>
  </si>
  <si>
    <t>INE982F01036</t>
  </si>
  <si>
    <t>HATHWAY</t>
  </si>
  <si>
    <t>HATHWAY CABLE &amp; DATACOM</t>
  </si>
  <si>
    <t>INE473B01035</t>
  </si>
  <si>
    <t>HATSUN</t>
  </si>
  <si>
    <t>HATSUN AGRO PRODUCT LTD.</t>
  </si>
  <si>
    <t>INE176B01034</t>
  </si>
  <si>
    <t>HAVELLS</t>
  </si>
  <si>
    <t>HAVELLS INDIA LIMITED</t>
  </si>
  <si>
    <t>INE979B01015</t>
  </si>
  <si>
    <t>HAWKINCOOK</t>
  </si>
  <si>
    <t>HAWKINS COOKERS LTD</t>
  </si>
  <si>
    <t>INE550F01049</t>
  </si>
  <si>
    <t>HAZOOR</t>
  </si>
  <si>
    <t>HAZOOR MULTI PROJECTS LTD</t>
  </si>
  <si>
    <t>INE638B01025</t>
  </si>
  <si>
    <t>HBPOR</t>
  </si>
  <si>
    <t>HB PORTFOLIO LTD.</t>
  </si>
  <si>
    <t>INE550B01022</t>
  </si>
  <si>
    <t>HBSL</t>
  </si>
  <si>
    <t>HB STOCKHOLDINGS LIMITED</t>
  </si>
  <si>
    <t>INE292B01021</t>
  </si>
  <si>
    <t>HBLENGINE</t>
  </si>
  <si>
    <t>HBL ENGINEERING LTD</t>
  </si>
  <si>
    <t>INE236A01020</t>
  </si>
  <si>
    <t>HCL-INSYS</t>
  </si>
  <si>
    <t>HCL INFOSYSTEMS LTD</t>
  </si>
  <si>
    <t>INE860A01027</t>
  </si>
  <si>
    <t>HCLTECH</t>
  </si>
  <si>
    <t>HCL TECHNOLOGIES LTD</t>
  </si>
  <si>
    <t>INE756I01012</t>
  </si>
  <si>
    <t>HDBFS</t>
  </si>
  <si>
    <t>HDB FINANCIAL SERVICES L</t>
  </si>
  <si>
    <t>INE127D01025</t>
  </si>
  <si>
    <t>HDFCAMC</t>
  </si>
  <si>
    <t>HDFC AMC LIMITED</t>
  </si>
  <si>
    <t>INE040A01034</t>
  </si>
  <si>
    <t>HDFCBANK</t>
  </si>
  <si>
    <t>HDFC BANK LTD</t>
  </si>
  <si>
    <t>INF179KC1981</t>
  </si>
  <si>
    <t>HDFCGOLD</t>
  </si>
  <si>
    <t>HDFC GOLD ETF</t>
  </si>
  <si>
    <t>INE795G01014</t>
  </si>
  <si>
    <t>HDFCLIFE</t>
  </si>
  <si>
    <t>HDFC LIFE INS CO LTD</t>
  </si>
  <si>
    <t>INF179KC1EZ4</t>
  </si>
  <si>
    <t>HDFCBSE500</t>
  </si>
  <si>
    <t>HDFCAMC - HDFCBSE500</t>
  </si>
  <si>
    <t>INF179KC1DJ0</t>
  </si>
  <si>
    <t>HDFCGROWTH</t>
  </si>
  <si>
    <t>HDFCAMC - HDFCGROWTH</t>
  </si>
  <si>
    <t>INF179KC1JG3</t>
  </si>
  <si>
    <t>HDFCLIQUID</t>
  </si>
  <si>
    <t>HDFCAMC - HDFCLIQUID</t>
  </si>
  <si>
    <t>INF179KC1HU8</t>
  </si>
  <si>
    <t>HDFCLOWVOL</t>
  </si>
  <si>
    <t>HDFCAMC - HDFCLOWVOL</t>
  </si>
  <si>
    <t>INF179KC1HT0</t>
  </si>
  <si>
    <t>HDFCMID150</t>
  </si>
  <si>
    <t>HDFCAMC - HDFCMID150</t>
  </si>
  <si>
    <t>INF179KC1HV6</t>
  </si>
  <si>
    <t>HDFCMOMENT</t>
  </si>
  <si>
    <t>HDFCAMC - HDFCMOMENT</t>
  </si>
  <si>
    <t>INF179KC1HS2</t>
  </si>
  <si>
    <t>HDFCNEXT50</t>
  </si>
  <si>
    <t>HDFCAMC - HDFCNEXT50</t>
  </si>
  <si>
    <t>INF179KC1HR4</t>
  </si>
  <si>
    <t>HDFCNIF100</t>
  </si>
  <si>
    <t>HDFCAMC - HDFCNIF100</t>
  </si>
  <si>
    <t>INF179KC1HY0</t>
  </si>
  <si>
    <t>HDFCNIFBAN</t>
  </si>
  <si>
    <t>HDFCAMC - HDFCNIFBAN</t>
  </si>
  <si>
    <t>INF179KC1IA8</t>
  </si>
  <si>
    <t>HDFCNIFIT</t>
  </si>
  <si>
    <t>HDFCAMC - HDFCNIFIT</t>
  </si>
  <si>
    <t>INF179KC1965</t>
  </si>
  <si>
    <t>HDFCNIFTY</t>
  </si>
  <si>
    <t>HDFCAMC - HDFCNIFTY</t>
  </si>
  <si>
    <t>INF179KC1KT4</t>
  </si>
  <si>
    <t>HDFCNIMEG</t>
  </si>
  <si>
    <t>HDFCAMC - HDFCNIMEG</t>
  </si>
  <si>
    <t>INF179KC1HZ7</t>
  </si>
  <si>
    <t>HDFCPVTBAN</t>
  </si>
  <si>
    <t>HDFCAMC - HDFCPVTBAN</t>
  </si>
  <si>
    <t>INF179KC1DL6</t>
  </si>
  <si>
    <t>HDFCQUAL</t>
  </si>
  <si>
    <t>HDFCAMC - HDFCQUAL</t>
  </si>
  <si>
    <t>INF179KC1HX2</t>
  </si>
  <si>
    <t>HDFCSENSEX</t>
  </si>
  <si>
    <t>HDFCAMC - HDFCSENSEX</t>
  </si>
  <si>
    <t>INF179KC1DI2</t>
  </si>
  <si>
    <t>HDFCSILVER</t>
  </si>
  <si>
    <t>HDFCAMC - HDFCSILVER</t>
  </si>
  <si>
    <t>INF179KC1FB2</t>
  </si>
  <si>
    <t>HDFCSML250</t>
  </si>
  <si>
    <t>HDFCAMC - HDFCSML250</t>
  </si>
  <si>
    <t>INF179KC1DK8</t>
  </si>
  <si>
    <t>HDFCVALUE</t>
  </si>
  <si>
    <t>HDFCAMC - HDFCVALUE</t>
  </si>
  <si>
    <t>INF179KC1HW4</t>
  </si>
  <si>
    <t>HDFCPSUBK</t>
  </si>
  <si>
    <t>HDFCAMC HDFCPSUBK</t>
  </si>
  <si>
    <t>INE759V01019</t>
  </si>
  <si>
    <t>HEADSUP</t>
  </si>
  <si>
    <t>HEADS UP VENTURES LIMITED</t>
  </si>
  <si>
    <t>INE019J01013</t>
  </si>
  <si>
    <t>HEALTHX</t>
  </si>
  <si>
    <t>HEALTH X PLATFORM LIMITED</t>
  </si>
  <si>
    <t>INE075I01017</t>
  </si>
  <si>
    <t>HEALTHCARE GLOB. ENT. LTD</t>
  </si>
  <si>
    <t>INE558R01013</t>
  </si>
  <si>
    <t>HECPROJECT</t>
  </si>
  <si>
    <t>HEC INFRA PROJECTS LTD</t>
  </si>
  <si>
    <t>INE545A01024</t>
  </si>
  <si>
    <t>HEG LIMITED</t>
  </si>
  <si>
    <t>INE578A01017</t>
  </si>
  <si>
    <t>HEIDELBERG</t>
  </si>
  <si>
    <t>HEIDELBERGCEMENT (I) LTD</t>
  </si>
  <si>
    <t>INE0AJG01018</t>
  </si>
  <si>
    <t>HEMIPROP</t>
  </si>
  <si>
    <t>HEMISPHERE PROP IND LTD</t>
  </si>
  <si>
    <t>INE694N01015</t>
  </si>
  <si>
    <t>HERANBA</t>
  </si>
  <si>
    <t>HERANBA INDUSTRIES LTD</t>
  </si>
  <si>
    <t>INE978A01027</t>
  </si>
  <si>
    <t>HERITAGE FOODS LTD</t>
  </si>
  <si>
    <t>INE158A01026</t>
  </si>
  <si>
    <t>HEROMOTOCO</t>
  </si>
  <si>
    <t>HERO MOTOCORP LIMITED</t>
  </si>
  <si>
    <t>INE782E01017</t>
  </si>
  <si>
    <t>HESTERBIO</t>
  </si>
  <si>
    <t>HESTER BIOSCIENCES LTD</t>
  </si>
  <si>
    <t>INE750M01017</t>
  </si>
  <si>
    <t>HEXATRADEX</t>
  </si>
  <si>
    <t>HEXA TRADEX LIMITED</t>
  </si>
  <si>
    <t>INE0JUI01012</t>
  </si>
  <si>
    <t>HEXAGON</t>
  </si>
  <si>
    <t>HEXAGON NUTRITION LIMITED</t>
  </si>
  <si>
    <t>INE093A01041</t>
  </si>
  <si>
    <t>HEXT</t>
  </si>
  <si>
    <t>HEXAWARE TECHNOLOGIES LTD</t>
  </si>
  <si>
    <t>INE548A01028</t>
  </si>
  <si>
    <t>HFCL</t>
  </si>
  <si>
    <t>HFCL LIMITED</t>
  </si>
  <si>
    <t>INE957N08151</t>
  </si>
  <si>
    <t>920HFL30</t>
  </si>
  <si>
    <t>HFL 9.20% 2030 SR 67</t>
  </si>
  <si>
    <t>INE0PIC01017</t>
  </si>
  <si>
    <t>HIGREEN</t>
  </si>
  <si>
    <t>HI GREEN CARBON LIMITED</t>
  </si>
  <si>
    <t>INE106T01025</t>
  </si>
  <si>
    <t>HITECH</t>
  </si>
  <si>
    <t>HI-TECH PIPES LIMITED</t>
  </si>
  <si>
    <t>INE00RL01028</t>
  </si>
  <si>
    <t>HILINFRA</t>
  </si>
  <si>
    <t>HIGHWAY INFRASTRUCTURE L</t>
  </si>
  <si>
    <t>INE475B01022</t>
  </si>
  <si>
    <t>HIKAL</t>
  </si>
  <si>
    <t>HIKAL LIMITED</t>
  </si>
  <si>
    <t>INE788H01017</t>
  </si>
  <si>
    <t>HILTON</t>
  </si>
  <si>
    <t>HILTON METAL FORGING LTD</t>
  </si>
  <si>
    <t>INE019C01026</t>
  </si>
  <si>
    <t>HSCL</t>
  </si>
  <si>
    <t>HIMADRI SPECIALITY CHEM L</t>
  </si>
  <si>
    <t>INE049A01027</t>
  </si>
  <si>
    <t>HIMATSEIDE</t>
  </si>
  <si>
    <t>HIMATSINGKA SEIDE LTD</t>
  </si>
  <si>
    <t>INE227B01019</t>
  </si>
  <si>
    <t>HINDALUMI</t>
  </si>
  <si>
    <t>HIND ALUMINIUM INDS. LTD.</t>
  </si>
  <si>
    <t>INE038A01020</t>
  </si>
  <si>
    <t>HINDALCO</t>
  </si>
  <si>
    <t>HINDALCO  INDUSTRIES  LTD</t>
  </si>
  <si>
    <t>INE642Y01029</t>
  </si>
  <si>
    <t>HINDCON</t>
  </si>
  <si>
    <t>HINDCON CHEMICALS LIMITED</t>
  </si>
  <si>
    <t>INE05X901010</t>
  </si>
  <si>
    <t>HPIL</t>
  </si>
  <si>
    <t>HINDPRAKASH INDUSTRY LTD</t>
  </si>
  <si>
    <t>INE170I01016</t>
  </si>
  <si>
    <t>HGS</t>
  </si>
  <si>
    <t>HINDUJA GLOBAL SOLS. LTD.</t>
  </si>
  <si>
    <t>INE074C01013</t>
  </si>
  <si>
    <t>HINDADH</t>
  </si>
  <si>
    <t>HINDUSTAN ADHESIVES LTD.</t>
  </si>
  <si>
    <t>INE066F01020</t>
  </si>
  <si>
    <t>HAL</t>
  </si>
  <si>
    <t>HINDUSTAN AERONAUTICS LTD</t>
  </si>
  <si>
    <t>INE310C01029</t>
  </si>
  <si>
    <t>HINDCOMPOS</t>
  </si>
  <si>
    <t>HINDUSTAN COMPOSITES LTD.</t>
  </si>
  <si>
    <t>INE549A01026</t>
  </si>
  <si>
    <t>HCC</t>
  </si>
  <si>
    <t>HINDUSTAN CONSTRUCTION CO</t>
  </si>
  <si>
    <t>INE531E01026</t>
  </si>
  <si>
    <t>HINDCOPPER</t>
  </si>
  <si>
    <t>HINDUSTAN COPPER LTD</t>
  </si>
  <si>
    <t>INE254N01026</t>
  </si>
  <si>
    <t>HNDFDS</t>
  </si>
  <si>
    <t>HINDUSTAN FOODS LIMITED</t>
  </si>
  <si>
    <t>INE871K01015</t>
  </si>
  <si>
    <t>HMVL</t>
  </si>
  <si>
    <t>HINDUSTAN MEDIA VENT LTD</t>
  </si>
  <si>
    <t>INE345A01011</t>
  </si>
  <si>
    <t>HINDUSTAN OIL EXPLORATION</t>
  </si>
  <si>
    <t>INE094A01015</t>
  </si>
  <si>
    <t>HINDPETRO</t>
  </si>
  <si>
    <t>HINDUSTAN PETROLEUM CORP</t>
  </si>
  <si>
    <t>INE030A01027</t>
  </si>
  <si>
    <t>HINDUNILVR</t>
  </si>
  <si>
    <t>HINDUSTAN UNILEVER LTD.</t>
  </si>
  <si>
    <t>INE267A01025</t>
  </si>
  <si>
    <t>HINDZINC</t>
  </si>
  <si>
    <t>HINDUSTAN ZINC LIMITED</t>
  </si>
  <si>
    <t>INE05AN01011</t>
  </si>
  <si>
    <t>HINDWAREAP</t>
  </si>
  <si>
    <t>HINDWARE HME INOVATON LTD</t>
  </si>
  <si>
    <t>INE835D01023</t>
  </si>
  <si>
    <t>HIRECT</t>
  </si>
  <si>
    <t>HIRECT LIMITED</t>
  </si>
  <si>
    <t>INE598C01011</t>
  </si>
  <si>
    <t>HISARMETAL</t>
  </si>
  <si>
    <t>HISAR METAL IND. LIMITED</t>
  </si>
  <si>
    <t>INE07Y701011</t>
  </si>
  <si>
    <t>POWERINDIA</t>
  </si>
  <si>
    <t>HITACHI ENERGY INDIA LTD</t>
  </si>
  <si>
    <t>INE120D01012</t>
  </si>
  <si>
    <t>HITECHCORP</t>
  </si>
  <si>
    <t>HITECH CORPORATION LTD</t>
  </si>
  <si>
    <t>INE461D01028</t>
  </si>
  <si>
    <t>HLEGLAS</t>
  </si>
  <si>
    <t>HLE GLASCOAT LIMITED</t>
  </si>
  <si>
    <t>INE102A01024</t>
  </si>
  <si>
    <t>HLVLTD</t>
  </si>
  <si>
    <t>HLV LIMITED</t>
  </si>
  <si>
    <t>INE0ECP01024</t>
  </si>
  <si>
    <t>HMAAGRO</t>
  </si>
  <si>
    <t>HMA AGRO INDUSTRIES LTD</t>
  </si>
  <si>
    <t>INE2T2Q07121</t>
  </si>
  <si>
    <t>87HMDA34</t>
  </si>
  <si>
    <t>HMDA 8.7% 2034 STRPP E</t>
  </si>
  <si>
    <t>INE262A01018</t>
  </si>
  <si>
    <t>HMT</t>
  </si>
  <si>
    <t>HMT LTD -</t>
  </si>
  <si>
    <t>INE0S6S01017</t>
  </si>
  <si>
    <t>HOACFOODS</t>
  </si>
  <si>
    <t>HOAC FOODS INDIA LIMITED</t>
  </si>
  <si>
    <t>INE0LXA01019</t>
  </si>
  <si>
    <t>HOLMARC</t>
  </si>
  <si>
    <t>HOLMARC OPTO MECHATRO L</t>
  </si>
  <si>
    <t>INE481N01025</t>
  </si>
  <si>
    <t>HOMEFIRST</t>
  </si>
  <si>
    <t>HOME FIRST FIN CO IND LTD</t>
  </si>
  <si>
    <t>INE0J5401028</t>
  </si>
  <si>
    <t>HONASA</t>
  </si>
  <si>
    <t>HONASA CONSUMER LIMITED</t>
  </si>
  <si>
    <t>INE634A01018</t>
  </si>
  <si>
    <t>HONDAPOWER</t>
  </si>
  <si>
    <t>HONDA I POWER PRODUCT LTD</t>
  </si>
  <si>
    <t>INE671A01010</t>
  </si>
  <si>
    <t>HONAUT</t>
  </si>
  <si>
    <t>HONEYWELL AUTOMATION IND</t>
  </si>
  <si>
    <t>INE685T01010</t>
  </si>
  <si>
    <t>HORIZONIND</t>
  </si>
  <si>
    <t>HORIZON INDUSTRIAL PRKS L</t>
  </si>
  <si>
    <t>INE191I01012</t>
  </si>
  <si>
    <t>HDIL</t>
  </si>
  <si>
    <t>HOUSING DEV &amp; INFRA LTD</t>
  </si>
  <si>
    <t>INE0GSL01024</t>
  </si>
  <si>
    <t>HPAL</t>
  </si>
  <si>
    <t>HP ADHESIVES LIMITED</t>
  </si>
  <si>
    <t>INE0VA601019</t>
  </si>
  <si>
    <t>HPTL</t>
  </si>
  <si>
    <t>HP TELECOM INDIA LIMITED</t>
  </si>
  <si>
    <t>INE495S01016</t>
  </si>
  <si>
    <t>HPL</t>
  </si>
  <si>
    <t>HPL ELECTRIC &amp; POWER LTD</t>
  </si>
  <si>
    <t>INE0R3501012</t>
  </si>
  <si>
    <t>HRHNEXT</t>
  </si>
  <si>
    <t>HRH NEXT SERVICES LIMITED</t>
  </si>
  <si>
    <t>INF336L01RX2</t>
  </si>
  <si>
    <t>HSBCGOLD</t>
  </si>
  <si>
    <t>HSBCAMC - HSBCGOLD</t>
  </si>
  <si>
    <t>INE031A01017</t>
  </si>
  <si>
    <t>HUDCO</t>
  </si>
  <si>
    <t>HSG &amp; URBAN DEV CORPN LTD</t>
  </si>
  <si>
    <t>INE501G01024</t>
  </si>
  <si>
    <t>HTMEDIA</t>
  </si>
  <si>
    <t>HT MEDIA LIMITED</t>
  </si>
  <si>
    <t>INE703H01016</t>
  </si>
  <si>
    <t>HUBTOWN</t>
  </si>
  <si>
    <t>HUBTOWN LIMITED</t>
  </si>
  <si>
    <t>INE275B01026</t>
  </si>
  <si>
    <t>HUHTAMAKI</t>
  </si>
  <si>
    <t>HUHTAMAKI INDIA LIMITED</t>
  </si>
  <si>
    <t>INE0TO501019</t>
  </si>
  <si>
    <t>HVAX</t>
  </si>
  <si>
    <t>HVAX TECHNOLOGIES LIMITED</t>
  </si>
  <si>
    <t>INE0LEG01024</t>
  </si>
  <si>
    <t>HTEL</t>
  </si>
  <si>
    <t>HY-TECH ENGINEERS LIMITED</t>
  </si>
  <si>
    <t>INE965B01022</t>
  </si>
  <si>
    <t>HYBRIDFIN</t>
  </si>
  <si>
    <t>HYBRID FINANCIAL SERVICE</t>
  </si>
  <si>
    <t>INE0V6F01027</t>
  </si>
  <si>
    <t>HYUNDAI</t>
  </si>
  <si>
    <t>HYUNDAI MOTOR INDIA LTD</t>
  </si>
  <si>
    <t>INE204A01010</t>
  </si>
  <si>
    <t>IGPL</t>
  </si>
  <si>
    <t>I G PETROCHEMICALS LTD</t>
  </si>
  <si>
    <t>INE684B01029</t>
  </si>
  <si>
    <t>ISTLTD</t>
  </si>
  <si>
    <t>I S T LTD.</t>
  </si>
  <si>
    <t>INE0O7401018</t>
  </si>
  <si>
    <t>IBLFL</t>
  </si>
  <si>
    <t>IBL FINANCE LIMITED</t>
  </si>
  <si>
    <t>INE0XE501015</t>
  </si>
  <si>
    <t>ICELCO</t>
  </si>
  <si>
    <t>IC ELECTRICALS COMPANY L</t>
  </si>
  <si>
    <t>INE613B01010</t>
  </si>
  <si>
    <t>ICDSLTD</t>
  </si>
  <si>
    <t>INE520Y01019</t>
  </si>
  <si>
    <t>ICEMAKE</t>
  </si>
  <si>
    <t>ICE MAKE REFRIGERAT LTD</t>
  </si>
  <si>
    <t>INE090A01021</t>
  </si>
  <si>
    <t>ICICIBANK</t>
  </si>
  <si>
    <t>ICICI BANK LTD.</t>
  </si>
  <si>
    <t>INE765G01017</t>
  </si>
  <si>
    <t>ICICIGI</t>
  </si>
  <si>
    <t>ICICI LOMBARD GIC LIMITED</t>
  </si>
  <si>
    <t>INF109KC19U5</t>
  </si>
  <si>
    <t>LOWVOLIETF</t>
  </si>
  <si>
    <t>ICICI PR NIF LW VL 30 ETF</t>
  </si>
  <si>
    <t>INE726G01019</t>
  </si>
  <si>
    <t>ICICIPRULI</t>
  </si>
  <si>
    <t>ICICI PRU LIFE INS CO LTD</t>
  </si>
  <si>
    <t>INF109KC10W0</t>
  </si>
  <si>
    <t>MIDSELIETF</t>
  </si>
  <si>
    <t>ICICI PRUD MIDCAP SEL ETF</t>
  </si>
  <si>
    <t>INF109KC16V9</t>
  </si>
  <si>
    <t>NIF100IETF</t>
  </si>
  <si>
    <t>ICICI PRUD NIFTY 100 ETF</t>
  </si>
  <si>
    <t>INF109K012R6</t>
  </si>
  <si>
    <t>NIFTYIETF</t>
  </si>
  <si>
    <t>ICICI PRUD NIFTY ETF</t>
  </si>
  <si>
    <t>INF346A01034</t>
  </si>
  <si>
    <t>SENSEXIETF</t>
  </si>
  <si>
    <t>ICICI PRUD SENSEX ETF</t>
  </si>
  <si>
    <t>INE346A01027</t>
  </si>
  <si>
    <t>ICICIAMC</t>
  </si>
  <si>
    <t>ICICI PRUDENTIAL AMC LTD</t>
  </si>
  <si>
    <t>INF109KC1NT3</t>
  </si>
  <si>
    <t>GOLDIETF</t>
  </si>
  <si>
    <t>ICICI PRUDENTIAL GOLD ETF</t>
  </si>
  <si>
    <t>INF109KC11V0</t>
  </si>
  <si>
    <t>NV20IETF</t>
  </si>
  <si>
    <t>ICICI PRUDENTIAL NV20 ETF</t>
  </si>
  <si>
    <t>INF109KB15Y7</t>
  </si>
  <si>
    <t>ICICIB22</t>
  </si>
  <si>
    <t>ICICIPRAMC - BHARATIWIN</t>
  </si>
  <si>
    <t>INF109K1A021</t>
  </si>
  <si>
    <t>CASHIETF</t>
  </si>
  <si>
    <t>ICICIPRAMC - CASHIETF</t>
  </si>
  <si>
    <t>INF109K1A153</t>
  </si>
  <si>
    <t>EVIETF</t>
  </si>
  <si>
    <t>ICICIPRAMC - EVIETF</t>
  </si>
  <si>
    <t>INF109KC18O0</t>
  </si>
  <si>
    <t>GSEC10IETF</t>
  </si>
  <si>
    <t>ICICIPRAMC - ICICI10GS</t>
  </si>
  <si>
    <t>INF109KC1V59</t>
  </si>
  <si>
    <t>BSE500IETF</t>
  </si>
  <si>
    <t>ICICIPRAMC - ICICI500</t>
  </si>
  <si>
    <t>INF109KC14A8</t>
  </si>
  <si>
    <t>GSEC5IETF</t>
  </si>
  <si>
    <t>ICICIPRAMC - ICICI5GSEC</t>
  </si>
  <si>
    <t>INF109KC17V7</t>
  </si>
  <si>
    <t>ALPL30IETF</t>
  </si>
  <si>
    <t>ICICIPRAMC - ICICIALPLV</t>
  </si>
  <si>
    <t>INF109KC10V2</t>
  </si>
  <si>
    <t>AUTOIETF</t>
  </si>
  <si>
    <t>ICICIPRAMC - ICICIAUTO</t>
  </si>
  <si>
    <t>INF109KC18U7</t>
  </si>
  <si>
    <t>PVTBANIETF</t>
  </si>
  <si>
    <t>ICICIPRAMC - ICICIBANKP</t>
  </si>
  <si>
    <t>INF109KC19O8</t>
  </si>
  <si>
    <t>COMMOIETF</t>
  </si>
  <si>
    <t>ICICIPRAMC - ICICICOMMO</t>
  </si>
  <si>
    <t>INF109KC1V42</t>
  </si>
  <si>
    <t>CONSUMIETF</t>
  </si>
  <si>
    <t>ICICIPRAMC - ICICICONSU</t>
  </si>
  <si>
    <t>INF109KC19V3</t>
  </si>
  <si>
    <t>FMCGIETF</t>
  </si>
  <si>
    <t>ICICIPRAMC - ICICIFMCG</t>
  </si>
  <si>
    <t>INF109KC16E5</t>
  </si>
  <si>
    <t>INFRAIETF</t>
  </si>
  <si>
    <t>ICICIPRAMC - ICICIINFRA</t>
  </si>
  <si>
    <t>INF109KC1KT9</t>
  </si>
  <si>
    <t>LIQUIDIETF</t>
  </si>
  <si>
    <t>ICICIPRAMC - ICICILIQ</t>
  </si>
  <si>
    <t>INF109KC11W8</t>
  </si>
  <si>
    <t>MIDCAPIETF</t>
  </si>
  <si>
    <t>ICICIPRAMC - ICICIM150</t>
  </si>
  <si>
    <t>INF109KC17C7</t>
  </si>
  <si>
    <t>MOM30IETF</t>
  </si>
  <si>
    <t>ICICIPRAMC - ICICIMOM30</t>
  </si>
  <si>
    <t>INF109KC1NS5</t>
  </si>
  <si>
    <t>NEXT50IETF</t>
  </si>
  <si>
    <t>ICICIPRAMC - ICICINXT50</t>
  </si>
  <si>
    <t>INF109KC1Q72</t>
  </si>
  <si>
    <t>HEALTHIETF</t>
  </si>
  <si>
    <t>ICICIPRAMC - ICICIPHARM</t>
  </si>
  <si>
    <t>INF109KC18V5</t>
  </si>
  <si>
    <t>QUAL30IETF</t>
  </si>
  <si>
    <t>ICICIPRAMC - ICICIQTY30</t>
  </si>
  <si>
    <t>INF109KC1Y56</t>
  </si>
  <si>
    <t>SILVERIETF</t>
  </si>
  <si>
    <t>ICICIPRAMC - ICICISILVE</t>
  </si>
  <si>
    <t>INF109KC16I6</t>
  </si>
  <si>
    <t>ITIETF</t>
  </si>
  <si>
    <t>ICICIPRAMC - ICICITECH</t>
  </si>
  <si>
    <t>INF109K1A567</t>
  </si>
  <si>
    <t>INSUREIETF</t>
  </si>
  <si>
    <t>ICICIPRAMC - INSUREIETF</t>
  </si>
  <si>
    <t>INF109KC15I8</t>
  </si>
  <si>
    <t>BANKIETF</t>
  </si>
  <si>
    <t>ICICIPRAMC - IPRU5008</t>
  </si>
  <si>
    <t>INF109KC19W1</t>
  </si>
  <si>
    <t>METALIETF</t>
  </si>
  <si>
    <t>ICICIPRAMC - METALIETF</t>
  </si>
  <si>
    <t>INF109KC18W3</t>
  </si>
  <si>
    <t>OILIETF</t>
  </si>
  <si>
    <t>ICICIPRAMC - OILIETF</t>
  </si>
  <si>
    <t>INF109KC10S8</t>
  </si>
  <si>
    <t>PSUBNKIETF</t>
  </si>
  <si>
    <t>ICICIPRAMC - PSUBANKICI</t>
  </si>
  <si>
    <t>INF109K1A476</t>
  </si>
  <si>
    <t>SMALLIETF</t>
  </si>
  <si>
    <t>ICICIPRAMC - SMALLIETF</t>
  </si>
  <si>
    <t>INF109K1A344</t>
  </si>
  <si>
    <t>TOP15IETF</t>
  </si>
  <si>
    <t>ICICIPRAMC - TOP15IETF</t>
  </si>
  <si>
    <t>INF109KC16X5</t>
  </si>
  <si>
    <t>VAL30IETF</t>
  </si>
  <si>
    <t>ICICIPRAMC - VAL30IETF</t>
  </si>
  <si>
    <t>INF109KC17L8</t>
  </si>
  <si>
    <t>FINIETF</t>
  </si>
  <si>
    <t>ICICIPRAMC-ICICIFIN</t>
  </si>
  <si>
    <t>INE725G01011</t>
  </si>
  <si>
    <t>ICRA</t>
  </si>
  <si>
    <t>ICRA LIMITED</t>
  </si>
  <si>
    <t>INE008A01015</t>
  </si>
  <si>
    <t>IDBI</t>
  </si>
  <si>
    <t>IDBI BANK LIMITED</t>
  </si>
  <si>
    <t>INE349Y01013</t>
  </si>
  <si>
    <t>IDEAFORGE</t>
  </si>
  <si>
    <t>IDEAFORGE TECHNO LTD</t>
  </si>
  <si>
    <t>INE0T9I01011</t>
  </si>
  <si>
    <t>IDEALTECHO</t>
  </si>
  <si>
    <t>IDEAL TECHNOPLAST IND LTD</t>
  </si>
  <si>
    <t>INE092T01019</t>
  </si>
  <si>
    <t>IDFCFIRSTB</t>
  </si>
  <si>
    <t>IDFC FIRST BANK LIMITED</t>
  </si>
  <si>
    <t>INE076C01018</t>
  </si>
  <si>
    <t>IFBAGRO</t>
  </si>
  <si>
    <t>IFB AGRO INDUSTRIES LTD</t>
  </si>
  <si>
    <t>INE559A01017</t>
  </si>
  <si>
    <t>IFBIND</t>
  </si>
  <si>
    <t>IFB INDUSTRIES LTD</t>
  </si>
  <si>
    <t>INE039A01010</t>
  </si>
  <si>
    <t>IFCI</t>
  </si>
  <si>
    <t>IFCI LTD</t>
  </si>
  <si>
    <t>INE133Y01011</t>
  </si>
  <si>
    <t>IFGLEXPOR</t>
  </si>
  <si>
    <t>IFGL REFRACTORIES LIMITED</t>
  </si>
  <si>
    <t>INE188B01013</t>
  </si>
  <si>
    <t>IGARASHI</t>
  </si>
  <si>
    <t>IGARASHI MOTORS INDIA LTD</t>
  </si>
  <si>
    <t>INE530B07658</t>
  </si>
  <si>
    <t>837IIFL28</t>
  </si>
  <si>
    <t>Y4</t>
  </si>
  <si>
    <t>IIFL 8.37% TR I SR I</t>
  </si>
  <si>
    <t>INE530B07633</t>
  </si>
  <si>
    <t>865IIFL31</t>
  </si>
  <si>
    <t>Y6</t>
  </si>
  <si>
    <t>IIFL 8.65% TR I SR III</t>
  </si>
  <si>
    <t>INE530B07609</t>
  </si>
  <si>
    <t>9IIFL31</t>
  </si>
  <si>
    <t>Y9</t>
  </si>
  <si>
    <t>IIFL 9.00% TR I SR VI</t>
  </si>
  <si>
    <t>INE489L01022</t>
  </si>
  <si>
    <t>IIFLCAPS</t>
  </si>
  <si>
    <t>IIFL CAPITAL SERVICES LTD</t>
  </si>
  <si>
    <t>INE530B01024</t>
  </si>
  <si>
    <t>IIFL</t>
  </si>
  <si>
    <t>IIFL FINANCE LIMITED</t>
  </si>
  <si>
    <t>INE530B07526</t>
  </si>
  <si>
    <t>IIFL21425</t>
  </si>
  <si>
    <t>NY</t>
  </si>
  <si>
    <t>IIFL TR I SR IV</t>
  </si>
  <si>
    <t>INE530B07583</t>
  </si>
  <si>
    <t>IIFL060326</t>
  </si>
  <si>
    <t>YA</t>
  </si>
  <si>
    <t>IIFL TR I SR VII</t>
  </si>
  <si>
    <t>INE0LOJ01019</t>
  </si>
  <si>
    <t>IKIO</t>
  </si>
  <si>
    <t>IKIO TECHNOLOGIES LIMITED</t>
  </si>
  <si>
    <t>INE369I01014</t>
  </si>
  <si>
    <t>IL&amp;FSENGG</t>
  </si>
  <si>
    <t>IL&amp;FS ENG AND CONS CO LTD</t>
  </si>
  <si>
    <t>INE050B01023</t>
  </si>
  <si>
    <t>IVC</t>
  </si>
  <si>
    <t>IL&amp;FS INVESTMENT MANAGERS</t>
  </si>
  <si>
    <t>INE975G01012</t>
  </si>
  <si>
    <t>IL&amp;FSTRANS</t>
  </si>
  <si>
    <t>IL&amp;FS TRANS NET LTD</t>
  </si>
  <si>
    <t>INE172N01012</t>
  </si>
  <si>
    <t>IMAGICAA</t>
  </si>
  <si>
    <t>IMAGICAAWORLD ENT LTD</t>
  </si>
  <si>
    <t>INE691G01015</t>
  </si>
  <si>
    <t>IMPEXFERRO</t>
  </si>
  <si>
    <t>IMPEX FERRO TECH LIMITED</t>
  </si>
  <si>
    <t>INE452L01012</t>
  </si>
  <si>
    <t>INCREDIBLE</t>
  </si>
  <si>
    <t>INCREDIBLE INDUSTRIES LTD</t>
  </si>
  <si>
    <t>INE547E01014</t>
  </si>
  <si>
    <t>IMPAL</t>
  </si>
  <si>
    <t>IND MOTOR PART &amp; ACC LTD</t>
  </si>
  <si>
    <t>INE915B01019</t>
  </si>
  <si>
    <t>INDSWFTLAB</t>
  </si>
  <si>
    <t>IND SWIFT LABORATORIES LT</t>
  </si>
  <si>
    <t>INE611L01021</t>
  </si>
  <si>
    <t>INDTERRAIN</t>
  </si>
  <si>
    <t>IND TERRAIN FASHIONS LTD</t>
  </si>
  <si>
    <t>INE841B01017</t>
  </si>
  <si>
    <t>INDBANK</t>
  </si>
  <si>
    <t>INDBANK MERCH BANK</t>
  </si>
  <si>
    <t>INE0O9T01021</t>
  </si>
  <si>
    <t>BAJAJINDEF</t>
  </si>
  <si>
    <t>INDEF MANUFACTURING LTD</t>
  </si>
  <si>
    <t>INE065X01017</t>
  </si>
  <si>
    <t>INDGN</t>
  </si>
  <si>
    <t>INDEGENE LIMITED</t>
  </si>
  <si>
    <t>INE560A01023</t>
  </si>
  <si>
    <t>INDIAGLYCO</t>
  </si>
  <si>
    <t>INDIA GLYCOLS LTD</t>
  </si>
  <si>
    <t>INE092B01025</t>
  </si>
  <si>
    <t>INDNIPPON</t>
  </si>
  <si>
    <t>INDIA NIPPON ELECT  LTD</t>
  </si>
  <si>
    <t>INE0D6701023</t>
  </si>
  <si>
    <t>IPL</t>
  </si>
  <si>
    <t>INDIA PESTICIDES LIMITED</t>
  </si>
  <si>
    <t>INE922K01024</t>
  </si>
  <si>
    <t>INDIASHLTR</t>
  </si>
  <si>
    <t>INDIA SHELTER FIN CORP L</t>
  </si>
  <si>
    <t>INE353K01014</t>
  </si>
  <si>
    <t>ITDC</t>
  </si>
  <si>
    <t>INDIA TOUR. DEV. CO. LTD.</t>
  </si>
  <si>
    <t>INE126M01010</t>
  </si>
  <si>
    <t>IBULLSLTD</t>
  </si>
  <si>
    <t>INDIABULLS LIMITED</t>
  </si>
  <si>
    <t>INE933S01016</t>
  </si>
  <si>
    <t>INDIAMART</t>
  </si>
  <si>
    <t>INDIAMART INTERMESH LTD</t>
  </si>
  <si>
    <t>INE562A01011</t>
  </si>
  <si>
    <t>INDIANB</t>
  </si>
  <si>
    <t>INDIAN BANK</t>
  </si>
  <si>
    <t>INE061A01014</t>
  </si>
  <si>
    <t>INDIANCARD</t>
  </si>
  <si>
    <t>INDIAN CARD CLOTHING CO.</t>
  </si>
  <si>
    <t>INE0RRU01016</t>
  </si>
  <si>
    <t>IEML</t>
  </si>
  <si>
    <t>INDIAN EMULSIFIERS LTD</t>
  </si>
  <si>
    <t>INE022Q01020</t>
  </si>
  <si>
    <t>IEX</t>
  </si>
  <si>
    <t>INDIAN ENERGY EXC LTD</t>
  </si>
  <si>
    <t>INE323C01030</t>
  </si>
  <si>
    <t>INDIANHUME</t>
  </si>
  <si>
    <t>INDIAN HUME PIPE CO. LTD.</t>
  </si>
  <si>
    <t>INE919H01018</t>
  </si>
  <si>
    <t>IMFA</t>
  </si>
  <si>
    <t>INDIAN METALS &amp; FERRO</t>
  </si>
  <si>
    <t>INE242A01010</t>
  </si>
  <si>
    <t>IOC</t>
  </si>
  <si>
    <t>INDIAN OIL CORP LTD</t>
  </si>
  <si>
    <t>INE565A01014</t>
  </si>
  <si>
    <t>IOB</t>
  </si>
  <si>
    <t>INDIAN OVERSEAS BANK</t>
  </si>
  <si>
    <t>INE0DHF01018</t>
  </si>
  <si>
    <t>IPHL</t>
  </si>
  <si>
    <t>INDIAN PHOSPHATE LIMITED</t>
  </si>
  <si>
    <t>INE335Y01020</t>
  </si>
  <si>
    <t>IRCTC</t>
  </si>
  <si>
    <t>INDIAN RAIL TOUR CORP LTD</t>
  </si>
  <si>
    <t>INE053F01010</t>
  </si>
  <si>
    <t>IRFC</t>
  </si>
  <si>
    <t>INDIAN RAILWAY FIN CORP L</t>
  </si>
  <si>
    <t>INE202E01016</t>
  </si>
  <si>
    <t>IREDA</t>
  </si>
  <si>
    <t>INDIAN RENEWABLE ENERGY</t>
  </si>
  <si>
    <t>INE586E01020</t>
  </si>
  <si>
    <t>IWP</t>
  </si>
  <si>
    <t>INDIAN WOOD PRODUCTS CO L</t>
  </si>
  <si>
    <t>INE09VQ01012</t>
  </si>
  <si>
    <t>INDIGOPNTS</t>
  </si>
  <si>
    <t>INDIGO PAINTS LIMITED</t>
  </si>
  <si>
    <t>INE219X23014</t>
  </si>
  <si>
    <t>INDIGRID</t>
  </si>
  <si>
    <t>INDIGRID INFRASTRUCT TRST</t>
  </si>
  <si>
    <t>INE06ST01018</t>
  </si>
  <si>
    <t>INDIQUBE</t>
  </si>
  <si>
    <t>INDIQUBE SPACES LIMITED</t>
  </si>
  <si>
    <t>INE760F01028</t>
  </si>
  <si>
    <t>INDOAMIN</t>
  </si>
  <si>
    <t>INDO AMINES LIMITED</t>
  </si>
  <si>
    <t>INE803D01021</t>
  </si>
  <si>
    <t>INDOBORAX</t>
  </si>
  <si>
    <t>INDO BORAX &amp; CHEMICAL LTD</t>
  </si>
  <si>
    <t>INE483B01026</t>
  </si>
  <si>
    <t>ICIL</t>
  </si>
  <si>
    <t>INDO COUNT INDUSTRIES LTD</t>
  </si>
  <si>
    <t>INE622H01018</t>
  </si>
  <si>
    <t>INDOFARM</t>
  </si>
  <si>
    <t>INDO FARM EQUIPMENT LTD</t>
  </si>
  <si>
    <t>INE156A01020</t>
  </si>
  <si>
    <t>INDORAMA</t>
  </si>
  <si>
    <t>INDO RAMA SYNTHETICS LTD</t>
  </si>
  <si>
    <t>INE332H01014</t>
  </si>
  <si>
    <t>INDOTECH</t>
  </si>
  <si>
    <t>INDO TECH TRANSFORM LTD.</t>
  </si>
  <si>
    <t>INE337M01021</t>
  </si>
  <si>
    <t>INDOTHAI</t>
  </si>
  <si>
    <t>INDO THAI SEC LTD</t>
  </si>
  <si>
    <t>INE250Z01010</t>
  </si>
  <si>
    <t>INDOUS</t>
  </si>
  <si>
    <t>INDO US BIOTECH LTD</t>
  </si>
  <si>
    <t>INE084101034</t>
  </si>
  <si>
    <t>INDOMIM</t>
  </si>
  <si>
    <t>INDO-MIM LIMITED</t>
  </si>
  <si>
    <t>INE567A01028</t>
  </si>
  <si>
    <t>NIPPOBATRY</t>
  </si>
  <si>
    <t>INDO-NATIONAL LIMITED</t>
  </si>
  <si>
    <t>INE873D01024</t>
  </si>
  <si>
    <t>INDOCO</t>
  </si>
  <si>
    <t>INDOCO REMEDIES LTD.</t>
  </si>
  <si>
    <t>INE05J901018</t>
  </si>
  <si>
    <t>IGCL</t>
  </si>
  <si>
    <t>INDOGULF CROPSCIENCES LTD</t>
  </si>
  <si>
    <t>INE716F01012</t>
  </si>
  <si>
    <t>INDOKEM</t>
  </si>
  <si>
    <t>INDOKEM LTD.</t>
  </si>
  <si>
    <t>INE866K01023</t>
  </si>
  <si>
    <t>WAAREEINDO</t>
  </si>
  <si>
    <t>INDOSOLAR LIMITED</t>
  </si>
  <si>
    <t>INE896L01010</t>
  </si>
  <si>
    <t>INDOSTAR</t>
  </si>
  <si>
    <t>INDOSTAR CAPITAL FIN LTD</t>
  </si>
  <si>
    <t>INE227G01018</t>
  </si>
  <si>
    <t>INDOWIND</t>
  </si>
  <si>
    <t>INDOWIND ENERGY LTD</t>
  </si>
  <si>
    <t>INE203G01027</t>
  </si>
  <si>
    <t>IGL</t>
  </si>
  <si>
    <t>INDRAPRASTHA GAS LTD</t>
  </si>
  <si>
    <t>INE681B01017</t>
  </si>
  <si>
    <t>INDRAMEDCO</t>
  </si>
  <si>
    <t>INDRAPRASTHA MEDICAL CORP</t>
  </si>
  <si>
    <t>INE0NHL23019</t>
  </si>
  <si>
    <t>INDUSINVIT</t>
  </si>
  <si>
    <t>INDUS INFRA TRUST</t>
  </si>
  <si>
    <t>INE121J01017</t>
  </si>
  <si>
    <t>INDUSTOWER</t>
  </si>
  <si>
    <t>INDUS TOWERS LIMITED</t>
  </si>
  <si>
    <t>INE095A01012</t>
  </si>
  <si>
    <t>INDUSINDBK</t>
  </si>
  <si>
    <t>INDUSIND BANK LIMITED</t>
  </si>
  <si>
    <t>INE620D01011</t>
  </si>
  <si>
    <t>INDPRUD</t>
  </si>
  <si>
    <t>INDUSTRIAL &amp; PRU INV CO L</t>
  </si>
  <si>
    <t>INE886A01014</t>
  </si>
  <si>
    <t>IITL</t>
  </si>
  <si>
    <t>INDUSTRIAL INV TRUST LTD</t>
  </si>
  <si>
    <t>INE0MRE01011</t>
  </si>
  <si>
    <t>INFINIUM</t>
  </si>
  <si>
    <t>INFINIUM PHARMACHEM LTD</t>
  </si>
  <si>
    <t>INE0MYZ01012</t>
  </si>
  <si>
    <t>INFLUX</t>
  </si>
  <si>
    <t>INFLUX HEALTHTECH LIMITED</t>
  </si>
  <si>
    <t>INE663F01032</t>
  </si>
  <si>
    <t>NAUKRI</t>
  </si>
  <si>
    <t>INFO EDGE (I) LTD</t>
  </si>
  <si>
    <t>INE344S01016</t>
  </si>
  <si>
    <t>INFOBEAN</t>
  </si>
  <si>
    <t>INFOBEANS TECHNO. LTD.</t>
  </si>
  <si>
    <t>INE0NNZ01013</t>
  </si>
  <si>
    <t>INFOLLION</t>
  </si>
  <si>
    <t>INFOLLION RESEARCH SER L</t>
  </si>
  <si>
    <t>INE669A01022</t>
  </si>
  <si>
    <t>INFOMEDIA</t>
  </si>
  <si>
    <t>INFOMEDIA PRESS LIMITED</t>
  </si>
  <si>
    <t>INE009A01021</t>
  </si>
  <si>
    <t>INFY</t>
  </si>
  <si>
    <t>INFOSYS LIMITED</t>
  </si>
  <si>
    <t>INE177A01018</t>
  </si>
  <si>
    <t>INGERRAND</t>
  </si>
  <si>
    <t>INGERSOLL-RAND INDIA LTD</t>
  </si>
  <si>
    <t>INE0S1D01010</t>
  </si>
  <si>
    <t>INNOMET</t>
  </si>
  <si>
    <t>INNOMET ADVANCED MATERI L</t>
  </si>
  <si>
    <t>INE0DUT01020</t>
  </si>
  <si>
    <t>INNOVACAP</t>
  </si>
  <si>
    <t>INNOVA CAPTAB LIMITED</t>
  </si>
  <si>
    <t>INE403Y01018</t>
  </si>
  <si>
    <t>INNOVANA</t>
  </si>
  <si>
    <t>INNOVANA THINKLABS LTD</t>
  </si>
  <si>
    <t>INE0ADB01012</t>
  </si>
  <si>
    <t>INNOVISION</t>
  </si>
  <si>
    <t>INNOVISION LIMITED</t>
  </si>
  <si>
    <t>INE510W01014</t>
  </si>
  <si>
    <t>INOXGREEN</t>
  </si>
  <si>
    <t>INOX GREEN ENERGY SER LTD</t>
  </si>
  <si>
    <t>INE616N01034</t>
  </si>
  <si>
    <t>INOXINDIA</t>
  </si>
  <si>
    <t>INOX INDIA LIMITED</t>
  </si>
  <si>
    <t>INE066P01011</t>
  </si>
  <si>
    <t>INOX WIND LIMITED</t>
  </si>
  <si>
    <t>INE070I01018</t>
  </si>
  <si>
    <t>INSECTICID</t>
  </si>
  <si>
    <t>INSECTICIDES (I) LTD</t>
  </si>
  <si>
    <t>INE0LGX01024</t>
  </si>
  <si>
    <t>INA</t>
  </si>
  <si>
    <t>INSOLATION ENERGY LIMITED</t>
  </si>
  <si>
    <t>INE0NDX01019</t>
  </si>
  <si>
    <t>INSPIRE</t>
  </si>
  <si>
    <t>INSPIRE FILMS LIMITED</t>
  </si>
  <si>
    <t>INE020G01017</t>
  </si>
  <si>
    <t>INSPIRISYS</t>
  </si>
  <si>
    <t>INSPIRISYS SOLUTIONS LTD</t>
  </si>
  <si>
    <t>INE418N01035</t>
  </si>
  <si>
    <t>ESSENTIA</t>
  </si>
  <si>
    <t>INTEGRA ESSENTIA LIMITED</t>
  </si>
  <si>
    <t>INE306R01017</t>
  </si>
  <si>
    <t>INTELLECT</t>
  </si>
  <si>
    <t>INTELLECT DESIGN ARENA</t>
  </si>
  <si>
    <t>INE781A01025</t>
  </si>
  <si>
    <t>INTENTECH</t>
  </si>
  <si>
    <t>INTENSE TECHNOLOGIES LTD</t>
  </si>
  <si>
    <t>INE00M901018</t>
  </si>
  <si>
    <t>INTERARCH</t>
  </si>
  <si>
    <t>INTERARCH BLDNG SOLTN LTD</t>
  </si>
  <si>
    <t>INE646L01027</t>
  </si>
  <si>
    <t>INDIGO</t>
  </si>
  <si>
    <t>INTERGLOBE AVIATION LTD</t>
  </si>
  <si>
    <t>INE0OPC01015</t>
  </si>
  <si>
    <t>INM</t>
  </si>
  <si>
    <t>INTERIORS &amp; MORE LIMITED</t>
  </si>
  <si>
    <t>INE575C01027</t>
  </si>
  <si>
    <t>INTLCONV</t>
  </si>
  <si>
    <t>INTL CONVEYORS LIMITED</t>
  </si>
  <si>
    <t>INE0Q9301021</t>
  </si>
  <si>
    <t>IGIL</t>
  </si>
  <si>
    <t>INTL GEMOLOGICAL INST LTD</t>
  </si>
  <si>
    <t>INE566K01011</t>
  </si>
  <si>
    <t>ISFT</t>
  </si>
  <si>
    <t>INTRASOFT TECH. LTD</t>
  </si>
  <si>
    <t>INE878H01024</t>
  </si>
  <si>
    <t>INVENTURE</t>
  </si>
  <si>
    <t>INVENTURE GRO &amp; SEC LTD</t>
  </si>
  <si>
    <t>INE115Q01022</t>
  </si>
  <si>
    <t>IKS</t>
  </si>
  <si>
    <t>INVENTURUS KNOWLEDGE SO L</t>
  </si>
  <si>
    <t>INF205KA1BP1</t>
  </si>
  <si>
    <t>IVZINGOLD</t>
  </si>
  <si>
    <t>INVESCO INDIA GOLD ETF</t>
  </si>
  <si>
    <t>INF205KA1CC7</t>
  </si>
  <si>
    <t>IVZINNIFTY</t>
  </si>
  <si>
    <t>INVESCO INDIA NIFTY ETF</t>
  </si>
  <si>
    <t>INE155E01016</t>
  </si>
  <si>
    <t>INVPRECQ</t>
  </si>
  <si>
    <t>INVESTMENT &amp; PREC CAST L</t>
  </si>
  <si>
    <t>INE0XJ501010</t>
  </si>
  <si>
    <t>INVICTA</t>
  </si>
  <si>
    <t>INVICTA DIAGNOSTIC LTD</t>
  </si>
  <si>
    <t>INE485C01029</t>
  </si>
  <si>
    <t>IOLCP</t>
  </si>
  <si>
    <t>IOL CHEM AND PHARMA LTD</t>
  </si>
  <si>
    <t>INE570A01022</t>
  </si>
  <si>
    <t>IONEXCHANG</t>
  </si>
  <si>
    <t>ION EXCHANGE (INDIA) LTD</t>
  </si>
  <si>
    <t>INE558A01019</t>
  </si>
  <si>
    <t>IPRINGLTD</t>
  </si>
  <si>
    <t>IP RINGS LTD.</t>
  </si>
  <si>
    <t>INE571A01038</t>
  </si>
  <si>
    <t>IPCALAB</t>
  </si>
  <si>
    <t>IPCA LABORATORIES LTD</t>
  </si>
  <si>
    <t>INE821I01022</t>
  </si>
  <si>
    <t>IRB</t>
  </si>
  <si>
    <t>IRB INFRA DEV LTD.</t>
  </si>
  <si>
    <t>INE183W23014</t>
  </si>
  <si>
    <t>IRBINVIT</t>
  </si>
  <si>
    <t>IRB INVIT FUND</t>
  </si>
  <si>
    <t>INE962Y01021</t>
  </si>
  <si>
    <t>IRCON</t>
  </si>
  <si>
    <t>IRCON INTERNATIONAL LTD</t>
  </si>
  <si>
    <t>INE202E07138</t>
  </si>
  <si>
    <t>880IREDA29</t>
  </si>
  <si>
    <t>IREDA 8.80NCDTR I SR II B</t>
  </si>
  <si>
    <t>INE202E07153</t>
  </si>
  <si>
    <t>880IREDA34</t>
  </si>
  <si>
    <t>IREDA 8.80NCDTR I SR IIIB</t>
  </si>
  <si>
    <t>INE01GN01025</t>
  </si>
  <si>
    <t>IRISDOREME</t>
  </si>
  <si>
    <t>IRIS CLOTHINGS LIMITED</t>
  </si>
  <si>
    <t>INE864K01010</t>
  </si>
  <si>
    <t>IRIS</t>
  </si>
  <si>
    <t>IRIS REGTECH SOLUTION LTD</t>
  </si>
  <si>
    <t>INE07U701015</t>
  </si>
  <si>
    <t>IRMENERGY</t>
  </si>
  <si>
    <t>IRM ENERGY LIMITED</t>
  </si>
  <si>
    <t>INE413U07459</t>
  </si>
  <si>
    <t>920ISF28B</t>
  </si>
  <si>
    <t>ISF 9.20% 2028 SR A</t>
  </si>
  <si>
    <t>INE413U07442</t>
  </si>
  <si>
    <t>925ISF28</t>
  </si>
  <si>
    <t>ISF 9.25% 2028</t>
  </si>
  <si>
    <t>INE413U07426</t>
  </si>
  <si>
    <t>950ISF27C</t>
  </si>
  <si>
    <t>ISF 9.50% 2027</t>
  </si>
  <si>
    <t>INE413U07418</t>
  </si>
  <si>
    <t>975ISF28</t>
  </si>
  <si>
    <t>ISF 9.75% NCD 2028</t>
  </si>
  <si>
    <t>INE858B01029</t>
  </si>
  <si>
    <t>ISGEC</t>
  </si>
  <si>
    <t>ISGEC HEAVY ENG LTD</t>
  </si>
  <si>
    <t>INE561M01018</t>
  </si>
  <si>
    <t>ISHANCH</t>
  </si>
  <si>
    <t>ISHAN DYES N CHEMICALS L</t>
  </si>
  <si>
    <t>INE0LCW01025</t>
  </si>
  <si>
    <t>ISHAN</t>
  </si>
  <si>
    <t>ISHAN INTERNATIONAL LTD</t>
  </si>
  <si>
    <t>INE0R7R01018</t>
  </si>
  <si>
    <t>ITALIANE</t>
  </si>
  <si>
    <t>ITALIAN EDIBLES LIMITED</t>
  </si>
  <si>
    <t>INE379A01028</t>
  </si>
  <si>
    <t>ITCHOTELS</t>
  </si>
  <si>
    <t>ITC HOTELS LIMITED</t>
  </si>
  <si>
    <t>INE154A01025</t>
  </si>
  <si>
    <t>ITC</t>
  </si>
  <si>
    <t>ITC LTD</t>
  </si>
  <si>
    <t>INE248A01017</t>
  </si>
  <si>
    <t>ITI</t>
  </si>
  <si>
    <t>ITI LTD</t>
  </si>
  <si>
    <t>INE478D01014</t>
  </si>
  <si>
    <t>ITL</t>
  </si>
  <si>
    <t>ITL INDUSTRIES LTD.</t>
  </si>
  <si>
    <t>INE056801025</t>
  </si>
  <si>
    <t>IVALUE</t>
  </si>
  <si>
    <t>IVALUE INFOSOLUTIONS LTD</t>
  </si>
  <si>
    <t>INE043C01018</t>
  </si>
  <si>
    <t>IVP</t>
  </si>
  <si>
    <t>IVP LIMITED</t>
  </si>
  <si>
    <t>INE1AII01014</t>
  </si>
  <si>
    <t>IWARE</t>
  </si>
  <si>
    <t>IWARE SUPPLYCHAIN SER LTD</t>
  </si>
  <si>
    <t>INE848A01014</t>
  </si>
  <si>
    <t>IZMO</t>
  </si>
  <si>
    <t>IZMO LIMITED</t>
  </si>
  <si>
    <t>INE168A01041</t>
  </si>
  <si>
    <t>J&amp;KBANK</t>
  </si>
  <si>
    <t>J &amp; K BANK LTD.</t>
  </si>
  <si>
    <t>INE0MB501011</t>
  </si>
  <si>
    <t>JGCHEM</t>
  </si>
  <si>
    <t>J.G.CHEMICALS LIMITED</t>
  </si>
  <si>
    <t>INE199G01027</t>
  </si>
  <si>
    <t>JAGRAN</t>
  </si>
  <si>
    <t>JAGRAN PRAKASHAN LIMITED</t>
  </si>
  <si>
    <t>INE048B01035</t>
  </si>
  <si>
    <t>JAGSNPHARM</t>
  </si>
  <si>
    <t>JAGSONPAL PHARMACEUTICALS</t>
  </si>
  <si>
    <t>INE091G01026</t>
  </si>
  <si>
    <t>JAIBALAJI</t>
  </si>
  <si>
    <t>JAI BALAJI INDUSTRIES LTD</t>
  </si>
  <si>
    <t>INE070D01027</t>
  </si>
  <si>
    <t>JAICORPLTD</t>
  </si>
  <si>
    <t>JAI CORP LIMITED</t>
  </si>
  <si>
    <t>IN9175A01010</t>
  </si>
  <si>
    <t>JISLDVREQS</t>
  </si>
  <si>
    <t>JAIN DVR EQUITY SHARES</t>
  </si>
  <si>
    <t>INE175A01038</t>
  </si>
  <si>
    <t>JISLJALEQS</t>
  </si>
  <si>
    <t>JAIN IRRIGATION SYSTEMS</t>
  </si>
  <si>
    <t>INE0YD401026</t>
  </si>
  <si>
    <t>JAINREC</t>
  </si>
  <si>
    <t>JAIN RESOURCE RECYCLING L</t>
  </si>
  <si>
    <t>INE02KC01010</t>
  </si>
  <si>
    <t>JAINAM</t>
  </si>
  <si>
    <t>JAINAM FER ALLOYS (I) LTD</t>
  </si>
  <si>
    <t>INE0XIL01012</t>
  </si>
  <si>
    <t>JAINIK</t>
  </si>
  <si>
    <t>JAINIK POWER CABLES LTD</t>
  </si>
  <si>
    <t>INE351F01018</t>
  </si>
  <si>
    <t>JPPOWER</t>
  </si>
  <si>
    <t>JAIPRAKASH POWER VEN. LTD</t>
  </si>
  <si>
    <t>INE039C01032</t>
  </si>
  <si>
    <t>JAMNAAUTO</t>
  </si>
  <si>
    <t>JAMNA AUTO IND LTD</t>
  </si>
  <si>
    <t>INE953L01027</t>
  </si>
  <si>
    <t>JSFB</t>
  </si>
  <si>
    <t>JANA SMALL FIN BANK LTD</t>
  </si>
  <si>
    <t>INE00YJ01010</t>
  </si>
  <si>
    <t>JARO</t>
  </si>
  <si>
    <t>JARO INS OF TEC MG N RE L</t>
  </si>
  <si>
    <t>INE039O01029</t>
  </si>
  <si>
    <t>JASH</t>
  </si>
  <si>
    <t>JASH ENGINEERING LIMITED</t>
  </si>
  <si>
    <t>INE0SMY01017</t>
  </si>
  <si>
    <t>JAYBEE</t>
  </si>
  <si>
    <t>JAY BEE LAMINATIONS LTD</t>
  </si>
  <si>
    <t>INE571B01036</t>
  </si>
  <si>
    <t>JAYBARMARU</t>
  </si>
  <si>
    <t>JAY BHARAT MARUTI LTD</t>
  </si>
  <si>
    <t>INE0J6801010</t>
  </si>
  <si>
    <t>KORE</t>
  </si>
  <si>
    <t>JAY JALARAM TECHNO LTD</t>
  </si>
  <si>
    <t>INE785A01026</t>
  </si>
  <si>
    <t>JAYAGROGN</t>
  </si>
  <si>
    <t>JAYANT AGRO ORGANICS LTD</t>
  </si>
  <si>
    <t>INE854B01010</t>
  </si>
  <si>
    <t>JAYNECOIND</t>
  </si>
  <si>
    <t>JAYASWAL NECO INDUSTR LTD</t>
  </si>
  <si>
    <t>INE1AE401014</t>
  </si>
  <si>
    <t>JAYESH</t>
  </si>
  <si>
    <t>JAYESH LOGISTICS LIMITED</t>
  </si>
  <si>
    <t>INE903A01025</t>
  </si>
  <si>
    <t>JAYKAY</t>
  </si>
  <si>
    <t>JAYKAY ENTERPRISES LTD</t>
  </si>
  <si>
    <t>INE903A20025</t>
  </si>
  <si>
    <t>JAYKAY-RE1</t>
  </si>
  <si>
    <t>INE364A01020</t>
  </si>
  <si>
    <t>JAYSREETEA</t>
  </si>
  <si>
    <t>JAYSHREE TEA &amp; INDUSTRIES</t>
  </si>
  <si>
    <t>INE927D01051</t>
  </si>
  <si>
    <t>JBMA</t>
  </si>
  <si>
    <t>JBM AUTO LIMITED</t>
  </si>
  <si>
    <t>INE0J5801029</t>
  </si>
  <si>
    <t>JSLL</t>
  </si>
  <si>
    <t>JEENA SIKHO LIFECARE LTD</t>
  </si>
  <si>
    <t>INE354A01013</t>
  </si>
  <si>
    <t>JENBURPH</t>
  </si>
  <si>
    <t>JENBURKT PHARMACEUTICAL L</t>
  </si>
  <si>
    <t>INE982V01025</t>
  </si>
  <si>
    <t>JETFREIGHT</t>
  </si>
  <si>
    <t>JET FREIGHT LOGISTICS LTD</t>
  </si>
  <si>
    <t>INE0RXB01022</t>
  </si>
  <si>
    <t>JEYYAM</t>
  </si>
  <si>
    <t>JEYYAM GLOBAL FOODS LTD</t>
  </si>
  <si>
    <t>INE0LA901015</t>
  </si>
  <si>
    <t>JFLLIFE</t>
  </si>
  <si>
    <t>JFL LIFE SCIENCES LIMITED</t>
  </si>
  <si>
    <t>INE544H01014</t>
  </si>
  <si>
    <t>JHS</t>
  </si>
  <si>
    <t>JHS SVEND. LAB. LTD</t>
  </si>
  <si>
    <t>INE03DD01011</t>
  </si>
  <si>
    <t>RETAIL</t>
  </si>
  <si>
    <t>JHS SVENDGAARD RETAIL V L</t>
  </si>
  <si>
    <t>INE147P01019</t>
  </si>
  <si>
    <t>JPOLYINVST</t>
  </si>
  <si>
    <t>JIND POL INV &amp; FIN CO LTD</t>
  </si>
  <si>
    <t>INE742C01031</t>
  </si>
  <si>
    <t>JINDRILL</t>
  </si>
  <si>
    <t>JINDAL DRILLING IND. LTD</t>
  </si>
  <si>
    <t>INE796G01012</t>
  </si>
  <si>
    <t>JINDALPHOT</t>
  </si>
  <si>
    <t>JINDAL PHOTO LIMITED</t>
  </si>
  <si>
    <t>INE197D01010</t>
  </si>
  <si>
    <t>JINDALPOLY</t>
  </si>
  <si>
    <t>JINDAL POLY FILMS LIMITED</t>
  </si>
  <si>
    <t>INE324A01032</t>
  </si>
  <si>
    <t>JINDALSAW</t>
  </si>
  <si>
    <t>JINDAL SAW LIMITED</t>
  </si>
  <si>
    <t>INE220G01021</t>
  </si>
  <si>
    <t>JSL</t>
  </si>
  <si>
    <t>JINDAL STAINLESS LIMITED</t>
  </si>
  <si>
    <t>INE749A01030</t>
  </si>
  <si>
    <t>JINDALSTEL</t>
  </si>
  <si>
    <t>JINDAL STEEL LIMITED</t>
  </si>
  <si>
    <t>INE247D01039</t>
  </si>
  <si>
    <t>JINDWORLD</t>
  </si>
  <si>
    <t>JINDAL WORLDWIDE LTD</t>
  </si>
  <si>
    <t>INE1FF001016</t>
  </si>
  <si>
    <t>JKIPL</t>
  </si>
  <si>
    <t>JINKUSHAL INDUSTRIES LTD</t>
  </si>
  <si>
    <t>INE758E01017</t>
  </si>
  <si>
    <t>JIOFIN</t>
  </si>
  <si>
    <t>JIO FIN SERVICES LTD</t>
  </si>
  <si>
    <t>INF22M001184</t>
  </si>
  <si>
    <t>NIFTYJBLK</t>
  </si>
  <si>
    <t>JIOBLACKROCKAMC-NIFTYJBLK</t>
  </si>
  <si>
    <t>INE863T01013</t>
  </si>
  <si>
    <t>JITFINFRA</t>
  </si>
  <si>
    <t>JITF INFRALOGISTICS LTD</t>
  </si>
  <si>
    <t>INE0N5H01017</t>
  </si>
  <si>
    <t>JIWANRAM</t>
  </si>
  <si>
    <t>JIWANRAM SHEODUTTRA IND L</t>
  </si>
  <si>
    <t>INE823G01014</t>
  </si>
  <si>
    <t>JKCEMENT</t>
  </si>
  <si>
    <t>JK CEMENT LIMITED</t>
  </si>
  <si>
    <t>INE786A01032</t>
  </si>
  <si>
    <t>JKLAKSHMI</t>
  </si>
  <si>
    <t>JK LAKSHMI CEMENT LTD</t>
  </si>
  <si>
    <t>INE789E01012</t>
  </si>
  <si>
    <t>JKPAPER</t>
  </si>
  <si>
    <t>JK PAPER LIMITED</t>
  </si>
  <si>
    <t>INE573A01042</t>
  </si>
  <si>
    <t>JKTYRE</t>
  </si>
  <si>
    <t>JK TYRE &amp; INDUSTRIES LTD</t>
  </si>
  <si>
    <t>INE576I01022</t>
  </si>
  <si>
    <t>JKIL</t>
  </si>
  <si>
    <t>JKUMAR INFR.LTD.</t>
  </si>
  <si>
    <t>INE780C01023</t>
  </si>
  <si>
    <t>JMFINANCIL</t>
  </si>
  <si>
    <t>JM FINANCIAL LIMITED</t>
  </si>
  <si>
    <t>INE0OAF01028</t>
  </si>
  <si>
    <t>JNKINDIA</t>
  </si>
  <si>
    <t>JNK INDIA LIMITED</t>
  </si>
  <si>
    <t>INE839G01010</t>
  </si>
  <si>
    <t>JOCIL</t>
  </si>
  <si>
    <t>JOCIL LIMITED</t>
  </si>
  <si>
    <t>INE515A01019</t>
  </si>
  <si>
    <t>COCKERILL</t>
  </si>
  <si>
    <t>JOHN COCKERILL INDIA LTD.</t>
  </si>
  <si>
    <t>INE718I01012</t>
  </si>
  <si>
    <t>JSWCEMENT</t>
  </si>
  <si>
    <t>JSW CEMENT LIMITED</t>
  </si>
  <si>
    <t>INE133A01011</t>
  </si>
  <si>
    <t>JSWDULUX</t>
  </si>
  <si>
    <t>JSW DULUX LIMITED</t>
  </si>
  <si>
    <t>INE121E01018</t>
  </si>
  <si>
    <t>JSWENERGY</t>
  </si>
  <si>
    <t>JSW ENERGY LIMITED</t>
  </si>
  <si>
    <t>INE824G01012</t>
  </si>
  <si>
    <t>JSWHL</t>
  </si>
  <si>
    <t>JSW HOLDINGS LIMITED</t>
  </si>
  <si>
    <t>INE880J01026</t>
  </si>
  <si>
    <t>JSWINFRA</t>
  </si>
  <si>
    <t>JSW INFRASTRUCTURE LTD</t>
  </si>
  <si>
    <t>INE019A01038</t>
  </si>
  <si>
    <t>JSWSTEEL</t>
  </si>
  <si>
    <t>JSW STEEL LIMITED</t>
  </si>
  <si>
    <t>INE643A01035</t>
  </si>
  <si>
    <t>JTEKTINDIA</t>
  </si>
  <si>
    <t>JTEKT INDIA LIMITED</t>
  </si>
  <si>
    <t>INE391J01032</t>
  </si>
  <si>
    <t>JTLIND</t>
  </si>
  <si>
    <t>JTL INDUSTRIES LIMITED</t>
  </si>
  <si>
    <t>INE03CC01015</t>
  </si>
  <si>
    <t>JUBLCPL</t>
  </si>
  <si>
    <t>JUBILANT AGRI N CON PRO L</t>
  </si>
  <si>
    <t>INE797F01020</t>
  </si>
  <si>
    <t>JUBLFOOD</t>
  </si>
  <si>
    <t>JUBILANT FOODWORKS LTD</t>
  </si>
  <si>
    <t>INE0BY001018</t>
  </si>
  <si>
    <t>JUBLINGREA</t>
  </si>
  <si>
    <t>JUBILANT INGREVIA LIMITED</t>
  </si>
  <si>
    <t>INE700A01033</t>
  </si>
  <si>
    <t>JUBLPHARMA</t>
  </si>
  <si>
    <t>JUBILANT PHARMOVA LTD</t>
  </si>
  <si>
    <t>INE412C01023</t>
  </si>
  <si>
    <t>JMA</t>
  </si>
  <si>
    <t>JULLUNDUR MOT AGENCY LTD</t>
  </si>
  <si>
    <t>INE05C901015</t>
  </si>
  <si>
    <t>JNPR</t>
  </si>
  <si>
    <t>JUNIPER GREEN ENERGY LTD</t>
  </si>
  <si>
    <t>INE696F01016</t>
  </si>
  <si>
    <t>JUNIPER</t>
  </si>
  <si>
    <t>JUNIPER HOTELS LIMITED</t>
  </si>
  <si>
    <t>INE682M01020</t>
  </si>
  <si>
    <t>JLHL</t>
  </si>
  <si>
    <t>JUPITER LIFE LINE HOSP L</t>
  </si>
  <si>
    <t>INE209L01016</t>
  </si>
  <si>
    <t>JWL</t>
  </si>
  <si>
    <t>JUPITER WAGONS LIMITED</t>
  </si>
  <si>
    <t>INE599M01018</t>
  </si>
  <si>
    <t>JUSTDIAL</t>
  </si>
  <si>
    <t>JUSTDIAL LTD.</t>
  </si>
  <si>
    <t>INE668F01031</t>
  </si>
  <si>
    <t>JYOTHYLAB</t>
  </si>
  <si>
    <t>JYOTHY LABS LIMITED</t>
  </si>
  <si>
    <t>INE980O01024</t>
  </si>
  <si>
    <t>JYOTI CNC AUTOMATION LTD</t>
  </si>
  <si>
    <t>INE1M3T01017</t>
  </si>
  <si>
    <t>JYOTIGLOBL</t>
  </si>
  <si>
    <t>JYOTI GLOBAL PLAST LTD</t>
  </si>
  <si>
    <t>INE577D01013</t>
  </si>
  <si>
    <t>JYOTIRES</t>
  </si>
  <si>
    <t>JYOTI RESINS &amp; ADHESIVE L</t>
  </si>
  <si>
    <t>INE197A01024</t>
  </si>
  <si>
    <t>JYOTISTRUC</t>
  </si>
  <si>
    <t>JYOTI STRUCTURES LTD</t>
  </si>
  <si>
    <t>INE533C01018</t>
  </si>
  <si>
    <t>KJMCFIN</t>
  </si>
  <si>
    <t>K J M C FINANCIAL SERV L</t>
  </si>
  <si>
    <t>INE879K01018</t>
  </si>
  <si>
    <t>KMCSHIL</t>
  </si>
  <si>
    <t>K M C SPECIALITY HOSP I L</t>
  </si>
  <si>
    <t>INE157H01023</t>
  </si>
  <si>
    <t>KMSUGAR</t>
  </si>
  <si>
    <t>K M SUGAR MILLS LTD</t>
  </si>
  <si>
    <t>INE127T01021</t>
  </si>
  <si>
    <t>KPEL</t>
  </si>
  <si>
    <t>K.P. ENERGY LIMITED</t>
  </si>
  <si>
    <t>INE0DEZ01013</t>
  </si>
  <si>
    <t>K2INFRA</t>
  </si>
  <si>
    <t>K2 INFRAGEN LIMITED</t>
  </si>
  <si>
    <t>INE900B01029</t>
  </si>
  <si>
    <t>KABRAEXTRU</t>
  </si>
  <si>
    <t>KABRA EXTRUSION TECHNIK L</t>
  </si>
  <si>
    <t>INE0XOW01017</t>
  </si>
  <si>
    <t>KKJEWELS</t>
  </si>
  <si>
    <t>KABRA JEWELS LIMITED</t>
  </si>
  <si>
    <t>INE217B01036</t>
  </si>
  <si>
    <t>KAJARIACER</t>
  </si>
  <si>
    <t>KAJARIA CERAMICS LTD</t>
  </si>
  <si>
    <t>INE437B01014</t>
  </si>
  <si>
    <t>KAKATCEM</t>
  </si>
  <si>
    <t>KAKATIYA CEM SUGAR &amp;IND L</t>
  </si>
  <si>
    <t>INE0T0L01014</t>
  </si>
  <si>
    <t>KALANA</t>
  </si>
  <si>
    <t>KALANA ISPAT LIMITED</t>
  </si>
  <si>
    <t>INE227J01012</t>
  </si>
  <si>
    <t>KALPATARU</t>
  </si>
  <si>
    <t>KALPATARU LIMITED</t>
  </si>
  <si>
    <t>INE220B01022</t>
  </si>
  <si>
    <t>KPIL</t>
  </si>
  <si>
    <t>KALPATARU PROJECT INT LTD</t>
  </si>
  <si>
    <t>INE303R01014</t>
  </si>
  <si>
    <t>KALYANKJIL</t>
  </si>
  <si>
    <t>KALYAN JEWELLERS IND LTD</t>
  </si>
  <si>
    <t>INE314G01014</t>
  </si>
  <si>
    <t>KALYANIFRG</t>
  </si>
  <si>
    <t>KALYANI FORGE LIMITED</t>
  </si>
  <si>
    <t>INE029L01018</t>
  </si>
  <si>
    <t>KICL</t>
  </si>
  <si>
    <t>KALYANI INVEST CO LTD</t>
  </si>
  <si>
    <t>INE907A01026</t>
  </si>
  <si>
    <t>KSL</t>
  </si>
  <si>
    <t>KALYANI STEELS LIMITED</t>
  </si>
  <si>
    <t>INE411F01010</t>
  </si>
  <si>
    <t>KAMAHOLD</t>
  </si>
  <si>
    <t>KAMA HOLDINGS LTD.</t>
  </si>
  <si>
    <t>INE344D01018</t>
  </si>
  <si>
    <t>KAMANWALA</t>
  </si>
  <si>
    <t>KAMANWALA HOUSING CONST L</t>
  </si>
  <si>
    <t>INE967C01018</t>
  </si>
  <si>
    <t>KAMATHOTEL</t>
  </si>
  <si>
    <t>KAMAT HOTELS (I) LTD</t>
  </si>
  <si>
    <t>INE390H01020</t>
  </si>
  <si>
    <t>KAMDHENU</t>
  </si>
  <si>
    <t>KAMDHENU LIMITED</t>
  </si>
  <si>
    <t>INE0BTI01037</t>
  </si>
  <si>
    <t>KAMOPAINTS</t>
  </si>
  <si>
    <t>KAMDHENU VENTURES LIMITED</t>
  </si>
  <si>
    <t>INE879E01037</t>
  </si>
  <si>
    <t>KANANIIND</t>
  </si>
  <si>
    <t>KANANI INDUSTRIES LTD</t>
  </si>
  <si>
    <t>INE081G01019</t>
  </si>
  <si>
    <t>KANCHI</t>
  </si>
  <si>
    <t>KANCHI KARPOORAM LTD.</t>
  </si>
  <si>
    <t>INE398L01017</t>
  </si>
  <si>
    <t>KANCOTEA</t>
  </si>
  <si>
    <t>KANCO TEA &amp; INDS. LTD.</t>
  </si>
  <si>
    <t>INE0MOT01016</t>
  </si>
  <si>
    <t>KANDARP</t>
  </si>
  <si>
    <t>KANDARP DG SMART BPO LTD</t>
  </si>
  <si>
    <t>INE138C01024</t>
  </si>
  <si>
    <t>KANORICHEM</t>
  </si>
  <si>
    <t>KANORIACHEMICALS-</t>
  </si>
  <si>
    <t>INE694E01014</t>
  </si>
  <si>
    <t>KANPRPLA</t>
  </si>
  <si>
    <t>KANPUR PLASTIPACK LIMITED</t>
  </si>
  <si>
    <t>INE531A01024</t>
  </si>
  <si>
    <t>KANSAINER</t>
  </si>
  <si>
    <t>KANSAI NEROLAC PAINTS LTD</t>
  </si>
  <si>
    <t>INE542Z01028</t>
  </si>
  <si>
    <t>KAPSTON</t>
  </si>
  <si>
    <t>KAPSTON SERVICES LIMITED</t>
  </si>
  <si>
    <t>INE725L01011</t>
  </si>
  <si>
    <t>KARMAENG</t>
  </si>
  <si>
    <t>KARMA ENERGY LIMITED</t>
  </si>
  <si>
    <t>INE614B01018</t>
  </si>
  <si>
    <t>KTKBANK</t>
  </si>
  <si>
    <t>KARNATAKA BANK LIMITED</t>
  </si>
  <si>
    <t>INE0MGA01012</t>
  </si>
  <si>
    <t>KARNIKA</t>
  </si>
  <si>
    <t>KARNIKA INDUSTRIES LTD</t>
  </si>
  <si>
    <t>INE036D01028</t>
  </si>
  <si>
    <t>KARURVYSYA</t>
  </si>
  <si>
    <t>KARUR VYSYA BANK LTD</t>
  </si>
  <si>
    <t>INE0SVY01018</t>
  </si>
  <si>
    <t>KATARIA</t>
  </si>
  <si>
    <t>KATARIA INDUSTRIES LTD</t>
  </si>
  <si>
    <t>INE234I01028</t>
  </si>
  <si>
    <t>KAUSHALYA</t>
  </si>
  <si>
    <t>KAUSHALYA INFRA DEV LTD.</t>
  </si>
  <si>
    <t>INE0Q2V01012</t>
  </si>
  <si>
    <t>KLL</t>
  </si>
  <si>
    <t>KAUSHALYA LOGISTICS LTD</t>
  </si>
  <si>
    <t>INE455I01029</t>
  </si>
  <si>
    <t>KSCL</t>
  </si>
  <si>
    <t>KAVERI SEED CO. LTD.</t>
  </si>
  <si>
    <t>INE641C01019</t>
  </si>
  <si>
    <t>KAVDEFENCE</t>
  </si>
  <si>
    <t>KAVVERI DFS &amp; WIR TEC LTD</t>
  </si>
  <si>
    <t>INE0RCG01017</t>
  </si>
  <si>
    <t>KCEIL</t>
  </si>
  <si>
    <t>KAY CEE ENERGY &amp; INFRA L</t>
  </si>
  <si>
    <t>INE587G01015</t>
  </si>
  <si>
    <t>KAYA</t>
  </si>
  <si>
    <t>KAYA LIMITED</t>
  </si>
  <si>
    <t>INE918Z01012</t>
  </si>
  <si>
    <t>KAYNES</t>
  </si>
  <si>
    <t>KAYNES TECHNOLOGY IND LTD</t>
  </si>
  <si>
    <t>INE13ZD01013</t>
  </si>
  <si>
    <t>KAYTEX</t>
  </si>
  <si>
    <t>KAYTEX FABRICS LIMITED</t>
  </si>
  <si>
    <t>INE0J1E01027</t>
  </si>
  <si>
    <t>KCK</t>
  </si>
  <si>
    <t>KCK INDUSTRIES LTD</t>
  </si>
  <si>
    <t>INE805C01028</t>
  </si>
  <si>
    <t>KCP</t>
  </si>
  <si>
    <t>KCP LTD</t>
  </si>
  <si>
    <t>INE790B01024</t>
  </si>
  <si>
    <t>KCPSUGIND</t>
  </si>
  <si>
    <t>KCPSUGARINDUS</t>
  </si>
  <si>
    <t>INE348N01042</t>
  </si>
  <si>
    <t>KDGREEN</t>
  </si>
  <si>
    <t>KD GREEN INDUSTRIES LTD</t>
  </si>
  <si>
    <t>INE291D01011</t>
  </si>
  <si>
    <t>KDDL</t>
  </si>
  <si>
    <t>KDDL LIMITED</t>
  </si>
  <si>
    <t>INE389H01022</t>
  </si>
  <si>
    <t>KEC</t>
  </si>
  <si>
    <t>KEC INTL. LIMITED</t>
  </si>
  <si>
    <t>INE878B01027</t>
  </si>
  <si>
    <t>KEI</t>
  </si>
  <si>
    <t>KEI INDUSTRIES LTD.</t>
  </si>
  <si>
    <t>INE164B01030</t>
  </si>
  <si>
    <t>KELLTONTEC</t>
  </si>
  <si>
    <t>KELLTON TECH SOL LTD</t>
  </si>
  <si>
    <t>INE15DO01012</t>
  </si>
  <si>
    <t>KEN</t>
  </si>
  <si>
    <t>KEN ENTERPRISES LIMITED</t>
  </si>
  <si>
    <t>INE717A01029</t>
  </si>
  <si>
    <t>KENNAMET</t>
  </si>
  <si>
    <t>KENNAMETAL INDIA LIMITED</t>
  </si>
  <si>
    <t>INE202H01019</t>
  </si>
  <si>
    <t>KERNEX</t>
  </si>
  <si>
    <t>KERNEX MICROSYS(I) LTD</t>
  </si>
  <si>
    <t>INE087A01019</t>
  </si>
  <si>
    <t>KESORAMIND</t>
  </si>
  <si>
    <t>KESORAM INDUSTRIES LTD</t>
  </si>
  <si>
    <t>INE401H01017</t>
  </si>
  <si>
    <t>KKCL</t>
  </si>
  <si>
    <t>KEWAL KIRAN CLOTHING LTD</t>
  </si>
  <si>
    <t>INE681C01015</t>
  </si>
  <si>
    <t>KEYFINSERV</t>
  </si>
  <si>
    <t>KEYNOTE FIN SERV LTD.</t>
  </si>
  <si>
    <t>INE263M01029</t>
  </si>
  <si>
    <t>RUSTOMJEE</t>
  </si>
  <si>
    <t>KEYSTONE REALTORS LIMITED</t>
  </si>
  <si>
    <t>INE138Y01010</t>
  </si>
  <si>
    <t>KFINTECH</t>
  </si>
  <si>
    <t>KFIN TECHNOLOGIES LIMITED</t>
  </si>
  <si>
    <t>INE834I01025</t>
  </si>
  <si>
    <t>KHADIM</t>
  </si>
  <si>
    <t>KHADIM INDIA LIMITED</t>
  </si>
  <si>
    <t>INE731C01018</t>
  </si>
  <si>
    <t>KHAITANLTD</t>
  </si>
  <si>
    <t>KHAITAN (INDIA)LTD.</t>
  </si>
  <si>
    <t>INE745B01028</t>
  </si>
  <si>
    <t>KHAICHEM</t>
  </si>
  <si>
    <t>KHAITAN CHEM &amp; FERT LTD</t>
  </si>
  <si>
    <t>INE060B01014</t>
  </si>
  <si>
    <t>KHANDSE</t>
  </si>
  <si>
    <t>KHANDWALA SECURITIES LTD</t>
  </si>
  <si>
    <t>INE00UG01014</t>
  </si>
  <si>
    <t>KHFM</t>
  </si>
  <si>
    <t>KHFM HOS FAC MANA SER LTD</t>
  </si>
  <si>
    <t>INE338F01015</t>
  </si>
  <si>
    <t>KLBRENG-B</t>
  </si>
  <si>
    <t>KILBURN ENGINEERING LTD.</t>
  </si>
  <si>
    <t>INE729D01010</t>
  </si>
  <si>
    <t>KILITCH</t>
  </si>
  <si>
    <t>KILITCH DRUGS INDIA LTD</t>
  </si>
  <si>
    <t>INE473D01015</t>
  </si>
  <si>
    <t>KINGFA</t>
  </si>
  <si>
    <t>KINGFA SCI &amp; TEC IND LTD.</t>
  </si>
  <si>
    <t>INE880L01014</t>
  </si>
  <si>
    <t>KIOCL</t>
  </si>
  <si>
    <t>KIOCL LIMITED</t>
  </si>
  <si>
    <t>INE555P01013</t>
  </si>
  <si>
    <t>KIRANVYPAR</t>
  </si>
  <si>
    <t>KIRAN VYAPAR LTD.</t>
  </si>
  <si>
    <t>INE415I01015</t>
  </si>
  <si>
    <t>KIRIINDUS</t>
  </si>
  <si>
    <t>KIRI INDUSTRIES LIMITED</t>
  </si>
  <si>
    <t>INE732A01036</t>
  </si>
  <si>
    <t>KIRLOSBROS</t>
  </si>
  <si>
    <t>KIRLOSKAR BROTHERS LTD</t>
  </si>
  <si>
    <t>INE134B01017</t>
  </si>
  <si>
    <t>KECL</t>
  </si>
  <si>
    <t>KIRLOSKAR ELECTRIC CO LTD</t>
  </si>
  <si>
    <t>INE884B01025</t>
  </si>
  <si>
    <t>KIRLFER</t>
  </si>
  <si>
    <t>KIRLOSKAR FERROUS IND LTD</t>
  </si>
  <si>
    <t>INE250A01039</t>
  </si>
  <si>
    <t>KIRLOSIND</t>
  </si>
  <si>
    <t>KIRLOSKAR INDUSTRIES LTD</t>
  </si>
  <si>
    <t>INE146L01010</t>
  </si>
  <si>
    <t>KIRLOSENG</t>
  </si>
  <si>
    <t>KIRLOSKAR OIL ENG LTD</t>
  </si>
  <si>
    <t>INE811A01038</t>
  </si>
  <si>
    <t>KIRLPNU</t>
  </si>
  <si>
    <t>KIRLOSKAR PNEUMATIC COM L</t>
  </si>
  <si>
    <t>INE602G01020</t>
  </si>
  <si>
    <t>KITEX</t>
  </si>
  <si>
    <t>KITEX GARMENTS LTD</t>
  </si>
  <si>
    <t>INE0KNW01016</t>
  </si>
  <si>
    <t>KNAGRI</t>
  </si>
  <si>
    <t>KN AGRI RESOURCES LIMITED</t>
  </si>
  <si>
    <t>INE17QZ01016</t>
  </si>
  <si>
    <t>KNACK</t>
  </si>
  <si>
    <t>KNACK PACKAGING LIMITED</t>
  </si>
  <si>
    <t>INE0CJD01029</t>
  </si>
  <si>
    <t>KMEW</t>
  </si>
  <si>
    <t>KNOWLEDGE MARINE &amp; EN W L</t>
  </si>
  <si>
    <t>INE1JAR25012</t>
  </si>
  <si>
    <t>KRT</t>
  </si>
  <si>
    <t>KNOWLEDGE REALTY TRUST</t>
  </si>
  <si>
    <t>INE634I01029</t>
  </si>
  <si>
    <t>KNRCON</t>
  </si>
  <si>
    <t>KNR CONSTRU LTD.</t>
  </si>
  <si>
    <t>INE0Q7P01013</t>
  </si>
  <si>
    <t>KODYTECH</t>
  </si>
  <si>
    <t>KODY TECHNOLAB LIMITED</t>
  </si>
  <si>
    <t>INE080B01012</t>
  </si>
  <si>
    <t>KOHINOOR</t>
  </si>
  <si>
    <t>KOHINOOR FOODS LIMITED</t>
  </si>
  <si>
    <t>INE760A01029</t>
  </si>
  <si>
    <t>KOKUYOCMLN</t>
  </si>
  <si>
    <t>KOKUYO CAMLIN LIMITED</t>
  </si>
  <si>
    <t>INE094I01018</t>
  </si>
  <si>
    <t>KOLTEPATIL</t>
  </si>
  <si>
    <t>KOLTE PATIL DEV. LTD.</t>
  </si>
  <si>
    <t>INE0QEI01011</t>
  </si>
  <si>
    <t>KONSTELEC</t>
  </si>
  <si>
    <t>KONSTELEC ENGINEERS LTD</t>
  </si>
  <si>
    <t>INE0KZ301010</t>
  </si>
  <si>
    <t>KONTOR</t>
  </si>
  <si>
    <t>KONTOR SPACE LIMITED</t>
  </si>
  <si>
    <t>INE082A01010</t>
  </si>
  <si>
    <t>KOPRAN</t>
  </si>
  <si>
    <t>KOPRAN LTD</t>
  </si>
  <si>
    <t>INE0O4R01018</t>
  </si>
  <si>
    <t>KDL</t>
  </si>
  <si>
    <t>KORE DIGITAL LIMITED</t>
  </si>
  <si>
    <t>INF174KA1HJ8</t>
  </si>
  <si>
    <t>GOLD1</t>
  </si>
  <si>
    <t>KOTAK GOLD ETF</t>
  </si>
  <si>
    <t>INE237A01036</t>
  </si>
  <si>
    <t>KOTAKBANK</t>
  </si>
  <si>
    <t>KOTAK MAHINDRA BANK LTD</t>
  </si>
  <si>
    <t>INF174K014P6</t>
  </si>
  <si>
    <t>NIFTY1</t>
  </si>
  <si>
    <t>KOTAK NIFTY ETF</t>
  </si>
  <si>
    <t>INF174KA1A86</t>
  </si>
  <si>
    <t>PSUBANK</t>
  </si>
  <si>
    <t>KOTAK PSU BANK</t>
  </si>
  <si>
    <t>INF174KA1XV0</t>
  </si>
  <si>
    <t>CHEMICAL</t>
  </si>
  <si>
    <t>KOTAKMAMC - CHEMICAL</t>
  </si>
  <si>
    <t>INF174KA1IA5</t>
  </si>
  <si>
    <t>ALPHA</t>
  </si>
  <si>
    <t>KOTAKMAMC - KOTAKALPHA</t>
  </si>
  <si>
    <t>INF174KA1ZF8</t>
  </si>
  <si>
    <t>CONS</t>
  </si>
  <si>
    <t>KOTAKMAMC - KOTAKCONS</t>
  </si>
  <si>
    <t>INF174KA1GC5</t>
  </si>
  <si>
    <t>IT</t>
  </si>
  <si>
    <t>KOTAKMAMC - KOTAKIT</t>
  </si>
  <si>
    <t>INF174KA1LV5</t>
  </si>
  <si>
    <t>LIQUID1</t>
  </si>
  <si>
    <t>KOTAKMAMC - KOTAKLIQ</t>
  </si>
  <si>
    <t>INF174KA1IY5</t>
  </si>
  <si>
    <t>LOWVOL1</t>
  </si>
  <si>
    <t>KOTAKMAMC - KOTAKLOVOL</t>
  </si>
  <si>
    <t>INF174KA1ZC5</t>
  </si>
  <si>
    <t>MIDCAP</t>
  </si>
  <si>
    <t>KOTAKMAMC - KOTAKMID50</t>
  </si>
  <si>
    <t>INF174KA1JF2</t>
  </si>
  <si>
    <t>MNC</t>
  </si>
  <si>
    <t>KOTAKMAMC - KOTAKMNC</t>
  </si>
  <si>
    <t>INF174KA1ZD3</t>
  </si>
  <si>
    <t>SILVER1</t>
  </si>
  <si>
    <t>KOTAKMAMC - KOTAKSILVE</t>
  </si>
  <si>
    <t>INF174KA1ZE1</t>
  </si>
  <si>
    <t>NV20</t>
  </si>
  <si>
    <t>KOTAKMAMC - KTKNV20ETF</t>
  </si>
  <si>
    <t>INF174KA1VW2</t>
  </si>
  <si>
    <t>MID150</t>
  </si>
  <si>
    <t>KOTAKMAMC - MID150</t>
  </si>
  <si>
    <t>INF174KA1XS6</t>
  </si>
  <si>
    <t>MOMENTUM30</t>
  </si>
  <si>
    <t>KOTAKMAMC - MOMENTUM30</t>
  </si>
  <si>
    <t>INF174KA1VD2</t>
  </si>
  <si>
    <t>MSCIINDIA</t>
  </si>
  <si>
    <t>KOTAKMAMC - MSCIINDIA</t>
  </si>
  <si>
    <t>INF174KA1YO3</t>
  </si>
  <si>
    <t>NEXT50ETF</t>
  </si>
  <si>
    <t>KOTAKMAMC - NEXT50ETF</t>
  </si>
  <si>
    <t>INF174KA1UW4</t>
  </si>
  <si>
    <t>NIFTY100EW</t>
  </si>
  <si>
    <t>KOTAKMAMC - NIFTY100EW</t>
  </si>
  <si>
    <t>INF174KA1A94</t>
  </si>
  <si>
    <t>PVTBANK</t>
  </si>
  <si>
    <t>KOTAKMAMC - PVTBANK</t>
  </si>
  <si>
    <t>INF174KA1WT6</t>
  </si>
  <si>
    <t>QUALITY30</t>
  </si>
  <si>
    <t>KOTAKMAMC - QUALITY30</t>
  </si>
  <si>
    <t>INF174KA1ZB7</t>
  </si>
  <si>
    <t>BANKNIFTY1</t>
  </si>
  <si>
    <t>KOTAKMAMC-KOTAKBKETF</t>
  </si>
  <si>
    <t>INE972A01020</t>
  </si>
  <si>
    <t>KOTIC</t>
  </si>
  <si>
    <t>KOTHARI INDUSTRIAL CORP L</t>
  </si>
  <si>
    <t>INE720A01015</t>
  </si>
  <si>
    <t>KOTHARIPET</t>
  </si>
  <si>
    <t>KOTHARI PETROCHEM LTD</t>
  </si>
  <si>
    <t>INE823A01017</t>
  </si>
  <si>
    <t>KOTHARIPRO</t>
  </si>
  <si>
    <t>KOTHARI PRODUCTS LTD</t>
  </si>
  <si>
    <t>INE419A01022</t>
  </si>
  <si>
    <t>KOTARISUG</t>
  </si>
  <si>
    <t>KOTHARI SUG &amp; CHEM LTD.</t>
  </si>
  <si>
    <t>INE0J0B01017</t>
  </si>
  <si>
    <t>KOTYARK</t>
  </si>
  <si>
    <t>KOTYARK INDUSTRIES LTD</t>
  </si>
  <si>
    <t>INE177F01017</t>
  </si>
  <si>
    <t>KOVAI</t>
  </si>
  <si>
    <t>KOVAI MEDICAL CENTER &amp; HO</t>
  </si>
  <si>
    <t>INE542W01025</t>
  </si>
  <si>
    <t>KPIGREEN</t>
  </si>
  <si>
    <t>KPI GREEN ENERGY LIMITED</t>
  </si>
  <si>
    <t>INE04I401011</t>
  </si>
  <si>
    <t>KPITTECH</t>
  </si>
  <si>
    <t>KPIT TECHNOLOGIES LIMITED</t>
  </si>
  <si>
    <t>INE930H01031</t>
  </si>
  <si>
    <t>KPRMILL</t>
  </si>
  <si>
    <t>KPR MILL LTD.</t>
  </si>
  <si>
    <t>INE001B01026</t>
  </si>
  <si>
    <t>KRBL</t>
  </si>
  <si>
    <t>KRBL LIMITED</t>
  </si>
  <si>
    <t>INE268B01013</t>
  </si>
  <si>
    <t>KREBSBIO</t>
  </si>
  <si>
    <t>KREBS BIOCHEMICALS &amp; IND</t>
  </si>
  <si>
    <t>INE524L01026</t>
  </si>
  <si>
    <t>KRIDHANINF</t>
  </si>
  <si>
    <t>KRIDHAN INFRA LIMITED</t>
  </si>
  <si>
    <t>INE506W01020</t>
  </si>
  <si>
    <t>KRISHANA</t>
  </si>
  <si>
    <t>KRISHANA PHOSCHEM LIMITED</t>
  </si>
  <si>
    <t>INE0NR701018</t>
  </si>
  <si>
    <t>KRISHCA</t>
  </si>
  <si>
    <t>KRISHCA STRAPPING SLTN L</t>
  </si>
  <si>
    <t>INE0GGO01015</t>
  </si>
  <si>
    <t>KRISHIVAL</t>
  </si>
  <si>
    <t>KRISHIVAL FOODS LIMITED</t>
  </si>
  <si>
    <t>INE0J5601015</t>
  </si>
  <si>
    <t>KRISHNADEF</t>
  </si>
  <si>
    <t>KRISHNA DEF AND ALD IND L</t>
  </si>
  <si>
    <t>INE967H01025</t>
  </si>
  <si>
    <t>KIMS</t>
  </si>
  <si>
    <t>KRISHNA INST OF MED SCI L</t>
  </si>
  <si>
    <t>INE479D01038</t>
  </si>
  <si>
    <t>KRITI</t>
  </si>
  <si>
    <t>KRITI INDUSTRIES IND LTD</t>
  </si>
  <si>
    <t>INE798K01010</t>
  </si>
  <si>
    <t>KRITINUT</t>
  </si>
  <si>
    <t>KRITI NUTRIENTS LIMITED</t>
  </si>
  <si>
    <t>INE00Z501029</t>
  </si>
  <si>
    <t>KRITIKA</t>
  </si>
  <si>
    <t>KRITIKA WIRES LIMITED</t>
  </si>
  <si>
    <t>INE1MTV01019</t>
  </si>
  <si>
    <t>KRMAYURVED</t>
  </si>
  <si>
    <t>KRM AYURVEDA LIMITED</t>
  </si>
  <si>
    <t>INE0Q3J01015</t>
  </si>
  <si>
    <t>KRN</t>
  </si>
  <si>
    <t>KRN HEAT EXCHANGE N REF L</t>
  </si>
  <si>
    <t>INE0ATZ01017</t>
  </si>
  <si>
    <t>KRONOX</t>
  </si>
  <si>
    <t>KRONOX LAB SCIENCES LTD</t>
  </si>
  <si>
    <t>INE0O6601022</t>
  </si>
  <si>
    <t>KROSS</t>
  </si>
  <si>
    <t>KROSS LIMITED</t>
  </si>
  <si>
    <t>INE08LI01020</t>
  </si>
  <si>
    <t>KRSNAA</t>
  </si>
  <si>
    <t>KRSNAA DIAGNOSTICS LTD</t>
  </si>
  <si>
    <t>INE0QN801017</t>
  </si>
  <si>
    <t>KRYSTAL</t>
  </si>
  <si>
    <t>KRYSTAL INTEGRATED SER L</t>
  </si>
  <si>
    <t>INE999A01023</t>
  </si>
  <si>
    <t>KSB</t>
  </si>
  <si>
    <t>KSB LIMITED</t>
  </si>
  <si>
    <t>INE953E01022</t>
  </si>
  <si>
    <t>KSE</t>
  </si>
  <si>
    <t>KSE LTD.</t>
  </si>
  <si>
    <t>INE987S01020</t>
  </si>
  <si>
    <t>KSHINTL</t>
  </si>
  <si>
    <t>KSH INTERNATIONAL LIMITED</t>
  </si>
  <si>
    <t>INE013801027</t>
  </si>
  <si>
    <t>KSHITIJPOL</t>
  </si>
  <si>
    <t>KSHITIJ POLYLINE LIMITED</t>
  </si>
  <si>
    <t>INE0D6I01023</t>
  </si>
  <si>
    <t>KSOLVES</t>
  </si>
  <si>
    <t>KSOLVES INDIA LIMITED</t>
  </si>
  <si>
    <t>INE1SPP01016</t>
  </si>
  <si>
    <t>KSR</t>
  </si>
  <si>
    <t>KSR FOOTWEAR LIMITED</t>
  </si>
  <si>
    <t>INE529I01021</t>
  </si>
  <si>
    <t>KUANTUM</t>
  </si>
  <si>
    <t>KUANTUM PAPERS LIMITED</t>
  </si>
  <si>
    <t>INE0ISX01025</t>
  </si>
  <si>
    <t>KUSUMGAR</t>
  </si>
  <si>
    <t>KUSUMGAR LIMITED</t>
  </si>
  <si>
    <t>INE552U01010</t>
  </si>
  <si>
    <t>KPL</t>
  </si>
  <si>
    <t>KWALITY PHARMACEUTICALS L</t>
  </si>
  <si>
    <t>INE2KCE01013</t>
  </si>
  <si>
    <t>KWIL</t>
  </si>
  <si>
    <t>KWALITY WALL'S (INDIA) L</t>
  </si>
  <si>
    <t>INE341H01023</t>
  </si>
  <si>
    <t>LKPSEC</t>
  </si>
  <si>
    <t>L K P SECURITIES LTD.</t>
  </si>
  <si>
    <t>INE498L01015</t>
  </si>
  <si>
    <t>LTF</t>
  </si>
  <si>
    <t>L&amp;T FINANCE LIMITED</t>
  </si>
  <si>
    <t>INE010V01017</t>
  </si>
  <si>
    <t>LTTS</t>
  </si>
  <si>
    <t>L&amp;T TECHNOLOGY SER. LTD.</t>
  </si>
  <si>
    <t>INE059D01020</t>
  </si>
  <si>
    <t>LAOPALA</t>
  </si>
  <si>
    <t>LA OPALA RG LIMITED</t>
  </si>
  <si>
    <t>INE519D01015</t>
  </si>
  <si>
    <t>LADDERUP</t>
  </si>
  <si>
    <t>LADDERUP FINANCE LTD.</t>
  </si>
  <si>
    <t>INE548Z01017</t>
  </si>
  <si>
    <t>LAGNAM</t>
  </si>
  <si>
    <t>LAGNAM SPINTEX LIMITED</t>
  </si>
  <si>
    <t>INE515C01023</t>
  </si>
  <si>
    <t>LAHOTIOV</t>
  </si>
  <si>
    <t>LAHOTI OVERSEAS LTD.</t>
  </si>
  <si>
    <t>INE850E01012</t>
  </si>
  <si>
    <t>LFIC</t>
  </si>
  <si>
    <t>LAKSHMI FIN IND CORP LTD</t>
  </si>
  <si>
    <t>INE938C01019</t>
  </si>
  <si>
    <t>LAKSHMIMIL</t>
  </si>
  <si>
    <t>LAKSHMI MILLS CO. LTD.</t>
  </si>
  <si>
    <t>INE651C01018</t>
  </si>
  <si>
    <t>LAKPRE</t>
  </si>
  <si>
    <t>LAKSHMI PRE SCRE LTD</t>
  </si>
  <si>
    <t>INE0VZS01015</t>
  </si>
  <si>
    <t>LAKSHYA</t>
  </si>
  <si>
    <t>LAKSHYA POWERTECH LIMITED</t>
  </si>
  <si>
    <t>INE0K9O01026</t>
  </si>
  <si>
    <t>LALITHAA</t>
  </si>
  <si>
    <t>LALITHAA JEWELLERY MART L</t>
  </si>
  <si>
    <t>INE112F01022</t>
  </si>
  <si>
    <t>LAMBODHARA</t>
  </si>
  <si>
    <t>LAMBODHARA TEXTILES LTD.</t>
  </si>
  <si>
    <t>INE0R0201012</t>
  </si>
  <si>
    <t>LAMOSAIC</t>
  </si>
  <si>
    <t>LAMOSAIC INDIA LIMITED</t>
  </si>
  <si>
    <t>INE359U01028</t>
  </si>
  <si>
    <t>LANCER</t>
  </si>
  <si>
    <t>LANCER CONTAINER LINES L</t>
  </si>
  <si>
    <t>INE572G01025</t>
  </si>
  <si>
    <t>LANCORHOL</t>
  </si>
  <si>
    <t>LANCOR HOLDINGS LIMITED</t>
  </si>
  <si>
    <t>INE559R01029</t>
  </si>
  <si>
    <t>LANDMARK</t>
  </si>
  <si>
    <t>LANDMARK CARS LIMITED</t>
  </si>
  <si>
    <t>INE197J01017</t>
  </si>
  <si>
    <t>LPDC</t>
  </si>
  <si>
    <t>LANDMARK PR.DEV.CO.LTD</t>
  </si>
  <si>
    <t>INE688J01023</t>
  </si>
  <si>
    <t>LANDSMILL</t>
  </si>
  <si>
    <t>LANDSMILL GREEN LIMITED</t>
  </si>
  <si>
    <t>INE018A01030</t>
  </si>
  <si>
    <t>LT</t>
  </si>
  <si>
    <t>LARSEN &amp; TOUBRO LTD.</t>
  </si>
  <si>
    <t>INE670X01014</t>
  </si>
  <si>
    <t>LASA</t>
  </si>
  <si>
    <t>LASA SUPERGENERICS LTD</t>
  </si>
  <si>
    <t>INE17IR01028</t>
  </si>
  <si>
    <t>LASERPOWER</t>
  </si>
  <si>
    <t>LASER POWER &amp; INFRA LTD</t>
  </si>
  <si>
    <t>INE0I7C01011</t>
  </si>
  <si>
    <t>LATENTVIEW</t>
  </si>
  <si>
    <t>LATENT VIEW ANALYTICS LTD</t>
  </si>
  <si>
    <t>INE262Z01023</t>
  </si>
  <si>
    <t>LATTEYS</t>
  </si>
  <si>
    <t>LATTEYS INDUSTRIES LTD</t>
  </si>
  <si>
    <t>INE947Q01028</t>
  </si>
  <si>
    <t>LAURUSLABS</t>
  </si>
  <si>
    <t>LAURUS LABS LIMITED</t>
  </si>
  <si>
    <t>INE801V01019</t>
  </si>
  <si>
    <t>LAXMICOT</t>
  </si>
  <si>
    <t>LAXMI COTSPIN LIMITED</t>
  </si>
  <si>
    <t>INE0WO601020</t>
  </si>
  <si>
    <t>LAXMIDENTL</t>
  </si>
  <si>
    <t>LAXMI DENTAL LIMITED</t>
  </si>
  <si>
    <t>INE258Y01016</t>
  </si>
  <si>
    <t>LGHL</t>
  </si>
  <si>
    <t>LAXMI GOLDORNA HOUSE LTD</t>
  </si>
  <si>
    <t>INE06WU01026</t>
  </si>
  <si>
    <t>LAXMIINDIA</t>
  </si>
  <si>
    <t>LAXMI INDIA FINANCE LTD</t>
  </si>
  <si>
    <t>INE576O01020</t>
  </si>
  <si>
    <t>LXCHEM</t>
  </si>
  <si>
    <t>LAXMI ORGANIC INDUS LTD</t>
  </si>
  <si>
    <t>INE938A01021</t>
  </si>
  <si>
    <t>LCCINFOTEC</t>
  </si>
  <si>
    <t>LCC INFOTECH LTD</t>
  </si>
  <si>
    <t>INE0G1L01025</t>
  </si>
  <si>
    <t>LEMERITE</t>
  </si>
  <si>
    <t>LE MERITE EXPORTS LIMITED</t>
  </si>
  <si>
    <t>INE0HV901016</t>
  </si>
  <si>
    <t>IXIGO</t>
  </si>
  <si>
    <t>LE TRAVENUES TECHNOLOGY L</t>
  </si>
  <si>
    <t>INE0H4B01011</t>
  </si>
  <si>
    <t>LRRPL</t>
  </si>
  <si>
    <t>LEAD REC AND RUB PROD LTD</t>
  </si>
  <si>
    <t>INE00GO01025</t>
  </si>
  <si>
    <t>LEAPIND</t>
  </si>
  <si>
    <t>LEAP INDIA LIMITED</t>
  </si>
  <si>
    <t>INE791B01014</t>
  </si>
  <si>
    <t>LEENEE</t>
  </si>
  <si>
    <t>LEE &amp; NEE SOFTWARES (E) L</t>
  </si>
  <si>
    <t>INE0AQ201015</t>
  </si>
  <si>
    <t>THELEELA</t>
  </si>
  <si>
    <t>LEELA PALACES HOTEL LTD</t>
  </si>
  <si>
    <t>INE970X01018</t>
  </si>
  <si>
    <t>LEMONTREE</t>
  </si>
  <si>
    <t>LEMON TREE HOTELS LTD</t>
  </si>
  <si>
    <t>INE956O01016</t>
  </si>
  <si>
    <t>LENSKART</t>
  </si>
  <si>
    <t>LENSKART SOLUTIONS LTD</t>
  </si>
  <si>
    <t>INE500X01013</t>
  </si>
  <si>
    <t>LEXUS</t>
  </si>
  <si>
    <t>LEXUS GRANITO (INDIA) LTD</t>
  </si>
  <si>
    <t>INE337A01034</t>
  </si>
  <si>
    <t>LGBBROSLTD</t>
  </si>
  <si>
    <t>LG BALAKRISHNAN &amp; BROS</t>
  </si>
  <si>
    <t>INE324D01010</t>
  </si>
  <si>
    <t>LGEINDIA</t>
  </si>
  <si>
    <t>LG ELECTRONICS INDIA LTD</t>
  </si>
  <si>
    <t>INE908V01012</t>
  </si>
  <si>
    <t>LIBAS</t>
  </si>
  <si>
    <t>LIBAS CONSU PRODUCTS LTD</t>
  </si>
  <si>
    <t>INE557B01019</t>
  </si>
  <si>
    <t>LIBERTSHOE</t>
  </si>
  <si>
    <t>LIBERTY SHOES LTD</t>
  </si>
  <si>
    <t>INE115A01026</t>
  </si>
  <si>
    <t>LICHSGFIN</t>
  </si>
  <si>
    <t>LIC HOUSING FINANCE LTD</t>
  </si>
  <si>
    <t>INF767K01SM1</t>
  </si>
  <si>
    <t>LICMFGOLD</t>
  </si>
  <si>
    <t>LIC MF - LIC GOLD ETF</t>
  </si>
  <si>
    <t>INF767K01OS7</t>
  </si>
  <si>
    <t>LICNETFN50</t>
  </si>
  <si>
    <t>LICNAMC - LICNFENGP</t>
  </si>
  <si>
    <t>INF767K01OT5</t>
  </si>
  <si>
    <t>LICNETFSEN</t>
  </si>
  <si>
    <t>LICNAMC - LICNFESGP</t>
  </si>
  <si>
    <t>INF767K01PC8</t>
  </si>
  <si>
    <t>LICNFNHGP</t>
  </si>
  <si>
    <t>LICNAMC - LICNFNHGP</t>
  </si>
  <si>
    <t>INF767K01MV5</t>
  </si>
  <si>
    <t>LICNETFGSC</t>
  </si>
  <si>
    <t>LICNAMC - LICNMFET</t>
  </si>
  <si>
    <t>INF767K01RN1</t>
  </si>
  <si>
    <t>LICNMID100</t>
  </si>
  <si>
    <t>LICNAMC - LICNMID100</t>
  </si>
  <si>
    <t>INE0J1Y01017</t>
  </si>
  <si>
    <t>LICI</t>
  </si>
  <si>
    <t>LIFE INSURA CORP OF INDIA</t>
  </si>
  <si>
    <t>INE060901027</t>
  </si>
  <si>
    <t>LIKHITHA</t>
  </si>
  <si>
    <t>LIKHITHA INFRASTRUC LTD</t>
  </si>
  <si>
    <t>INE802B01027</t>
  </si>
  <si>
    <t>LINC</t>
  </si>
  <si>
    <t>LINC LIMITED</t>
  </si>
  <si>
    <t>INE405C01035</t>
  </si>
  <si>
    <t>LINCOLN</t>
  </si>
  <si>
    <t>LINCOLN PHARMA LTD</t>
  </si>
  <si>
    <t>INE473A01011</t>
  </si>
  <si>
    <t>LINDEINDIA</t>
  </si>
  <si>
    <t>LINDE INDIA LIMITED</t>
  </si>
  <si>
    <t>INE093R01011</t>
  </si>
  <si>
    <t>LLOYDSENGG</t>
  </si>
  <si>
    <t>LLOYDS ENGG WORK LIMITED</t>
  </si>
  <si>
    <t>INE080I01025</t>
  </si>
  <si>
    <t>LLOYDSENT</t>
  </si>
  <si>
    <t>LLOYDS ENTERPRISES LTD</t>
  </si>
  <si>
    <t>INE0DTQ01028</t>
  </si>
  <si>
    <t>LLOYDS</t>
  </si>
  <si>
    <t>LLOYDS LUXURIES LIMITED</t>
  </si>
  <si>
    <t>INE281B01032</t>
  </si>
  <si>
    <t>LLOYDSME</t>
  </si>
  <si>
    <t>LLOYDS METALS N ENERGY L</t>
  </si>
  <si>
    <t>INE269B01029</t>
  </si>
  <si>
    <t>LMW</t>
  </si>
  <si>
    <t>LMW LIMITED</t>
  </si>
  <si>
    <t>INE670K01029</t>
  </si>
  <si>
    <t>LODHA</t>
  </si>
  <si>
    <t>LODHA DEVELOPERS LIMITED</t>
  </si>
  <si>
    <t>INE0QJW01029</t>
  </si>
  <si>
    <t>LCL</t>
  </si>
  <si>
    <t>LOHIA CORP LIMITED</t>
  </si>
  <si>
    <t>INE397H01017</t>
  </si>
  <si>
    <t>LOKESHMACH</t>
  </si>
  <si>
    <t>LOKESH MACHINES LTD</t>
  </si>
  <si>
    <t>INE846D01012</t>
  </si>
  <si>
    <t>LORDSCHLO</t>
  </si>
  <si>
    <t>LORDS CHLORO ALKALI LTD</t>
  </si>
  <si>
    <t>INE740X01023</t>
  </si>
  <si>
    <t>LAL</t>
  </si>
  <si>
    <t>LORENZINI APPARELS LTD</t>
  </si>
  <si>
    <t>INE026D01011</t>
  </si>
  <si>
    <t>LOTUSCHO</t>
  </si>
  <si>
    <t>LOTUS CHOCOLATE CO. LTD.</t>
  </si>
  <si>
    <t>INE947I01017</t>
  </si>
  <si>
    <t>LOTUSEYE</t>
  </si>
  <si>
    <t>LOTUS EYE HOSP &amp; INST L</t>
  </si>
  <si>
    <t>INE597L01014</t>
  </si>
  <si>
    <t>LOVABLE</t>
  </si>
  <si>
    <t>LOVABLE LINGERIE LTD</t>
  </si>
  <si>
    <t>INE970D01010</t>
  </si>
  <si>
    <t>LOYALTEX</t>
  </si>
  <si>
    <t>LOYAL TEXTILE MILLS LTD</t>
  </si>
  <si>
    <t>INE818H01020</t>
  </si>
  <si>
    <t>LTFOODS</t>
  </si>
  <si>
    <t>LT FOODS LIMITED</t>
  </si>
  <si>
    <t>INE214T01019</t>
  </si>
  <si>
    <t>LTM</t>
  </si>
  <si>
    <t>LTM LIMITED</t>
  </si>
  <si>
    <t>INE872H01027</t>
  </si>
  <si>
    <t>LUMAXTECH</t>
  </si>
  <si>
    <t>LUMAX AUTO TECH LTD</t>
  </si>
  <si>
    <t>INE162B01018</t>
  </si>
  <si>
    <t>LUMAXIND</t>
  </si>
  <si>
    <t>LUMAX INDUSTRIES LTD</t>
  </si>
  <si>
    <t>INE185Q01025</t>
  </si>
  <si>
    <t>LUMINO</t>
  </si>
  <si>
    <t>LUMINO INDUSTRIES LIMITED</t>
  </si>
  <si>
    <t>INE326A01037</t>
  </si>
  <si>
    <t>LUPIN</t>
  </si>
  <si>
    <t>LUPIN LIMITED</t>
  </si>
  <si>
    <t>INE150G01020</t>
  </si>
  <si>
    <t>LUXIND</t>
  </si>
  <si>
    <t>LUX INDUSTRIES LIMITED</t>
  </si>
  <si>
    <t>INE933A01014</t>
  </si>
  <si>
    <t>LYKALABS</t>
  </si>
  <si>
    <t>LYKA LABS LTD.</t>
  </si>
  <si>
    <t>INE08N601015</t>
  </si>
  <si>
    <t>MBEL</t>
  </si>
  <si>
    <t>M AND B ENGINEERING LTD</t>
  </si>
  <si>
    <t>INE227F01010</t>
  </si>
  <si>
    <t>MKEXIM</t>
  </si>
  <si>
    <t>M K EXIM (INDIA) LTD.</t>
  </si>
  <si>
    <t>INE964W01021</t>
  </si>
  <si>
    <t>MKPL</t>
  </si>
  <si>
    <t>M K PROTEINS LIMITED</t>
  </si>
  <si>
    <t>INE813V01022</t>
  </si>
  <si>
    <t>MCL</t>
  </si>
  <si>
    <t>M TEK COPPER LIMITED</t>
  </si>
  <si>
    <t>INE774D01024</t>
  </si>
  <si>
    <t>M&amp;MFIN</t>
  </si>
  <si>
    <t>M&amp;M FIN. SERVICES LTD</t>
  </si>
  <si>
    <t>INE0SGC01015</t>
  </si>
  <si>
    <t>MVKAGRO</t>
  </si>
  <si>
    <t>M.V.K. AGRO FOOD PROD LTD</t>
  </si>
  <si>
    <t>INE215I01027</t>
  </si>
  <si>
    <t>MAANALU</t>
  </si>
  <si>
    <t>MAAN ALUMINIUM LIMITED</t>
  </si>
  <si>
    <t>INE435D01014</t>
  </si>
  <si>
    <t>MCCHRLS-B</t>
  </si>
  <si>
    <t>MAC CHARLES (INDIA) LTD.</t>
  </si>
  <si>
    <t>INE0R0J01010</t>
  </si>
  <si>
    <t>MACOBSTECH</t>
  </si>
  <si>
    <t>MACOBS TECHNOLOGIES LTD</t>
  </si>
  <si>
    <t>INE155Z01011</t>
  </si>
  <si>
    <t>MACPOWER</t>
  </si>
  <si>
    <t>MACPOWER CNC MACHINES LTD</t>
  </si>
  <si>
    <t>INE631R01026</t>
  </si>
  <si>
    <t>MADHAVIPL</t>
  </si>
  <si>
    <t>MADHAV INFRA PROJECTS L</t>
  </si>
  <si>
    <t>INE925C01016</t>
  </si>
  <si>
    <t>MADHAV</t>
  </si>
  <si>
    <t>MADHAV MARBLE &amp; GRANITE</t>
  </si>
  <si>
    <t>INE378D01032</t>
  </si>
  <si>
    <t>MADHUCON</t>
  </si>
  <si>
    <t>MADHUCON PROJECTS LTD.</t>
  </si>
  <si>
    <t>INE1P5601010</t>
  </si>
  <si>
    <t>MADHURKNIT</t>
  </si>
  <si>
    <t>MADHUR KNIT CRAFTS LTD</t>
  </si>
  <si>
    <t>INE0P6701019</t>
  </si>
  <si>
    <t>MADHUSUDAN</t>
  </si>
  <si>
    <t>MADHUSUDAN MASALA LIMITED</t>
  </si>
  <si>
    <t>INE900L01028</t>
  </si>
  <si>
    <t>MBAPL</t>
  </si>
  <si>
    <t>MADHYA BHARAT AGRO P. LTD</t>
  </si>
  <si>
    <t>INE414A01015</t>
  </si>
  <si>
    <t>MADRASFERT</t>
  </si>
  <si>
    <t>MADRAS FERTILISERS LTD</t>
  </si>
  <si>
    <t>INE270B01035</t>
  </si>
  <si>
    <t>MAFATIND</t>
  </si>
  <si>
    <t>MAFATLAL INDUSTRIES LTD.</t>
  </si>
  <si>
    <t>INE347W01011</t>
  </si>
  <si>
    <t>MAGADSUGAR</t>
  </si>
  <si>
    <t>MAGADH SUGAR &amp; ENERGY LTD</t>
  </si>
  <si>
    <t>INE613C01026</t>
  </si>
  <si>
    <t>MCLOUD</t>
  </si>
  <si>
    <t>MAGELLANIC CLOUD LIMITED</t>
  </si>
  <si>
    <t>INE387I01016</t>
  </si>
  <si>
    <t>MAGNUM</t>
  </si>
  <si>
    <t>MAGNUM VENTURES LTD.</t>
  </si>
  <si>
    <t>INE0O1S01012</t>
  </si>
  <si>
    <t>MAGSON</t>
  </si>
  <si>
    <t>MAGSON RETAIL AND DIST L</t>
  </si>
  <si>
    <t>INE843B01013</t>
  </si>
  <si>
    <t>MAHAPEXLTD</t>
  </si>
  <si>
    <t>MAHA RASHTRA APEX COPR. L</t>
  </si>
  <si>
    <t>INE0US801024</t>
  </si>
  <si>
    <t>MFML</t>
  </si>
  <si>
    <t>MAHALAXMI FABRIC MILLS LT</t>
  </si>
  <si>
    <t>INE112D01035</t>
  </si>
  <si>
    <t>MHLXMIRU</t>
  </si>
  <si>
    <t>MAHALAXMI RUBTECH LIMITED</t>
  </si>
  <si>
    <t>INE451L01014</t>
  </si>
  <si>
    <t>MAHASTEEL</t>
  </si>
  <si>
    <t>MAHAMAYA STEEL INDS LTD</t>
  </si>
  <si>
    <t>INE002S01010</t>
  </si>
  <si>
    <t>MGL</t>
  </si>
  <si>
    <t>MAHANAGAR GAS LTD.</t>
  </si>
  <si>
    <t>INE153A01019</t>
  </si>
  <si>
    <t>MTNL</t>
  </si>
  <si>
    <t>MAHANAGAR TELEPHONE NIGAM</t>
  </si>
  <si>
    <t>INE288A01013</t>
  </si>
  <si>
    <t>MAHSCOOTER</t>
  </si>
  <si>
    <t>MAHARASHTRA SCOOTERS LTD</t>
  </si>
  <si>
    <t>INE271B01025</t>
  </si>
  <si>
    <t>MAHSEAMLES</t>
  </si>
  <si>
    <t>MAHARASHTRA SEAMLESS LTD</t>
  </si>
  <si>
    <t>INE632Q01018</t>
  </si>
  <si>
    <t>MRIL</t>
  </si>
  <si>
    <t>MAHENDRA REALTO &amp; INFRA L</t>
  </si>
  <si>
    <t>INE263W01010</t>
  </si>
  <si>
    <t>MAHESHWARI</t>
  </si>
  <si>
    <t>MAHESHWARI LOGISTICS LTD.</t>
  </si>
  <si>
    <t>INE961Y01015</t>
  </si>
  <si>
    <t>MAHICKRA</t>
  </si>
  <si>
    <t>MAHICKRA CHEMICAL LIMITED</t>
  </si>
  <si>
    <t>INE101A01026</t>
  </si>
  <si>
    <t>M&amp;M</t>
  </si>
  <si>
    <t>MAHINDRA &amp; MAHINDRA LTD</t>
  </si>
  <si>
    <t>INE215D01010</t>
  </si>
  <si>
    <t>MAHEPC</t>
  </si>
  <si>
    <t>MAHINDRA EPC IRRIG LTD</t>
  </si>
  <si>
    <t>INE998I01010</t>
  </si>
  <si>
    <t>MHRIL</t>
  </si>
  <si>
    <t>MAHINDRA HOLIDAYS LTD</t>
  </si>
  <si>
    <t>INE813A01018</t>
  </si>
  <si>
    <t>MAHLIFE</t>
  </si>
  <si>
    <t>MAHINDRA LIFESPACE DEVLTD</t>
  </si>
  <si>
    <t>INE766P01016</t>
  </si>
  <si>
    <t>MAHLOG</t>
  </si>
  <si>
    <t>MAHINDRA LOGISTIC LIMITED</t>
  </si>
  <si>
    <t>INE683C01011</t>
  </si>
  <si>
    <t>MAITHANALL</t>
  </si>
  <si>
    <t>MAITHAN ALLOYS LTD</t>
  </si>
  <si>
    <t>INE0PLQ01011</t>
  </si>
  <si>
    <t>MAITREYA</t>
  </si>
  <si>
    <t>MAITREYA MEDICARE LIMITED</t>
  </si>
  <si>
    <t>INE201B01022</t>
  </si>
  <si>
    <t>MAJESAUT</t>
  </si>
  <si>
    <t>MAJESTIC AUTO LTD.</t>
  </si>
  <si>
    <t>INE987A01010</t>
  </si>
  <si>
    <t>MAKERSL</t>
  </si>
  <si>
    <t>MAKERS LABORATORIES LTD.</t>
  </si>
  <si>
    <t>INE0CDK01019</t>
  </si>
  <si>
    <t>MAKS</t>
  </si>
  <si>
    <t>MAKS ENERGY SOL INDIA LTD</t>
  </si>
  <si>
    <t>INE389C01015</t>
  </si>
  <si>
    <t>MALLCOM</t>
  </si>
  <si>
    <t>MALLCOM (INDIA) LIMITED</t>
  </si>
  <si>
    <t>INE383H01017</t>
  </si>
  <si>
    <t>MALUPAPER</t>
  </si>
  <si>
    <t>MALU PAPER MILLS LIMITED</t>
  </si>
  <si>
    <t>INE0TO701015</t>
  </si>
  <si>
    <t>MAMATA</t>
  </si>
  <si>
    <t>MAMATA MACHINERY LIMITED</t>
  </si>
  <si>
    <t>INE830Q01018</t>
  </si>
  <si>
    <t>MANAKCOAT</t>
  </si>
  <si>
    <t>MAN COAT METAL &amp; IND LTD</t>
  </si>
  <si>
    <t>INE993A01026</t>
  </si>
  <si>
    <t>MANINDS</t>
  </si>
  <si>
    <t>MAN INDUSTRIES (I) LTD.</t>
  </si>
  <si>
    <t>INE949H01023</t>
  </si>
  <si>
    <t>MANINFRA</t>
  </si>
  <si>
    <t>MAN INFRA LTD</t>
  </si>
  <si>
    <t>INE859Q01017</t>
  </si>
  <si>
    <t>MANAKALUCO</t>
  </si>
  <si>
    <t>MANAK ALUMINIUM CO. LTD.</t>
  </si>
  <si>
    <t>INE015D01022</t>
  </si>
  <si>
    <t>MANAKSIA</t>
  </si>
  <si>
    <t>MANAKSIA LTD.</t>
  </si>
  <si>
    <t>INE824Q01011</t>
  </si>
  <si>
    <t>MANAKSTEEL</t>
  </si>
  <si>
    <t>MANAKSIA STEELS LTD</t>
  </si>
  <si>
    <t>INE201A01024</t>
  </si>
  <si>
    <t>MANALIPETC</t>
  </si>
  <si>
    <t>MANALI PETROCHEMICALS LT</t>
  </si>
  <si>
    <t>INE522D01027</t>
  </si>
  <si>
    <t>MANAPPURAM</t>
  </si>
  <si>
    <t>MANAPPURAM FINANCE LTD</t>
  </si>
  <si>
    <t>INE0U4H20011</t>
  </si>
  <si>
    <t>MPEL-RE</t>
  </si>
  <si>
    <t>MANAS POLY N ENERG LTD</t>
  </si>
  <si>
    <t>INE0U4H01011</t>
  </si>
  <si>
    <t>MPEL</t>
  </si>
  <si>
    <t>MANAS POLYMER N ENERGIE L</t>
  </si>
  <si>
    <t>INE939X01013</t>
  </si>
  <si>
    <t>MANBA</t>
  </si>
  <si>
    <t>MANBA FINANCE LIMITED</t>
  </si>
  <si>
    <t>INE545L01039</t>
  </si>
  <si>
    <t>MANCREDIT</t>
  </si>
  <si>
    <t>MANGAL CREDIT N FINCORP L</t>
  </si>
  <si>
    <t>INE0PKD01011</t>
  </si>
  <si>
    <t>MEIL</t>
  </si>
  <si>
    <t>MANGAL ELECTRICAL IND L</t>
  </si>
  <si>
    <t>INE00C401011</t>
  </si>
  <si>
    <t>MAL</t>
  </si>
  <si>
    <t>MANGALAM ALLOYS LIMITED</t>
  </si>
  <si>
    <t>INE347A01017</t>
  </si>
  <si>
    <t>MANGLMCEM</t>
  </si>
  <si>
    <t>MANGALAM CEMENT LTD</t>
  </si>
  <si>
    <t>INE584F01014</t>
  </si>
  <si>
    <t>MANGALAM</t>
  </si>
  <si>
    <t>MANGALAM DRUG &amp; CHEM LTD</t>
  </si>
  <si>
    <t>INE0APB01032</t>
  </si>
  <si>
    <t>MGEL</t>
  </si>
  <si>
    <t>MANGALAM GLOBAL ENT LTD</t>
  </si>
  <si>
    <t>INE370D01013</t>
  </si>
  <si>
    <t>MANORG</t>
  </si>
  <si>
    <t>MANGALAM ORGANICS LIMITED</t>
  </si>
  <si>
    <t>INE829S01016</t>
  </si>
  <si>
    <t>MSL</t>
  </si>
  <si>
    <t>MANGALAM SEEDS LTD.</t>
  </si>
  <si>
    <t>INE0JYY01029</t>
  </si>
  <si>
    <t>MWL</t>
  </si>
  <si>
    <t>MANGALAM WORLDWIDE LTD</t>
  </si>
  <si>
    <t>INE0R3101011</t>
  </si>
  <si>
    <t>MIEL</t>
  </si>
  <si>
    <t>MANGLAM INFRA &amp; ENG LTD</t>
  </si>
  <si>
    <t>INE1ERK01013</t>
  </si>
  <si>
    <t>MANILAM</t>
  </si>
  <si>
    <t>MANILAM INDUSTRIES IND L</t>
  </si>
  <si>
    <t>INE459N01021</t>
  </si>
  <si>
    <t>MANIPALHOS</t>
  </si>
  <si>
    <t>MANIPAL HEALTH ENTERPRI L</t>
  </si>
  <si>
    <t>INE634S01028</t>
  </si>
  <si>
    <t>MANKIND</t>
  </si>
  <si>
    <t>MANKIND PHARMA LIMITED</t>
  </si>
  <si>
    <t>INE0KNT01012</t>
  </si>
  <si>
    <t>MVGJL</t>
  </si>
  <si>
    <t>MANOJ VAIBHAV GEM N JEW L</t>
  </si>
  <si>
    <t>INE784W01015</t>
  </si>
  <si>
    <t>MANOMAY</t>
  </si>
  <si>
    <t>MANOMAY TEX INDIA LTD</t>
  </si>
  <si>
    <t>INE00VM01036</t>
  </si>
  <si>
    <t>MANORAMA</t>
  </si>
  <si>
    <t>MANORAMA INDUSTRIES LTD</t>
  </si>
  <si>
    <t>INE867A01022</t>
  </si>
  <si>
    <t>MANUGRAPH</t>
  </si>
  <si>
    <t>MANUGRAPH INDIA LIMITED</t>
  </si>
  <si>
    <t>INE882A01013</t>
  </si>
  <si>
    <t>MARALOVER</t>
  </si>
  <si>
    <t>MARAL OVERSEAS LTD</t>
  </si>
  <si>
    <t>INE182D01020</t>
  </si>
  <si>
    <t>MARATHON</t>
  </si>
  <si>
    <t>MARATHON NXTGEN REALT LTD</t>
  </si>
  <si>
    <t>INE0TD401015</t>
  </si>
  <si>
    <t>MARC</t>
  </si>
  <si>
    <t>MARC TECHNOCRATS LIMITED</t>
  </si>
  <si>
    <t>INE196A01026</t>
  </si>
  <si>
    <t>MARICO</t>
  </si>
  <si>
    <t>MARICO LIMITED</t>
  </si>
  <si>
    <t>INE01JE01028</t>
  </si>
  <si>
    <t>MARINE</t>
  </si>
  <si>
    <t>MARINE ELECTRICAL (I) LTD</t>
  </si>
  <si>
    <t>INE0FW001016</t>
  </si>
  <si>
    <t>MARKOLINES</t>
  </si>
  <si>
    <t>MARKOLINES PAVEMENT TEC L</t>
  </si>
  <si>
    <t>INE750C01026</t>
  </si>
  <si>
    <t>MARKSANS</t>
  </si>
  <si>
    <t>MARKSANS PHARMA LIMITED</t>
  </si>
  <si>
    <t>INE415B01044</t>
  </si>
  <si>
    <t>MARSONS</t>
  </si>
  <si>
    <t>MARSONS LIMITED</t>
  </si>
  <si>
    <t>INE0X7G01013</t>
  </si>
  <si>
    <t>MARUSHIKA</t>
  </si>
  <si>
    <t>MARUSHIKA TECHNOLOGY LTD</t>
  </si>
  <si>
    <t>INE585B01010</t>
  </si>
  <si>
    <t>MARUTI</t>
  </si>
  <si>
    <t>MARUTI SUZUKI INDIA LTD.</t>
  </si>
  <si>
    <t>INE348L01012</t>
  </si>
  <si>
    <t>MAS FINANCIAL SERV LTD</t>
  </si>
  <si>
    <t>INE885F01015</t>
  </si>
  <si>
    <t>MASKINVEST</t>
  </si>
  <si>
    <t>MASK INVESTMENTS LIMITED</t>
  </si>
  <si>
    <t>INE0SH001010</t>
  </si>
  <si>
    <t>MASON</t>
  </si>
  <si>
    <t>MASON INFRATECH LIMITED</t>
  </si>
  <si>
    <t>INE759A01021</t>
  </si>
  <si>
    <t>MASTEK</t>
  </si>
  <si>
    <t>MASTEK LTD</t>
  </si>
  <si>
    <t>INE0OJM01017</t>
  </si>
  <si>
    <t>MASTER</t>
  </si>
  <si>
    <t>MASTER COMPONENTS LIMITED</t>
  </si>
  <si>
    <t>INE677D01037</t>
  </si>
  <si>
    <t>MASTERTR</t>
  </si>
  <si>
    <t>MASTER TRUST LIMITED</t>
  </si>
  <si>
    <t>INE866R01028</t>
  </si>
  <si>
    <t>MATRIMONY</t>
  </si>
  <si>
    <t>MATRIMONY.COM LIMITED</t>
  </si>
  <si>
    <t>INE132901013</t>
  </si>
  <si>
    <t>MGSL</t>
  </si>
  <si>
    <t>MATRIX GEO SOLUTIONS LTD</t>
  </si>
  <si>
    <t>INE636A01039</t>
  </si>
  <si>
    <t>MAWANASUG</t>
  </si>
  <si>
    <t>MAWANA SUGARS LIMITED</t>
  </si>
  <si>
    <t>INE03EI01018</t>
  </si>
  <si>
    <t>MAXESTATES</t>
  </si>
  <si>
    <t>MAX ESTATES LIMITED</t>
  </si>
  <si>
    <t>INE180A01020</t>
  </si>
  <si>
    <t>MFSL</t>
  </si>
  <si>
    <t>MAX FINANCIAL SERV LTD</t>
  </si>
  <si>
    <t>INE027H01010</t>
  </si>
  <si>
    <t>MAXHEALTH</t>
  </si>
  <si>
    <t>MAX HEALTHCARE INS LTD</t>
  </si>
  <si>
    <t>INE0CG601016</t>
  </si>
  <si>
    <t>MAXIND</t>
  </si>
  <si>
    <t>MAX INDIA LIMITED</t>
  </si>
  <si>
    <t>INE0ECC01022</t>
  </si>
  <si>
    <t>MAXPOSURE</t>
  </si>
  <si>
    <t>MAXPOSURE LIMITED</t>
  </si>
  <si>
    <t>INE10A501018</t>
  </si>
  <si>
    <t>MAXVOLT</t>
  </si>
  <si>
    <t>MAXVOLT ENERGY INDUS L</t>
  </si>
  <si>
    <t>INE0ZTO01018</t>
  </si>
  <si>
    <t>MAYASHEEL</t>
  </si>
  <si>
    <t>MAYASHEEL VENTURES LTD</t>
  </si>
  <si>
    <t>INE040D01038</t>
  </si>
  <si>
    <t>MAYURUNIQ</t>
  </si>
  <si>
    <t>MAYUR UNIQUOTERS LTD</t>
  </si>
  <si>
    <t>INE249Z01020</t>
  </si>
  <si>
    <t>MAZDOCK</t>
  </si>
  <si>
    <t>MAZAGON DOCK SHIPBUIL LTD</t>
  </si>
  <si>
    <t>INE885E01042</t>
  </si>
  <si>
    <t>MAZDA</t>
  </si>
  <si>
    <t>MAZDA LIMITED</t>
  </si>
  <si>
    <t>INE912H01013</t>
  </si>
  <si>
    <t>MBLINFRA</t>
  </si>
  <si>
    <t>MBL INFRASTRUCTURE LTD</t>
  </si>
  <si>
    <t>INE942G01012</t>
  </si>
  <si>
    <t>MCLEODRUSS</t>
  </si>
  <si>
    <t>MCLEOD RUSSEL INDIA LTD.</t>
  </si>
  <si>
    <t>INE748A01024</t>
  </si>
  <si>
    <t>MBECL</t>
  </si>
  <si>
    <t>MCNALLY BHARAT ENGIN CO L</t>
  </si>
  <si>
    <t>INE0O4M01019</t>
  </si>
  <si>
    <t>MCON</t>
  </si>
  <si>
    <t>MCON RASAYAN INDIA LTD</t>
  </si>
  <si>
    <t>INE456Z01021</t>
  </si>
  <si>
    <t>MEDIASSIST</t>
  </si>
  <si>
    <t>MEDI ASSIST HEALTH SER L</t>
  </si>
  <si>
    <t>INE442D01010</t>
  </si>
  <si>
    <t>MEDICAPQ</t>
  </si>
  <si>
    <t>MEDI CAPS LTD.</t>
  </si>
  <si>
    <t>INE200D01020</t>
  </si>
  <si>
    <t>MMWL</t>
  </si>
  <si>
    <t>MEDIA MATRIX WORLDWIDE L</t>
  </si>
  <si>
    <t>INE646B01010</t>
  </si>
  <si>
    <t>MEDICAMEQ</t>
  </si>
  <si>
    <t>MEDICAMEN BIOTECH LIMITED</t>
  </si>
  <si>
    <t>INE0PE401018</t>
  </si>
  <si>
    <t>MEDIORG</t>
  </si>
  <si>
    <t>MEDICAMEN ORGANICS LTD</t>
  </si>
  <si>
    <t>INE630Y01024</t>
  </si>
  <si>
    <t>MEDICO</t>
  </si>
  <si>
    <t>MEDICO REMEDIES LIMITED</t>
  </si>
  <si>
    <t>INE804L01022</t>
  </si>
  <si>
    <t>MEDPLUS</t>
  </si>
  <si>
    <t>MEDPLUS HEALTH SERV LTD</t>
  </si>
  <si>
    <t>INE0VDM01015</t>
  </si>
  <si>
    <t>MEESHO</t>
  </si>
  <si>
    <t>MEESHO LIMITED</t>
  </si>
  <si>
    <t>INE0G1D01014</t>
  </si>
  <si>
    <t>MEGAFLEX</t>
  </si>
  <si>
    <t>MEGA FLEX PLASTICS LTD</t>
  </si>
  <si>
    <t>INE00EM01016</t>
  </si>
  <si>
    <t>MEGASTAR</t>
  </si>
  <si>
    <t>MEGASTAR FOODS LIMITED</t>
  </si>
  <si>
    <t>INE531R01010</t>
  </si>
  <si>
    <t>MEGATHERM</t>
  </si>
  <si>
    <t>MEGATHERM INDUCTION LTD</t>
  </si>
  <si>
    <t>INE0CT101020</t>
  </si>
  <si>
    <t>MOL</t>
  </si>
  <si>
    <t>MEGHMANI ORGANICS LIMITED</t>
  </si>
  <si>
    <t>INE898Q01015</t>
  </si>
  <si>
    <t>MIIL</t>
  </si>
  <si>
    <t>MEGHNA INFRACON INFRA L</t>
  </si>
  <si>
    <t>INE071D01033</t>
  </si>
  <si>
    <t>MENONBE</t>
  </si>
  <si>
    <t>MENON BEARINGS LIMITED</t>
  </si>
  <si>
    <t>INE650G01029</t>
  </si>
  <si>
    <t>MENNPIS</t>
  </si>
  <si>
    <t>MENON PISTONS LTD.</t>
  </si>
  <si>
    <t>INE776I01010</t>
  </si>
  <si>
    <t>MEP</t>
  </si>
  <si>
    <t>MEP INFRA. DEVELOPERS LTD</t>
  </si>
  <si>
    <t>INE689O01013</t>
  </si>
  <si>
    <t>MERCANTILE</t>
  </si>
  <si>
    <t>MERCANTILE VENTURES LTD.</t>
  </si>
  <si>
    <t>INE763M01028</t>
  </si>
  <si>
    <t>MERCURYEV</t>
  </si>
  <si>
    <t>MERCURY EV-TECH LIMITED</t>
  </si>
  <si>
    <t>INE1II801013</t>
  </si>
  <si>
    <t>METALIC</t>
  </si>
  <si>
    <t>METALIC TECHNOFORGE LTD</t>
  </si>
  <si>
    <t>INE317I01021</t>
  </si>
  <si>
    <t>METROBRAND</t>
  </si>
  <si>
    <t>METRO BRANDS LIMITED</t>
  </si>
  <si>
    <t>INE085D01033</t>
  </si>
  <si>
    <t>METROGLOBL</t>
  </si>
  <si>
    <t>METROGLOBAL LTD.</t>
  </si>
  <si>
    <t>INE112L01020</t>
  </si>
  <si>
    <t>METROPOLIS</t>
  </si>
  <si>
    <t>METROPOLIS HEALTHCARE LTD</t>
  </si>
  <si>
    <t>INE287C01037</t>
  </si>
  <si>
    <t>MICEL</t>
  </si>
  <si>
    <t>MIC ELECTRONICS LTD</t>
  </si>
  <si>
    <t>INE0XAD01024</t>
  </si>
  <si>
    <t>MIDWESTLTD</t>
  </si>
  <si>
    <t>MIDWEST LIMITED</t>
  </si>
  <si>
    <t>INE588G01021</t>
  </si>
  <si>
    <t>MLKFOOD</t>
  </si>
  <si>
    <t>MILKFOOD LTD.</t>
  </si>
  <si>
    <t>INE00IT01020</t>
  </si>
  <si>
    <t>MILKYMIST</t>
  </si>
  <si>
    <t>MILKY MIST DAIRY FOOD L</t>
  </si>
  <si>
    <t>INE097E01028</t>
  </si>
  <si>
    <t>MINALIND</t>
  </si>
  <si>
    <t>MINAL INDUSTRIES LTD.</t>
  </si>
  <si>
    <t>INE842C01021</t>
  </si>
  <si>
    <t>MINDACORP</t>
  </si>
  <si>
    <t>MINDA CORPORATION LTD</t>
  </si>
  <si>
    <t>INE0CCU25019</t>
  </si>
  <si>
    <t>MINDSPACE</t>
  </si>
  <si>
    <t>MINDSPACE BUSINESS P REIT</t>
  </si>
  <si>
    <t>INE110B01017</t>
  </si>
  <si>
    <t>MINDTECK</t>
  </si>
  <si>
    <t>MINDTECK (INDIA) LIMITED</t>
  </si>
  <si>
    <t>INF769K01KU7</t>
  </si>
  <si>
    <t>ALPHAETF</t>
  </si>
  <si>
    <t>MIRAEAMC - ALPHAETF</t>
  </si>
  <si>
    <t>INF769K01KR3</t>
  </si>
  <si>
    <t>BANKETF</t>
  </si>
  <si>
    <t>MIRAEAMC - BANKETF</t>
  </si>
  <si>
    <t>INF769K01LZ4</t>
  </si>
  <si>
    <t>BANKPSU</t>
  </si>
  <si>
    <t>MIRAEAMC - BANKPSU</t>
  </si>
  <si>
    <t>INF769K01NS5</t>
  </si>
  <si>
    <t>CONSUMER</t>
  </si>
  <si>
    <t>MIRAEAMC - CONSUMER</t>
  </si>
  <si>
    <t>INF769K01QC2</t>
  </si>
  <si>
    <t>DEFENCE</t>
  </si>
  <si>
    <t>MIRAEAMC - DEFENCE</t>
  </si>
  <si>
    <t>INF769K01PY8</t>
  </si>
  <si>
    <t>DIVIDEND</t>
  </si>
  <si>
    <t>MIRAEAMC - DIVIDEND</t>
  </si>
  <si>
    <t>INF769K01PR2</t>
  </si>
  <si>
    <t>ENERGY</t>
  </si>
  <si>
    <t>MIRAEAMC - ENERGY</t>
  </si>
  <si>
    <t>INF769K01OA1</t>
  </si>
  <si>
    <t>EQUAL200</t>
  </si>
  <si>
    <t>MIRAEAMC - EQUAL200</t>
  </si>
  <si>
    <t>INF769K01OO2</t>
  </si>
  <si>
    <t>EQUAL50</t>
  </si>
  <si>
    <t>MIRAEAMC - EQUAL50</t>
  </si>
  <si>
    <t>INF769K01LQ3</t>
  </si>
  <si>
    <t>EVINDIA</t>
  </si>
  <si>
    <t>MIRAEAMC - EVINDIA</t>
  </si>
  <si>
    <t>INF769K01QA6</t>
  </si>
  <si>
    <t>HEALTHCARE</t>
  </si>
  <si>
    <t>MIRAEAMC - HEALTHCARE</t>
  </si>
  <si>
    <t>INF769K01RJ5</t>
  </si>
  <si>
    <t>HYBRIDETF</t>
  </si>
  <si>
    <t>MIRAEAMC - HYBRIDETF</t>
  </si>
  <si>
    <t>INF769K01QB4</t>
  </si>
  <si>
    <t>INFRA</t>
  </si>
  <si>
    <t>MIRAEAMC - INFRA</t>
  </si>
  <si>
    <t>INF769K01PB6</t>
  </si>
  <si>
    <t>INTERNET</t>
  </si>
  <si>
    <t>MIRAEAMC - INTERNET</t>
  </si>
  <si>
    <t>INF769K01KV5</t>
  </si>
  <si>
    <t>ITETF</t>
  </si>
  <si>
    <t>MIRAEAMC - ITETF</t>
  </si>
  <si>
    <t>INF769K01RK3</t>
  </si>
  <si>
    <t>LARGEMID50</t>
  </si>
  <si>
    <t>MIRAEAMC - LARGEMID50</t>
  </si>
  <si>
    <t>INF769K01KS1</t>
  </si>
  <si>
    <t>LIQUID</t>
  </si>
  <si>
    <t>MIRAEAMC - LIQUID</t>
  </si>
  <si>
    <t>INF769K01MY5</t>
  </si>
  <si>
    <t>LIQUIDPLUS</t>
  </si>
  <si>
    <t>MIRAEAMC - LIQUIDPLUS</t>
  </si>
  <si>
    <t>INF769K01GS9</t>
  </si>
  <si>
    <t>ESG</t>
  </si>
  <si>
    <t>MIRAEAMC - MAESGETF</t>
  </si>
  <si>
    <t>INF769K01HF4</t>
  </si>
  <si>
    <t>MAFANG</t>
  </si>
  <si>
    <t>MIRAEAMC - MAFANG</t>
  </si>
  <si>
    <t>INF769K01HI8</t>
  </si>
  <si>
    <t>BFSI</t>
  </si>
  <si>
    <t>MIRAEAMC - MAFSETF</t>
  </si>
  <si>
    <t>INF769K01JP9</t>
  </si>
  <si>
    <t>GOLDETF</t>
  </si>
  <si>
    <t>MIRAEAMC - MAGOLDETF</t>
  </si>
  <si>
    <t>INF769K01KF8</t>
  </si>
  <si>
    <t>GSEC10YEAR</t>
  </si>
  <si>
    <t>MIRAEAMC - MAGS813ETF</t>
  </si>
  <si>
    <t>INF769K01HS7</t>
  </si>
  <si>
    <t>MAHKTECH</t>
  </si>
  <si>
    <t>MIRAEAMC - MAHKTECH</t>
  </si>
  <si>
    <t>INF769K01IC9</t>
  </si>
  <si>
    <t>MIDCAPETF</t>
  </si>
  <si>
    <t>MIRAEAMC - MAM150ETF</t>
  </si>
  <si>
    <t>INF769K01IB1</t>
  </si>
  <si>
    <t>MAKEINDIA</t>
  </si>
  <si>
    <t>MIRAEAMC - MAMFGETF</t>
  </si>
  <si>
    <t>INF769K01EG9</t>
  </si>
  <si>
    <t>NIFTYETF</t>
  </si>
  <si>
    <t>MIRAEAMC - MAN50ETF</t>
  </si>
  <si>
    <t>INF769K01JU9</t>
  </si>
  <si>
    <t>LOWVOL</t>
  </si>
  <si>
    <t>MIRAEAMC - MANV30F</t>
  </si>
  <si>
    <t>INF769K01FN2</t>
  </si>
  <si>
    <t>NEXT50</t>
  </si>
  <si>
    <t>MIRAEAMC - MANXT50</t>
  </si>
  <si>
    <t>INF769K01KG6</t>
  </si>
  <si>
    <t>SILVERAG</t>
  </si>
  <si>
    <t>MIRAEAMC - MASILVER</t>
  </si>
  <si>
    <t>INF769K01HP3</t>
  </si>
  <si>
    <t>MASPTOP50</t>
  </si>
  <si>
    <t>MIRAEAMC - MASPTOP50</t>
  </si>
  <si>
    <t>INF769K01LY7</t>
  </si>
  <si>
    <t>METAL</t>
  </si>
  <si>
    <t>MIRAEAMC - METAL</t>
  </si>
  <si>
    <t>INF769K01LJ8</t>
  </si>
  <si>
    <t>MIDSMALL</t>
  </si>
  <si>
    <t>MIRAEAMC - MIDSMALL</t>
  </si>
  <si>
    <t>INF769K01RC0</t>
  </si>
  <si>
    <t>MOMMIDCAP</t>
  </si>
  <si>
    <t>MIRAEAMC - MOMMIDCAP</t>
  </si>
  <si>
    <t>INF769K01LX9</t>
  </si>
  <si>
    <t>MULTICAP</t>
  </si>
  <si>
    <t>MIRAEAMC - MULTICAP</t>
  </si>
  <si>
    <t>INF769K01ON4</t>
  </si>
  <si>
    <t>SELECTIPO</t>
  </si>
  <si>
    <t>MIRAEAMC - SELECTIPO</t>
  </si>
  <si>
    <t>INF769K01KT9</t>
  </si>
  <si>
    <t>SENSEXETF</t>
  </si>
  <si>
    <t>MIRAEAMC - SENSEXETF</t>
  </si>
  <si>
    <t>INF769K01PQ4</t>
  </si>
  <si>
    <t>SMALL250</t>
  </si>
  <si>
    <t>MIRAEAMC - SMALL250</t>
  </si>
  <si>
    <t>INF769K01LC3</t>
  </si>
  <si>
    <t>SMALLCAP</t>
  </si>
  <si>
    <t>MIRAEAMC - SMALLCAP</t>
  </si>
  <si>
    <t>INF769K01PZ5</t>
  </si>
  <si>
    <t>TOP20</t>
  </si>
  <si>
    <t>MIRAEAMC - TOP20</t>
  </si>
  <si>
    <t>INF769K01QV2</t>
  </si>
  <si>
    <t>MIRAEAMC - VALUE</t>
  </si>
  <si>
    <t>INE771A01026</t>
  </si>
  <si>
    <t>MIRZAINT</t>
  </si>
  <si>
    <t>MIRZA INTERNATIONAL LIMIT</t>
  </si>
  <si>
    <t>INE099Z01011</t>
  </si>
  <si>
    <t>MIDHANI</t>
  </si>
  <si>
    <t>MISHRA DHATU NIGAM LTD</t>
  </si>
  <si>
    <t>INE828O01033</t>
  </si>
  <si>
    <t>MITCON</t>
  </si>
  <si>
    <t>MITCON CON &amp; ENG SER LTD</t>
  </si>
  <si>
    <t>INE997Y01027</t>
  </si>
  <si>
    <t>MITTAL</t>
  </si>
  <si>
    <t>MITTAL LIFE STYLE LIMITED</t>
  </si>
  <si>
    <t>INE227C01017</t>
  </si>
  <si>
    <t>MMFL</t>
  </si>
  <si>
    <t>MM FORGINGS LTD</t>
  </si>
  <si>
    <t>INE511Y01018</t>
  </si>
  <si>
    <t>MMP</t>
  </si>
  <si>
    <t>MMP INDUSTRIES LIMITED</t>
  </si>
  <si>
    <t>INE123F01029</t>
  </si>
  <si>
    <t>MMTC</t>
  </si>
  <si>
    <t>MMTC LIMITED</t>
  </si>
  <si>
    <t>INE794W01014</t>
  </si>
  <si>
    <t>MODTHREAD</t>
  </si>
  <si>
    <t>MODERN THREADS INDIA LTD</t>
  </si>
  <si>
    <t>INE537F01012</t>
  </si>
  <si>
    <t>MODINATUR</t>
  </si>
  <si>
    <t>MODI NATURALS LIMITED</t>
  </si>
  <si>
    <t>INE832A01018</t>
  </si>
  <si>
    <t>MODIRUBBER</t>
  </si>
  <si>
    <t>MODI RUBBER LTD</t>
  </si>
  <si>
    <t>INE0L0L01012</t>
  </si>
  <si>
    <t>MODIS</t>
  </si>
  <si>
    <t>MODIS NAVNIRMAN LTD</t>
  </si>
  <si>
    <t>INE737D01021</t>
  </si>
  <si>
    <t>MODISONLTD</t>
  </si>
  <si>
    <t>MODISON LIMITED</t>
  </si>
  <si>
    <t>INE450S01011</t>
  </si>
  <si>
    <t>MHHL</t>
  </si>
  <si>
    <t>MOHINI HEALTH&amp;HYGIENE LTD</t>
  </si>
  <si>
    <t>INE954E01012</t>
  </si>
  <si>
    <t>MOHITIND</t>
  </si>
  <si>
    <t>MOHIT INDUSTRIES LTD</t>
  </si>
  <si>
    <t>INE154B01023</t>
  </si>
  <si>
    <t>MOHITE</t>
  </si>
  <si>
    <t>MOHITE INDUSTRIES LTD.</t>
  </si>
  <si>
    <t>INE490G01020</t>
  </si>
  <si>
    <t>MOIL</t>
  </si>
  <si>
    <t>MOIL LIMITED</t>
  </si>
  <si>
    <t>INE514Y01020</t>
  </si>
  <si>
    <t>MOKSH</t>
  </si>
  <si>
    <t>MOKSH ORNAMENTS LIMITED</t>
  </si>
  <si>
    <t>INE869T01028</t>
  </si>
  <si>
    <t>MOLBIO</t>
  </si>
  <si>
    <t>MOLBIO DIAGNOSTICS LTD</t>
  </si>
  <si>
    <t>INE893J01029</t>
  </si>
  <si>
    <t>MOLDTKPAC</t>
  </si>
  <si>
    <t>MOLD-TEK PACKAGING LTD</t>
  </si>
  <si>
    <t>INE835B01035</t>
  </si>
  <si>
    <t>MOLDTECH</t>
  </si>
  <si>
    <t>MOLD-TEK TECHNOLOGIES LTD</t>
  </si>
  <si>
    <t>INE903D01011</t>
  </si>
  <si>
    <t>MONARCH</t>
  </si>
  <si>
    <t>MONARCH NETWORTH CAP LTD</t>
  </si>
  <si>
    <t>INE296Q01012</t>
  </si>
  <si>
    <t>MONEYBOXX</t>
  </si>
  <si>
    <t>MONEYBOXX FINANCE LIMITED</t>
  </si>
  <si>
    <t>INE0OIP01012</t>
  </si>
  <si>
    <t>MONOPHARMA</t>
  </si>
  <si>
    <t>MONO PHARMACARE LIMITED</t>
  </si>
  <si>
    <t>INE1DV401010</t>
  </si>
  <si>
    <t>MONOLITH</t>
  </si>
  <si>
    <t>MONOLITHISCH INDIA LTD</t>
  </si>
  <si>
    <t>INE950M01013</t>
  </si>
  <si>
    <t>MONTECARLO</t>
  </si>
  <si>
    <t>MONTE CARLO FASHIONS LTD.</t>
  </si>
  <si>
    <t>INE083A01026</t>
  </si>
  <si>
    <t>MOREPENLAB</t>
  </si>
  <si>
    <t>MOREPEN LAB. LTD</t>
  </si>
  <si>
    <t>INE0N7S01028</t>
  </si>
  <si>
    <t>MOS</t>
  </si>
  <si>
    <t>MOS UTILITY LIMITED</t>
  </si>
  <si>
    <t>INE935B01025</t>
  </si>
  <si>
    <t>MOSCHIP</t>
  </si>
  <si>
    <t>MOSCHIP TECHNOLOGIES LTD</t>
  </si>
  <si>
    <t>INE0FS801015</t>
  </si>
  <si>
    <t>MSUMI</t>
  </si>
  <si>
    <t>MOTHERSON SUMI WRNG IND L</t>
  </si>
  <si>
    <t>INF247L01023</t>
  </si>
  <si>
    <t>MOM100</t>
  </si>
  <si>
    <t>MOTILAL OS MIDCAP100 ETF</t>
  </si>
  <si>
    <t>INF247L01AP3</t>
  </si>
  <si>
    <t>MON100</t>
  </si>
  <si>
    <t>MOTILAL OS NASDAQ100 ETF</t>
  </si>
  <si>
    <t>INE338I01027</t>
  </si>
  <si>
    <t>MOTILALOFS</t>
  </si>
  <si>
    <t>MOTILAL OSWAL FIN LTD</t>
  </si>
  <si>
    <t>INF247L01536</t>
  </si>
  <si>
    <t>MOM50</t>
  </si>
  <si>
    <t>MOTILAL OSWAL M50 ETF</t>
  </si>
  <si>
    <t>INF247L01AK4</t>
  </si>
  <si>
    <t>MOGSEC</t>
  </si>
  <si>
    <t>MOTILALAMC - G5</t>
  </si>
  <si>
    <t>INF247L01FR8</t>
  </si>
  <si>
    <t>MOALPHA50</t>
  </si>
  <si>
    <t>MOTILALAMC - MOALPHA50</t>
  </si>
  <si>
    <t>INF247L01GV8</t>
  </si>
  <si>
    <t>MOBANK10</t>
  </si>
  <si>
    <t>MOTILALAMC - MOBANK10</t>
  </si>
  <si>
    <t>INF247L01EV3</t>
  </si>
  <si>
    <t>MOCAPITAL</t>
  </si>
  <si>
    <t>MOTILALAMC - MOCAPITAL</t>
  </si>
  <si>
    <t>INF247L01DJ0</t>
  </si>
  <si>
    <t>MODEFENCE</t>
  </si>
  <si>
    <t>MOTILALAMC - MODEFENCE</t>
  </si>
  <si>
    <t>INF247L01GH7</t>
  </si>
  <si>
    <t>MOENERGY</t>
  </si>
  <si>
    <t>MOTILALAMC - MOENERGY</t>
  </si>
  <si>
    <t>INF247L01FY4</t>
  </si>
  <si>
    <t>MOGOLD</t>
  </si>
  <si>
    <t>MOTILALAMC - MOGOLD</t>
  </si>
  <si>
    <t>INF247L01BB1</t>
  </si>
  <si>
    <t>MOHEALTH</t>
  </si>
  <si>
    <t>MOTILALAMC - MOHEALTH</t>
  </si>
  <si>
    <t>INF247L01FL1</t>
  </si>
  <si>
    <t>MOINFRA</t>
  </si>
  <si>
    <t>MOTILALAMC - MOINFRA</t>
  </si>
  <si>
    <t>INF247L01GI5</t>
  </si>
  <si>
    <t>MOIPO</t>
  </si>
  <si>
    <t>MOTILALAMC - MOIPO</t>
  </si>
  <si>
    <t>INF247L01BL0</t>
  </si>
  <si>
    <t>MOLOWVOL</t>
  </si>
  <si>
    <t>MOTILALAMC - MOLOWVOL</t>
  </si>
  <si>
    <t>INF247L01DK8</t>
  </si>
  <si>
    <t>MOMENTUM50</t>
  </si>
  <si>
    <t>MOTILALAMC - MOMENTUM50</t>
  </si>
  <si>
    <t>INF247L01HG7</t>
  </si>
  <si>
    <t>MOMETAL</t>
  </si>
  <si>
    <t>MOTILALAMC - MOMETAL</t>
  </si>
  <si>
    <t>INF247L01FK3</t>
  </si>
  <si>
    <t>MOMGF</t>
  </si>
  <si>
    <t>MOTILALAMC - MOMGF</t>
  </si>
  <si>
    <t>INF247L01FQ0</t>
  </si>
  <si>
    <t>MOMIDMTM</t>
  </si>
  <si>
    <t>MOTILALAMC - MOMIDMTM</t>
  </si>
  <si>
    <t>INF247L01GK1</t>
  </si>
  <si>
    <t>MOMNC</t>
  </si>
  <si>
    <t>MOTILALAMC - MOMNC</t>
  </si>
  <si>
    <t>INF247L01BK2</t>
  </si>
  <si>
    <t>MOMOMENTUM</t>
  </si>
  <si>
    <t>MOTILALAMC - MOMOMENTUM</t>
  </si>
  <si>
    <t>INF247L01FC0</t>
  </si>
  <si>
    <t>MON50EQUAL</t>
  </si>
  <si>
    <t>MOTILALAMC - MON50EQUAL</t>
  </si>
  <si>
    <t>INF247L01FD8</t>
  </si>
  <si>
    <t>MONEXT50</t>
  </si>
  <si>
    <t>MOTILALAMC - MONEXT50</t>
  </si>
  <si>
    <t>INF247L01GG9</t>
  </si>
  <si>
    <t>MONIFTY100</t>
  </si>
  <si>
    <t>MOTILALAMC - MONIFTY100</t>
  </si>
  <si>
    <t>INF247L01BU1</t>
  </si>
  <si>
    <t>MONIFTY500</t>
  </si>
  <si>
    <t>MOTILALAMC - MONIFTY500</t>
  </si>
  <si>
    <t>INF247L01AU3</t>
  </si>
  <si>
    <t>MONQ50</t>
  </si>
  <si>
    <t>MOTILALAMC - MONQ50</t>
  </si>
  <si>
    <t>INF247L01HH5</t>
  </si>
  <si>
    <t>MOOILGAS</t>
  </si>
  <si>
    <t>MOTILALAMC - MOOILGAS</t>
  </si>
  <si>
    <t>INF247L01FO5</t>
  </si>
  <si>
    <t>MOPSE</t>
  </si>
  <si>
    <t>MOTILALAMC - MOPSE</t>
  </si>
  <si>
    <t>INF247L01BH8</t>
  </si>
  <si>
    <t>MOQUALITY</t>
  </si>
  <si>
    <t>MOTILALAMC - MOQUALITY</t>
  </si>
  <si>
    <t>INF247L01CI4</t>
  </si>
  <si>
    <t>MOREALTY</t>
  </si>
  <si>
    <t>MOTILALAMC - MOREALTY</t>
  </si>
  <si>
    <t>INF247L01GJ3</t>
  </si>
  <si>
    <t>MOSERVICE</t>
  </si>
  <si>
    <t>MOTILALAMC - MOSERVICE</t>
  </si>
  <si>
    <t>INF247L01FZ1</t>
  </si>
  <si>
    <t>MOSILVER</t>
  </si>
  <si>
    <t>MOTILALAMC - MOSILVER</t>
  </si>
  <si>
    <t>INF247L01CH6</t>
  </si>
  <si>
    <t>MOSMALL250</t>
  </si>
  <si>
    <t>MOTILALAMC - MOSMALL250</t>
  </si>
  <si>
    <t>INF247L01FP2</t>
  </si>
  <si>
    <t>MOTOUR</t>
  </si>
  <si>
    <t>MOTILALAMC - MOTOUR</t>
  </si>
  <si>
    <t>INF247L01BE5</t>
  </si>
  <si>
    <t>MOVALUE</t>
  </si>
  <si>
    <t>MOTILALAMC - MOVALUE</t>
  </si>
  <si>
    <t>INE0FRK01020</t>
  </si>
  <si>
    <t>MOTISONS</t>
  </si>
  <si>
    <t>MOTISONS JEWELLERS LTD</t>
  </si>
  <si>
    <t>INE861B01023</t>
  </si>
  <si>
    <t>MOTOGENFIN</t>
  </si>
  <si>
    <t>MOTOR &amp; GENERAL FINANCE L</t>
  </si>
  <si>
    <t>INE0XM301010</t>
  </si>
  <si>
    <t>MMEL</t>
  </si>
  <si>
    <t>MOVING MEDIA ENTER LTD</t>
  </si>
  <si>
    <t>INE0N6D01014</t>
  </si>
  <si>
    <t>MOXSH</t>
  </si>
  <si>
    <t>MOXSH OVERSEAS EDUCON LTD</t>
  </si>
  <si>
    <t>INE493H01014</t>
  </si>
  <si>
    <t>MPDL</t>
  </si>
  <si>
    <t>MPDL LTD.</t>
  </si>
  <si>
    <t>INE356A01018</t>
  </si>
  <si>
    <t>MPHASIS</t>
  </si>
  <si>
    <t>MPHASIS LIMITED</t>
  </si>
  <si>
    <t>INE943D01017</t>
  </si>
  <si>
    <t>MPSLTD</t>
  </si>
  <si>
    <t>MPS LIMITED</t>
  </si>
  <si>
    <t>INE883A01011</t>
  </si>
  <si>
    <t>MRF</t>
  </si>
  <si>
    <t>MRF LTD</t>
  </si>
  <si>
    <t>INE103A01014</t>
  </si>
  <si>
    <t>MRPL</t>
  </si>
  <si>
    <t>INE495P01020</t>
  </si>
  <si>
    <t>BECTORFOOD</t>
  </si>
  <si>
    <t>MRS BECTORS FOOD SPE LTD</t>
  </si>
  <si>
    <t>INE752G01015</t>
  </si>
  <si>
    <t>MSPL</t>
  </si>
  <si>
    <t>MSP STEEL &amp; POWER LTD.</t>
  </si>
  <si>
    <t>INE255X01014</t>
  </si>
  <si>
    <t>MSTCLTD</t>
  </si>
  <si>
    <t>MSTC LIMITED</t>
  </si>
  <si>
    <t>INE472M01018</t>
  </si>
  <si>
    <t>MTEDUCARE</t>
  </si>
  <si>
    <t>MT EDUCARE LTD</t>
  </si>
  <si>
    <t>INE864I01014</t>
  </si>
  <si>
    <t>MTARTECH</t>
  </si>
  <si>
    <t>MTAR TECHNOLOGIES LIMITED</t>
  </si>
  <si>
    <t>INE08KJ01020</t>
  </si>
  <si>
    <t>MUFIN</t>
  </si>
  <si>
    <t>MUFIN GREEN FINANCE LTD</t>
  </si>
  <si>
    <t>INE304A01026</t>
  </si>
  <si>
    <t>MUKANDLTD</t>
  </si>
  <si>
    <t>MUKAND LTD.</t>
  </si>
  <si>
    <t>INE596B01017</t>
  </si>
  <si>
    <t>MUKESHB</t>
  </si>
  <si>
    <t>MUKESH BABU FINANC SER L</t>
  </si>
  <si>
    <t>INE0CG401037</t>
  </si>
  <si>
    <t>MUKKA</t>
  </si>
  <si>
    <t>MUKKA PROTEINS LIMITED</t>
  </si>
  <si>
    <t>INE374B01019</t>
  </si>
  <si>
    <t>MUKTAARTS</t>
  </si>
  <si>
    <t>MUKTA ARTS LIMITED</t>
  </si>
  <si>
    <t>INE745G01043</t>
  </si>
  <si>
    <t>MCX</t>
  </si>
  <si>
    <t>MULTI COMMODITY EXCHANGE</t>
  </si>
  <si>
    <t>INE1K8Y01018</t>
  </si>
  <si>
    <t>MUNISH</t>
  </si>
  <si>
    <t>MUNISH FORGE LIMITED</t>
  </si>
  <si>
    <t>INE672B01032</t>
  </si>
  <si>
    <t>MUNJALAU</t>
  </si>
  <si>
    <t>MUNJAL AUTO IND. LTD.</t>
  </si>
  <si>
    <t>INE577A01027</t>
  </si>
  <si>
    <t>MUNJALSHOW</t>
  </si>
  <si>
    <t>MUNJAL SHOWA LTD</t>
  </si>
  <si>
    <t>INE692B01014</t>
  </si>
  <si>
    <t>MURUDCERA</t>
  </si>
  <si>
    <t>MURUDESHWAR CERAMICS LTD</t>
  </si>
  <si>
    <t>INE919I01024</t>
  </si>
  <si>
    <t>RADIOCITY</t>
  </si>
  <si>
    <t>MUSIC BROADCAST LIMITED</t>
  </si>
  <si>
    <t>INE296G01013</t>
  </si>
  <si>
    <t>MUTHOOTCAP</t>
  </si>
  <si>
    <t>MUTHOOT CAP SERV LTD</t>
  </si>
  <si>
    <t>INE414G01012</t>
  </si>
  <si>
    <t>MUTHOOTFIN</t>
  </si>
  <si>
    <t>MUTHOOT FINANCE LIMITED</t>
  </si>
  <si>
    <t>INE046W01019</t>
  </si>
  <si>
    <t>MUTHOOTMF</t>
  </si>
  <si>
    <t>MUTHOOT MICROFIN LIMITED</t>
  </si>
  <si>
    <t>INE0OWZ01020</t>
  </si>
  <si>
    <t>MVELECTRO</t>
  </si>
  <si>
    <t>MV ELECTROSYSTEMS LIMITED</t>
  </si>
  <si>
    <t>INE0RVQ01016</t>
  </si>
  <si>
    <t>MYMUDRA</t>
  </si>
  <si>
    <t>MY MUDRA FINCORP LIMITED</t>
  </si>
  <si>
    <t>INE741A01011</t>
  </si>
  <si>
    <t>MYSORPETRO</t>
  </si>
  <si>
    <t>MYSORE PETRO CHEMICALS L</t>
  </si>
  <si>
    <t>INE740D01017</t>
  </si>
  <si>
    <t>NRAIL</t>
  </si>
  <si>
    <t>N R AGARWAL INDS LTD</t>
  </si>
  <si>
    <t>INE104101014</t>
  </si>
  <si>
    <t>NRVANDANA</t>
  </si>
  <si>
    <t>N R VANDANA TEX IND LTD</t>
  </si>
  <si>
    <t>INE920C01017</t>
  </si>
  <si>
    <t>NTCIND</t>
  </si>
  <si>
    <t>N T C INDUSTRIES LTD.</t>
  </si>
  <si>
    <t>INE365I01020</t>
  </si>
  <si>
    <t>NBIFIN</t>
  </si>
  <si>
    <t>N.B.I. IND. FIN. CO. LTD</t>
  </si>
  <si>
    <t>INE295D01020</t>
  </si>
  <si>
    <t>NACLIND</t>
  </si>
  <si>
    <t>NACL INDUSTRIES LIMITED</t>
  </si>
  <si>
    <t>INE756C01015</t>
  </si>
  <si>
    <t>NDGL</t>
  </si>
  <si>
    <t>NAGA DHUNSERI GROUP LTD</t>
  </si>
  <si>
    <t>INE245I01016</t>
  </si>
  <si>
    <t>NAGREEKCAP</t>
  </si>
  <si>
    <t>NAGREEKA CAP &amp; INFR.LTD</t>
  </si>
  <si>
    <t>INE123B01028</t>
  </si>
  <si>
    <t>NAGREEKEXP</t>
  </si>
  <si>
    <t>NAGREEKA EXPORTS LTD.</t>
  </si>
  <si>
    <t>INE049I01012</t>
  </si>
  <si>
    <t>NAHARCAP</t>
  </si>
  <si>
    <t>NAHAR CAP &amp; FIN.</t>
  </si>
  <si>
    <t>INE289A01011</t>
  </si>
  <si>
    <t>NAHARINDUS</t>
  </si>
  <si>
    <t>NAHAR INDS ENT LTD</t>
  </si>
  <si>
    <t>INE308A01027</t>
  </si>
  <si>
    <t>NAHARPOLY</t>
  </si>
  <si>
    <t>NAHAR POLY FILMS LIMITED</t>
  </si>
  <si>
    <t>INE290A01027</t>
  </si>
  <si>
    <t>NAHARSPING</t>
  </si>
  <si>
    <t>NAHAR SPINNING MILLS LTD.</t>
  </si>
  <si>
    <t>INE236Y01012</t>
  </si>
  <si>
    <t>NGIL</t>
  </si>
  <si>
    <t>NAKODA GROUP OF IND. LTD</t>
  </si>
  <si>
    <t>INE023A01030</t>
  </si>
  <si>
    <t>NSIL</t>
  </si>
  <si>
    <t>NALWA SONS INVESTMENT LTD</t>
  </si>
  <si>
    <t>INE08NZ01012</t>
  </si>
  <si>
    <t>NAMOEWASTE</t>
  </si>
  <si>
    <t>NAMO EWASTE MANAGEMENT L</t>
  </si>
  <si>
    <t>INE875G01048</t>
  </si>
  <si>
    <t>NDL</t>
  </si>
  <si>
    <t>NANDAN DENIM LIMITED</t>
  </si>
  <si>
    <t>INE696V01013</t>
  </si>
  <si>
    <t>JAIPURKURT</t>
  </si>
  <si>
    <t>NANDANI CREATION LIMITED</t>
  </si>
  <si>
    <t>INE410P01011</t>
  </si>
  <si>
    <t>NARAYANA HRUDAYALAYA LTD.</t>
  </si>
  <si>
    <t>INE117Z01029</t>
  </si>
  <si>
    <t>NARMADA</t>
  </si>
  <si>
    <t>NARMADA AGROBASE LIMITED</t>
  </si>
  <si>
    <t>INE987B01026</t>
  </si>
  <si>
    <t>NATCOPHARM</t>
  </si>
  <si>
    <t>NATCO PHARMA LTD.</t>
  </si>
  <si>
    <t>INE448G01010</t>
  </si>
  <si>
    <t>NATHBIOGEN</t>
  </si>
  <si>
    <t>NATH BIO-GENES (I) LTD</t>
  </si>
  <si>
    <t>INE139A01034</t>
  </si>
  <si>
    <t>NATIONALUM</t>
  </si>
  <si>
    <t>NATIONAL ALUMINIUM CO LTD</t>
  </si>
  <si>
    <t>INE870D01012</t>
  </si>
  <si>
    <t>NFL</t>
  </si>
  <si>
    <t>NATIONAL FERT. LTD</t>
  </si>
  <si>
    <t>INE166R01015</t>
  </si>
  <si>
    <t>NATIONSTD</t>
  </si>
  <si>
    <t>NATIONAL STAND (INDIA) L</t>
  </si>
  <si>
    <t>INE936B01015</t>
  </si>
  <si>
    <t>NATCAPSUQ</t>
  </si>
  <si>
    <t>NATURAL CAPSULES LIMITED</t>
  </si>
  <si>
    <t>INE725A01030</t>
  </si>
  <si>
    <t>NAVA</t>
  </si>
  <si>
    <t>NAVA LIMITED</t>
  </si>
  <si>
    <t>INE048G01026</t>
  </si>
  <si>
    <t>NAVINFLUOR</t>
  </si>
  <si>
    <t>NAVIN FLUORINE INT. LTD</t>
  </si>
  <si>
    <t>INE278M01019</t>
  </si>
  <si>
    <t>NAVKARCORP</t>
  </si>
  <si>
    <t>NAVKAR CORPORATION LTD.</t>
  </si>
  <si>
    <t>INE268H01044</t>
  </si>
  <si>
    <t>NAVKARURB</t>
  </si>
  <si>
    <t>NAVKAR URBANSTRUCTURE LTD</t>
  </si>
  <si>
    <t>INE060A01024</t>
  </si>
  <si>
    <t>NAVNETEDUL</t>
  </si>
  <si>
    <t>NAVNEET EDUCATION LTD</t>
  </si>
  <si>
    <t>INE418L01047</t>
  </si>
  <si>
    <t>NAZARA</t>
  </si>
  <si>
    <t>NAZARA TECHNOLOGIES LTD</t>
  </si>
  <si>
    <t>INE095N01031</t>
  </si>
  <si>
    <t>NBCC</t>
  </si>
  <si>
    <t>NBCC (INDIA) LIMITED</t>
  </si>
  <si>
    <t>INE868B01028</t>
  </si>
  <si>
    <t>NCC</t>
  </si>
  <si>
    <t>NCC LIMITED</t>
  </si>
  <si>
    <t>INE732C01016</t>
  </si>
  <si>
    <t>NCLIND</t>
  </si>
  <si>
    <t>NCL INDUSTRIES LIMITED</t>
  </si>
  <si>
    <t>INE353A01023</t>
  </si>
  <si>
    <t>NDLVENTURE</t>
  </si>
  <si>
    <t>NDL VENTURES LIMITED</t>
  </si>
  <si>
    <t>INE07OG01012</t>
  </si>
  <si>
    <t>NDRAUTO</t>
  </si>
  <si>
    <t>NDR AUTO COMPONENTS LTD</t>
  </si>
  <si>
    <t>INE155G01029</t>
  </si>
  <si>
    <t>NDTV</t>
  </si>
  <si>
    <t>NDTV LTD</t>
  </si>
  <si>
    <t>INE023H01027</t>
  </si>
  <si>
    <t>NECLIFE</t>
  </si>
  <si>
    <t>NECTAR LIFESCIENCES LTD.</t>
  </si>
  <si>
    <t>INE0N1401016</t>
  </si>
  <si>
    <t>NEELAM</t>
  </si>
  <si>
    <t>NEELAM LINENS &amp; GAR (I) L</t>
  </si>
  <si>
    <t>INE605D01012</t>
  </si>
  <si>
    <t>NEAGI</t>
  </si>
  <si>
    <t>NEELAMALAI AGRO INDS. L</t>
  </si>
  <si>
    <t>INE189I01024</t>
  </si>
  <si>
    <t>NELCAST</t>
  </si>
  <si>
    <t>NELCAST LIMITED</t>
  </si>
  <si>
    <t>INE045B01015</t>
  </si>
  <si>
    <t>NELCO</t>
  </si>
  <si>
    <t>NELCO LTD</t>
  </si>
  <si>
    <t>INE21UM01018</t>
  </si>
  <si>
    <t>NEOCHEM</t>
  </si>
  <si>
    <t>NEOCHEM BIO SOLUTIONS LTD</t>
  </si>
  <si>
    <t>INE136S01016</t>
  </si>
  <si>
    <t>NEOGEN</t>
  </si>
  <si>
    <t>NEOGEN CHEMICALS LIMITED</t>
  </si>
  <si>
    <t>INE0SUN01013</t>
  </si>
  <si>
    <t>NEPHROCARE</t>
  </si>
  <si>
    <t>NEPHRO CARE INDIA LIMITED</t>
  </si>
  <si>
    <t>INE428V01029</t>
  </si>
  <si>
    <t>NEPHROPLUS</t>
  </si>
  <si>
    <t>NEPHROCARE HEALTH SERV L</t>
  </si>
  <si>
    <t>INE156901014</t>
  </si>
  <si>
    <t>NEPTUNE</t>
  </si>
  <si>
    <t>NEPTUNE PETROCHEMICALS L</t>
  </si>
  <si>
    <t>INE317F01035</t>
  </si>
  <si>
    <t>NESCO</t>
  </si>
  <si>
    <t>NESCO LTD.</t>
  </si>
  <si>
    <t>INE239A01024</t>
  </si>
  <si>
    <t>NESTLEIND</t>
  </si>
  <si>
    <t>NESTLE INDIA LIMITED</t>
  </si>
  <si>
    <t>INE0NT901020</t>
  </si>
  <si>
    <t>NETWEB</t>
  </si>
  <si>
    <t>NETWEB TECH INDIA LTD</t>
  </si>
  <si>
    <t>INE0FFK01017</t>
  </si>
  <si>
    <t>NPST</t>
  </si>
  <si>
    <t>NETWORK PEOPLE SRV TECH L</t>
  </si>
  <si>
    <t>INE870H01013</t>
  </si>
  <si>
    <t>NETWORK18</t>
  </si>
  <si>
    <t>NETWORK18 MEDIA &amp; INV LTD</t>
  </si>
  <si>
    <t>INE333I01044</t>
  </si>
  <si>
    <t>NEUEON</t>
  </si>
  <si>
    <t>NEUEON CORPORATION LTD</t>
  </si>
  <si>
    <t>INE794A01010</t>
  </si>
  <si>
    <t>NEULANDLAB</t>
  </si>
  <si>
    <t>NEULAND LAB LTD.</t>
  </si>
  <si>
    <t>INE619B01017</t>
  </si>
  <si>
    <t>NEWGEN</t>
  </si>
  <si>
    <t>NEWGEN SOFTWARE TECH LTD</t>
  </si>
  <si>
    <t>INE0TP801012</t>
  </si>
  <si>
    <t>NMSTEEL</t>
  </si>
  <si>
    <t>NEWMALAYALAM STEEL LTD</t>
  </si>
  <si>
    <t>INE747B01016</t>
  </si>
  <si>
    <t>NEXTMEDIA</t>
  </si>
  <si>
    <t>NEXT MEDIAWORKS LIMITED</t>
  </si>
  <si>
    <t>INE0NDH25011</t>
  </si>
  <si>
    <t>NXST</t>
  </si>
  <si>
    <t>NEXUS SELECT TRUST</t>
  </si>
  <si>
    <t>INE0T1501010</t>
  </si>
  <si>
    <t>NFPSAMPOOR</t>
  </si>
  <si>
    <t>NFP SAMPOORNA FOODS LTD</t>
  </si>
  <si>
    <t>INE887E01022</t>
  </si>
  <si>
    <t>NGLFINE</t>
  </si>
  <si>
    <t>NGL FINE CHEM LIMITED</t>
  </si>
  <si>
    <t>INE848E01016</t>
  </si>
  <si>
    <t>NHPC</t>
  </si>
  <si>
    <t>NHPC LTD</t>
  </si>
  <si>
    <t>INE149O01018</t>
  </si>
  <si>
    <t>NIBE</t>
  </si>
  <si>
    <t>NIBE LIMITED</t>
  </si>
  <si>
    <t>INE653C01022</t>
  </si>
  <si>
    <t>NICCOPAR</t>
  </si>
  <si>
    <t>NICCO PARKS &amp; RESORTS LTD</t>
  </si>
  <si>
    <t>INE0J6L01013</t>
  </si>
  <si>
    <t>NIDAN</t>
  </si>
  <si>
    <t>NIDAN LABS AND HEALTH LTD</t>
  </si>
  <si>
    <t>INE342G01023</t>
  </si>
  <si>
    <t>NIITMTS</t>
  </si>
  <si>
    <t>NIIT LEARNING SYSTEMS LTD</t>
  </si>
  <si>
    <t>INE161A01038</t>
  </si>
  <si>
    <t>NIITLTD</t>
  </si>
  <si>
    <t>NIIT LIMITED</t>
  </si>
  <si>
    <t>INE937C01029</t>
  </si>
  <si>
    <t>NILAINFRA</t>
  </si>
  <si>
    <t>NILA INFRASTRUCTURES LTD</t>
  </si>
  <si>
    <t>INE00S901012</t>
  </si>
  <si>
    <t>NILASPACES</t>
  </si>
  <si>
    <t>NILA SPACES LIMITED</t>
  </si>
  <si>
    <t>INE445D01013</t>
  </si>
  <si>
    <t>NILE</t>
  </si>
  <si>
    <t>NILE LTD.</t>
  </si>
  <si>
    <t>INE310A01015</t>
  </si>
  <si>
    <t>NILKAMAL</t>
  </si>
  <si>
    <t>NILKAMAL LIMITED</t>
  </si>
  <si>
    <t>INE875B01015</t>
  </si>
  <si>
    <t>NIMBSPROJ</t>
  </si>
  <si>
    <t>NIMBUS PROJECTS LIMITED</t>
  </si>
  <si>
    <t>INE395U01014</t>
  </si>
  <si>
    <t>NINSYS</t>
  </si>
  <si>
    <t>NINTEC SYSTEMS LIMITED</t>
  </si>
  <si>
    <t>INF204KB15I9</t>
  </si>
  <si>
    <t>BANKBEES</t>
  </si>
  <si>
    <t>NIP IND ETF BANK BEES</t>
  </si>
  <si>
    <t>INF204KA1LD7</t>
  </si>
  <si>
    <t>CONSUMBEES</t>
  </si>
  <si>
    <t>NIP IND ETF CONSUMPTION</t>
  </si>
  <si>
    <t>INF204KA1MS3</t>
  </si>
  <si>
    <t>DIVOPPBEES</t>
  </si>
  <si>
    <t>NIP IND ETF DIV OPP</t>
  </si>
  <si>
    <t>INF204KB18I3</t>
  </si>
  <si>
    <t>NV20BEES</t>
  </si>
  <si>
    <t>NIP IND ETF ETF NV20</t>
  </si>
  <si>
    <t>INF204KB17I5</t>
  </si>
  <si>
    <t>GOLDBEES</t>
  </si>
  <si>
    <t>NIP IND ETF GOLD BEES</t>
  </si>
  <si>
    <t>INF204KB19I1</t>
  </si>
  <si>
    <t>HNGSNGBEES</t>
  </si>
  <si>
    <t>NIP IND ETF HANGSENG BEES</t>
  </si>
  <si>
    <t>INF732E01268</t>
  </si>
  <si>
    <t>INFRABEES</t>
  </si>
  <si>
    <t>NIP IND ETF INFRA BEES</t>
  </si>
  <si>
    <t>INF204KB15V2</t>
  </si>
  <si>
    <t>ITBEES</t>
  </si>
  <si>
    <t>NIP IND ETF IT</t>
  </si>
  <si>
    <t>INF732E01045</t>
  </si>
  <si>
    <t>JUNIORBEES</t>
  </si>
  <si>
    <t>NIP IND ETF JUNIOR BEES</t>
  </si>
  <si>
    <t>INF732E01037</t>
  </si>
  <si>
    <t>NIP IND ETF LIQUID BEES</t>
  </si>
  <si>
    <t>INF204KB1882</t>
  </si>
  <si>
    <t>LTGILTBEES</t>
  </si>
  <si>
    <t>NIP IND ETF LONGTERM GILT</t>
  </si>
  <si>
    <t>INF204KB1V68</t>
  </si>
  <si>
    <t>MID150BEES</t>
  </si>
  <si>
    <t>NIP IND ETF MIDCAP 150</t>
  </si>
  <si>
    <t>INF204K014N5</t>
  </si>
  <si>
    <t>NIF100BEES</t>
  </si>
  <si>
    <t>NIP IND ETF NIFTY 100</t>
  </si>
  <si>
    <t>INF204KB14I2</t>
  </si>
  <si>
    <t>NIFTYBEES</t>
  </si>
  <si>
    <t>NIP IND ETF NIFTY BEES</t>
  </si>
  <si>
    <t>INF204KB16I7</t>
  </si>
  <si>
    <t>PSUBNKBEES</t>
  </si>
  <si>
    <t>NIP IND ETF PSU BANK BEES</t>
  </si>
  <si>
    <t>INF732E01128</t>
  </si>
  <si>
    <t>SHARIABEES</t>
  </si>
  <si>
    <t>NIP IND ETF SHARIAH BEES</t>
  </si>
  <si>
    <t>INE298J01013</t>
  </si>
  <si>
    <t>NAM-INDIA</t>
  </si>
  <si>
    <t>NIPPON L I A M LTD</t>
  </si>
  <si>
    <t>INF204KC1FU1</t>
  </si>
  <si>
    <t>LIQGRWBEES</t>
  </si>
  <si>
    <t>NIPPONAMC - LIQGRWBEES</t>
  </si>
  <si>
    <t>INF204KC1GH6</t>
  </si>
  <si>
    <t>MANUFGBEES</t>
  </si>
  <si>
    <t>NIPPONAMC - MANUFGBEES</t>
  </si>
  <si>
    <t>INF204KC1337</t>
  </si>
  <si>
    <t>AUTOBEES</t>
  </si>
  <si>
    <t>NIPPONAMC - NETFAUTO</t>
  </si>
  <si>
    <t>INF204KC1089</t>
  </si>
  <si>
    <t>PHARMABEES</t>
  </si>
  <si>
    <t>NIPPONAMC - NETFPHARMA</t>
  </si>
  <si>
    <t>INF204KC1402</t>
  </si>
  <si>
    <t>SILVERBEES</t>
  </si>
  <si>
    <t>NIPPONAMC - NETFSILVER</t>
  </si>
  <si>
    <t>INF204KC1EZ3</t>
  </si>
  <si>
    <t>SNXT30BEES</t>
  </si>
  <si>
    <t>NIPPONAMC - SNXT30BEES</t>
  </si>
  <si>
    <t>INE368I01016</t>
  </si>
  <si>
    <t>NIRAJ</t>
  </si>
  <si>
    <t>NIRAJ CEMENT STRUC LTD</t>
  </si>
  <si>
    <t>INE326T01011</t>
  </si>
  <si>
    <t>NIRAJISPAT</t>
  </si>
  <si>
    <t>NIRAJ ISPAT IND LTD</t>
  </si>
  <si>
    <t>INE910A01012</t>
  </si>
  <si>
    <t>NIRLON</t>
  </si>
  <si>
    <t>NIRLON LTD</t>
  </si>
  <si>
    <t>INE0OK701014</t>
  </si>
  <si>
    <t>NIRMAN</t>
  </si>
  <si>
    <t>NIRMAN AGRI GENTICS LTD</t>
  </si>
  <si>
    <t>INE858F01012</t>
  </si>
  <si>
    <t>NITCO</t>
  </si>
  <si>
    <t>NITCO LIMITED</t>
  </si>
  <si>
    <t>INE229H01012</t>
  </si>
  <si>
    <t>NITINSPIN</t>
  </si>
  <si>
    <t>NITIN SPINNERS LIMITED</t>
  </si>
  <si>
    <t>INE439T01012</t>
  </si>
  <si>
    <t>NITIRAJ</t>
  </si>
  <si>
    <t>NITIRAJ ENGINEERS LTD</t>
  </si>
  <si>
    <t>INE265B01019</t>
  </si>
  <si>
    <t>NITTAGELA</t>
  </si>
  <si>
    <t>NITTA GELATIN INDIA LTD.</t>
  </si>
  <si>
    <t>INE995S01015</t>
  </si>
  <si>
    <t>NIVABUPA</t>
  </si>
  <si>
    <t>NIVA BUPA HEALTH INS CO L</t>
  </si>
  <si>
    <t>INE542C01019</t>
  </si>
  <si>
    <t>NKIND</t>
  </si>
  <si>
    <t>NK INDUSTRIES LTD</t>
  </si>
  <si>
    <t>INE589A01014</t>
  </si>
  <si>
    <t>NLCINDIA</t>
  </si>
  <si>
    <t>NLC INDIA LIMITED</t>
  </si>
  <si>
    <t>INE584A01023</t>
  </si>
  <si>
    <t>NMDC</t>
  </si>
  <si>
    <t>NMDC LTD.</t>
  </si>
  <si>
    <t>INE0NNS01018</t>
  </si>
  <si>
    <t>NSLNISP</t>
  </si>
  <si>
    <t>NMDC STEEL LIMITED</t>
  </si>
  <si>
    <t>INE163A01018</t>
  </si>
  <si>
    <t>NOCIL</t>
  </si>
  <si>
    <t>NOCIL LIMITED</t>
  </si>
  <si>
    <t>INE781B01015</t>
  </si>
  <si>
    <t>NOIDATOLL</t>
  </si>
  <si>
    <t>NOIDA TOLL BRIDGE CO LTD</t>
  </si>
  <si>
    <t>INE369C01017</t>
  </si>
  <si>
    <t>NORBTEAEXP</t>
  </si>
  <si>
    <t>NORBEN TEA &amp; EXPORTS LTD</t>
  </si>
  <si>
    <t>INE553C01016</t>
  </si>
  <si>
    <t>NECCLTD</t>
  </si>
  <si>
    <t>NORTH EAST CARRY CORP LTD</t>
  </si>
  <si>
    <t>INE850M01015</t>
  </si>
  <si>
    <t>NORTHARC</t>
  </si>
  <si>
    <t>NORTHERN ARC CAPITAL LTD</t>
  </si>
  <si>
    <t>INE02H701025</t>
  </si>
  <si>
    <t>NOVAAGRI</t>
  </si>
  <si>
    <t>NOVA AGRITECH LIMITED</t>
  </si>
  <si>
    <t>INE234A01025</t>
  </si>
  <si>
    <t>NOVARTIND</t>
  </si>
  <si>
    <t>NOVARTIS INDIA LIMITED</t>
  </si>
  <si>
    <t>INE349A01021</t>
  </si>
  <si>
    <t>NRBBEARING</t>
  </si>
  <si>
    <t>NRB BEARING LIMITED</t>
  </si>
  <si>
    <t>INE047O01014</t>
  </si>
  <si>
    <t>NIBL</t>
  </si>
  <si>
    <t>NRB INDUS. BEARINGS LTD.</t>
  </si>
  <si>
    <t>INE0ONG01011</t>
  </si>
  <si>
    <t>NTPCGREEN</t>
  </si>
  <si>
    <t>NTPC GREEN ENERGY LIMITED</t>
  </si>
  <si>
    <t>INE733E01010</t>
  </si>
  <si>
    <t>NTPC</t>
  </si>
  <si>
    <t>NTPC LTD</t>
  </si>
  <si>
    <t>INE096B01018</t>
  </si>
  <si>
    <t>NUCLEUS</t>
  </si>
  <si>
    <t>NUCLEUS SOFTWARE EXPORTS</t>
  </si>
  <si>
    <t>INE0JM501013</t>
  </si>
  <si>
    <t>NRL</t>
  </si>
  <si>
    <t>NUPUR RECYCLERS LIMITED</t>
  </si>
  <si>
    <t>INE0DSF01015</t>
  </si>
  <si>
    <t>NURECA</t>
  </si>
  <si>
    <t>NURECA LIMITED</t>
  </si>
  <si>
    <t>INE531F01023</t>
  </si>
  <si>
    <t>NUVAMA</t>
  </si>
  <si>
    <t>NUVAMA WEALTH MANAGE LTD</t>
  </si>
  <si>
    <t>INE118D01016</t>
  </si>
  <si>
    <t>NUVOCO</t>
  </si>
  <si>
    <t>NUVOCO VISTAS CORP LTD</t>
  </si>
  <si>
    <t>INE0SF023016</t>
  </si>
  <si>
    <t>NXT-INFRA</t>
  </si>
  <si>
    <t>NXT-INFRA TRUST</t>
  </si>
  <si>
    <t>INE426Z01016</t>
  </si>
  <si>
    <t>OBCL</t>
  </si>
  <si>
    <t>OBCL LIMITED</t>
  </si>
  <si>
    <t>INE093I01010</t>
  </si>
  <si>
    <t>OBEROIRLTY</t>
  </si>
  <si>
    <t>OBEROI REALTY LIMITED</t>
  </si>
  <si>
    <t>INE0YHV01011</t>
  </si>
  <si>
    <t>OBSCP</t>
  </si>
  <si>
    <t>OBSC PERFECTION LIMITED</t>
  </si>
  <si>
    <t>INE0PK601023</t>
  </si>
  <si>
    <t>OCCLLTD</t>
  </si>
  <si>
    <t>OCCL LIMITED</t>
  </si>
  <si>
    <t>INE054301028</t>
  </si>
  <si>
    <t>ODIGMA</t>
  </si>
  <si>
    <t>ODIGMA CONSULTANCY SOL L</t>
  </si>
  <si>
    <t>INE839E01023</t>
  </si>
  <si>
    <t>ODYCORP</t>
  </si>
  <si>
    <t>ODYSSEY CORPORATION LTD.</t>
  </si>
  <si>
    <t>INE213A01029</t>
  </si>
  <si>
    <t>ONGC</t>
  </si>
  <si>
    <t>OIL AND NATURAL GAS CORP.</t>
  </si>
  <si>
    <t>INE591A01010</t>
  </si>
  <si>
    <t>OILCOUNTUB</t>
  </si>
  <si>
    <t>OIL COUNTRY TUBULAR LTD.</t>
  </si>
  <si>
    <t>INE274J01014</t>
  </si>
  <si>
    <t>OIL</t>
  </si>
  <si>
    <t>OIL INDIA LTD</t>
  </si>
  <si>
    <t>INE0LXG01040</t>
  </si>
  <si>
    <t>OLAELEC</t>
  </si>
  <si>
    <t>OLA ELECTRIC MOBILITY LTD</t>
  </si>
  <si>
    <t>INE260D01016</t>
  </si>
  <si>
    <t>OLECTRA</t>
  </si>
  <si>
    <t>OLECTRA GREENTECH LIMITED</t>
  </si>
  <si>
    <t>INE1BZC01019</t>
  </si>
  <si>
    <t>OMFREIGHT</t>
  </si>
  <si>
    <t>OM FREIGHT FORWARDERS LTD</t>
  </si>
  <si>
    <t>INE239D01028</t>
  </si>
  <si>
    <t>OMINFRAL</t>
  </si>
  <si>
    <t>OM INFRA LIMITED</t>
  </si>
  <si>
    <t>INE25E901019</t>
  </si>
  <si>
    <t>OMPOWER</t>
  </si>
  <si>
    <t>OM POWER TRANSMISSION LTD</t>
  </si>
  <si>
    <t>INE090B01011</t>
  </si>
  <si>
    <t>OMAXAUTO</t>
  </si>
  <si>
    <t>OMAX AUTOS LTD</t>
  </si>
  <si>
    <t>INE800H01010</t>
  </si>
  <si>
    <t>OMAXE</t>
  </si>
  <si>
    <t>OMAXE LIMITED</t>
  </si>
  <si>
    <t>INE338Y01016</t>
  </si>
  <si>
    <t>OMFURN</t>
  </si>
  <si>
    <t>OMFURN INDIA LIMITED</t>
  </si>
  <si>
    <t>INE0UH301010</t>
  </si>
  <si>
    <t>OMNI</t>
  </si>
  <si>
    <t>OMNITECH ENGINEERING LTD</t>
  </si>
  <si>
    <t>INE00ER01015</t>
  </si>
  <si>
    <t>ONDOOR</t>
  </si>
  <si>
    <t>ON DOOR CONCEPTS LIMITED</t>
  </si>
  <si>
    <t>INE982J01020</t>
  </si>
  <si>
    <t>PAYTM</t>
  </si>
  <si>
    <t>ONE 97 COMMUNICATIONS LTD</t>
  </si>
  <si>
    <t>INE670O01013</t>
  </si>
  <si>
    <t>ONEGLOBAL</t>
  </si>
  <si>
    <t>ONE GLOBAL SERVICE PROV L</t>
  </si>
  <si>
    <t>INE0HLU01028</t>
  </si>
  <si>
    <t>MOBIKWIK</t>
  </si>
  <si>
    <t>ONE MOBIKWIK SYSTEMS LTD</t>
  </si>
  <si>
    <t>INE840Y01029</t>
  </si>
  <si>
    <t>ONEPOINT</t>
  </si>
  <si>
    <t>ONE POINT ONE SOL LTD</t>
  </si>
  <si>
    <t>INE0OPS01011</t>
  </si>
  <si>
    <t>OLIL</t>
  </si>
  <si>
    <t>ONECLICK LOGISTICS IND L</t>
  </si>
  <si>
    <t>INE912L01015</t>
  </si>
  <si>
    <t>ONELIFECAP</t>
  </si>
  <si>
    <t>ONELIFE CAP ADVISORS LTD</t>
  </si>
  <si>
    <t>INE12F801023</t>
  </si>
  <si>
    <t>KISSHT</t>
  </si>
  <si>
    <t>ONEMI TECHNOLOGY SOL LTD</t>
  </si>
  <si>
    <t>INE013P01021</t>
  </si>
  <si>
    <t>ONESOURCE</t>
  </si>
  <si>
    <t>ONESOURCE SPECL PHARMA L</t>
  </si>
  <si>
    <t>INE831A01028</t>
  </si>
  <si>
    <t>ONIDA</t>
  </si>
  <si>
    <t>ONIDA ELECTRONICS LIMITED</t>
  </si>
  <si>
    <t>INE173M01012</t>
  </si>
  <si>
    <t>ONIXSOLAR</t>
  </si>
  <si>
    <t>ONIX SOLAR ENERGY LTD.</t>
  </si>
  <si>
    <t>INE809I01019</t>
  </si>
  <si>
    <t>ONMOBILE</t>
  </si>
  <si>
    <t>ONMOBILE GLOBAL LTD.</t>
  </si>
  <si>
    <t>INE229A01017</t>
  </si>
  <si>
    <t>ONWARDTEC</t>
  </si>
  <si>
    <t>ONWARD TECHNOLOGIES LTD</t>
  </si>
  <si>
    <t>INE0WVU01018</t>
  </si>
  <si>
    <t>ONYX</t>
  </si>
  <si>
    <t>ONYX BIOTEC LIMITED</t>
  </si>
  <si>
    <t>INE350C01017</t>
  </si>
  <si>
    <t>OPTIEMUS</t>
  </si>
  <si>
    <t>OPTIEMUS INFRACOM LTD</t>
  </si>
  <si>
    <t>INE031G01022</t>
  </si>
  <si>
    <t>OPTIFIN</t>
  </si>
  <si>
    <t>OPTIMUS FINANCE LTD.</t>
  </si>
  <si>
    <t>INE1JZB01022</t>
  </si>
  <si>
    <t>OPTIMYSTIX</t>
  </si>
  <si>
    <t>OPTIMYSTIX ENT INDIA LTD</t>
  </si>
  <si>
    <t>INE15B101011</t>
  </si>
  <si>
    <t>OPTIVALUE</t>
  </si>
  <si>
    <t>OPTIVALUE TEK CONSULT LTD</t>
  </si>
  <si>
    <t>INE881D01027</t>
  </si>
  <si>
    <t>OFSS</t>
  </si>
  <si>
    <t>ORACLE FIN SERV SOFT LTD.</t>
  </si>
  <si>
    <t>INE231G01010</t>
  </si>
  <si>
    <t>ORBTEXP</t>
  </si>
  <si>
    <t>ORBIT EXPORTS LIMITED</t>
  </si>
  <si>
    <t>INE215B01022</t>
  </si>
  <si>
    <t>ORCHASP</t>
  </si>
  <si>
    <t>ORCHASP LIMITED</t>
  </si>
  <si>
    <t>INE191A01027</t>
  </si>
  <si>
    <t>ORCHPHARMA</t>
  </si>
  <si>
    <t>ORCHID PHARMA LIMITED</t>
  </si>
  <si>
    <t>INE0OUT01019</t>
  </si>
  <si>
    <t>ORIANA</t>
  </si>
  <si>
    <t>ORIANA POWER LIMITED</t>
  </si>
  <si>
    <t>INE730A01022</t>
  </si>
  <si>
    <t>ORICONENT</t>
  </si>
  <si>
    <t>ORICON ENTERPRISES LTD</t>
  </si>
  <si>
    <t>INE607D01018</t>
  </si>
  <si>
    <t>ORIENTBELL</t>
  </si>
  <si>
    <t>ORIENT BELL LIMITED</t>
  </si>
  <si>
    <t>INE876N01018</t>
  </si>
  <si>
    <t>ORIENTCEM</t>
  </si>
  <si>
    <t>ORIENT CEMENT LTD.</t>
  </si>
  <si>
    <t>INE569C01020</t>
  </si>
  <si>
    <t>ORIENTCER</t>
  </si>
  <si>
    <t>ORIENT CERATECH LIMITED</t>
  </si>
  <si>
    <t>INE142Z01019</t>
  </si>
  <si>
    <t>ORIENTELEC</t>
  </si>
  <si>
    <t>ORIENT ELECTRIC LIMITED</t>
  </si>
  <si>
    <t>INE999K01014</t>
  </si>
  <si>
    <t>GREENPOWER</t>
  </si>
  <si>
    <t>ORIENT GREEN POWER CO LTD</t>
  </si>
  <si>
    <t>INE750A01020</t>
  </si>
  <si>
    <t>ORIENTHOT</t>
  </si>
  <si>
    <t>ORIENT HOTELS LTD</t>
  </si>
  <si>
    <t>INE592A01026</t>
  </si>
  <si>
    <t>ORIENTPPR</t>
  </si>
  <si>
    <t>ORIENT PAPER AND INDS LTD</t>
  </si>
  <si>
    <t>INE609C01024</t>
  </si>
  <si>
    <t>ORIENTLTD</t>
  </si>
  <si>
    <t>ORIENT PRESS LIMITED</t>
  </si>
  <si>
    <t>INE0PPK01015</t>
  </si>
  <si>
    <t>ORIENTTECH</t>
  </si>
  <si>
    <t>ORIENT TECHNOLOGIES LTD</t>
  </si>
  <si>
    <t>INE959C01023</t>
  </si>
  <si>
    <t>OAL</t>
  </si>
  <si>
    <t>ORIENTAL AROMATICS LTD</t>
  </si>
  <si>
    <t>INE457G01029</t>
  </si>
  <si>
    <t>ORIRAIL</t>
  </si>
  <si>
    <t>ORIENTAL RAIL INFRA L</t>
  </si>
  <si>
    <t>INE998H01012</t>
  </si>
  <si>
    <t>ORIENTALTL</t>
  </si>
  <si>
    <t>ORIENTAL TRIMEX LTD</t>
  </si>
  <si>
    <t>INE725E01024</t>
  </si>
  <si>
    <t>ORISSAMINE</t>
  </si>
  <si>
    <t>ORISSA MIN DEV CO LTD</t>
  </si>
  <si>
    <t>INE16NZ01023</t>
  </si>
  <si>
    <t>ORKLAINDIA</t>
  </si>
  <si>
    <t>ORKLA INDIA LIMITED</t>
  </si>
  <si>
    <t>INE749B01020</t>
  </si>
  <si>
    <t>ORTINGLOBE</t>
  </si>
  <si>
    <t>ORTIN GLOBAL LIMITED</t>
  </si>
  <si>
    <t>INE0RMF01018</t>
  </si>
  <si>
    <t>OSELDEVICE</t>
  </si>
  <si>
    <t>OSEL DEVICES LIMITED</t>
  </si>
  <si>
    <t>INE06IR01021</t>
  </si>
  <si>
    <t>OSIAHYPER</t>
  </si>
  <si>
    <t>OSIA HYPER RETAIL LIMITED</t>
  </si>
  <si>
    <t>INE142A01012</t>
  </si>
  <si>
    <t>OSWALAGRO</t>
  </si>
  <si>
    <t>OSWAL AGRO MILLS LTD</t>
  </si>
  <si>
    <t>INE143A01010</t>
  </si>
  <si>
    <t>OSWALGREEN</t>
  </si>
  <si>
    <t>OSWAL GREENTECH LIMITED</t>
  </si>
  <si>
    <t>INE0BYP01024</t>
  </si>
  <si>
    <t>OSWALPUMPS</t>
  </si>
  <si>
    <t>OSWAL PUMPS LIMITED</t>
  </si>
  <si>
    <t>INE0R8M01017</t>
  </si>
  <si>
    <t>OWAIS</t>
  </si>
  <si>
    <t>OWAIS METAL &amp; MINERAL</t>
  </si>
  <si>
    <t>INE501F01018</t>
  </si>
  <si>
    <t>PBMPOLY</t>
  </si>
  <si>
    <t>P B M POLYTEX LTD.</t>
  </si>
  <si>
    <t>INE953R01016</t>
  </si>
  <si>
    <t>PNGJL</t>
  </si>
  <si>
    <t>P N GADGIL JEWELLERS LTD</t>
  </si>
  <si>
    <t>INE035S01028</t>
  </si>
  <si>
    <t>POEL</t>
  </si>
  <si>
    <t>P O C L ENTERPRISES LTD.</t>
  </si>
  <si>
    <t>INE0XUS01020</t>
  </si>
  <si>
    <t>PSRAJ</t>
  </si>
  <si>
    <t>P S RAJ STEELS LIMITED</t>
  </si>
  <si>
    <t>INE179A01014</t>
  </si>
  <si>
    <t>PGHH</t>
  </si>
  <si>
    <t>P&amp;G HYGIENE &amp; HEALTH CARE</t>
  </si>
  <si>
    <t>INE0KN801013</t>
  </si>
  <si>
    <t>PROPEQUITY</t>
  </si>
  <si>
    <t>P. E. ANALYTICS LIMITED</t>
  </si>
  <si>
    <t>INE0S3G01027</t>
  </si>
  <si>
    <t>PACEDIGITK</t>
  </si>
  <si>
    <t>PACE DIGITEK LIMITED</t>
  </si>
  <si>
    <t>INE883C01025</t>
  </si>
  <si>
    <t>PACIFICI</t>
  </si>
  <si>
    <t>PACIFIC INDUSTRIES LTD.</t>
  </si>
  <si>
    <t>INE761H01022</t>
  </si>
  <si>
    <t>PAGEIND</t>
  </si>
  <si>
    <t>PAGE INDUSTRIES LTD</t>
  </si>
  <si>
    <t>INE420C01059</t>
  </si>
  <si>
    <t>PAISALO</t>
  </si>
  <si>
    <t>PAISALO DIGITAL LIMITED</t>
  </si>
  <si>
    <t>INE551D01018</t>
  </si>
  <si>
    <t>PAKKA</t>
  </si>
  <si>
    <t>PAKKA LIMITED</t>
  </si>
  <si>
    <t>INE471W01019</t>
  </si>
  <si>
    <t>PALASHSECU</t>
  </si>
  <si>
    <t>PALASH SECURITIES LTD</t>
  </si>
  <si>
    <t>INE218G01033</t>
  </si>
  <si>
    <t>PALREDTEC</t>
  </si>
  <si>
    <t>PALRED TECHNOLOGIES LTD</t>
  </si>
  <si>
    <t>INE922B01023</t>
  </si>
  <si>
    <t>PANACEABIO</t>
  </si>
  <si>
    <t>PANACEA BIOTEC LTD</t>
  </si>
  <si>
    <t>INE895W01019</t>
  </si>
  <si>
    <t>PANACHE</t>
  </si>
  <si>
    <t>PANACHE DIGILIFE LIMITED</t>
  </si>
  <si>
    <t>INE305C01029</t>
  </si>
  <si>
    <t>PANAMAPET</t>
  </si>
  <si>
    <t>PANAMA PETROCHEM LTD</t>
  </si>
  <si>
    <t>INE798F01010</t>
  </si>
  <si>
    <t>PANCHMAHQ</t>
  </si>
  <si>
    <t>PANCHMAHAL STEEL LTD.</t>
  </si>
  <si>
    <t>INE258R01028</t>
  </si>
  <si>
    <t>PANORAMA</t>
  </si>
  <si>
    <t>PANORAMA STUDIOS INTL. L</t>
  </si>
  <si>
    <t>INE697V01011</t>
  </si>
  <si>
    <t>PANSARI</t>
  </si>
  <si>
    <t>PANSARI DEVELOPERS LTD</t>
  </si>
  <si>
    <t>INE04LG01015</t>
  </si>
  <si>
    <t>PAR</t>
  </si>
  <si>
    <t>PAR DRUGS AND CHEM LTD</t>
  </si>
  <si>
    <t>INE088F01024</t>
  </si>
  <si>
    <t>PARADEEP</t>
  </si>
  <si>
    <t>PARADEEP PHOSPHATES LTD</t>
  </si>
  <si>
    <t>INE883N01014</t>
  </si>
  <si>
    <t>PARAGMILK</t>
  </si>
  <si>
    <t>PARAG MILK FOODS LTD.</t>
  </si>
  <si>
    <t>INE0N4G01012</t>
  </si>
  <si>
    <t>PARAGON</t>
  </si>
  <si>
    <t>PARAGON FINE S.C. LTD.</t>
  </si>
  <si>
    <t>INE0S2W01018</t>
  </si>
  <si>
    <t>PARAMATRIX</t>
  </si>
  <si>
    <t>PARAMATRIX TECHNOLOGIES L</t>
  </si>
  <si>
    <t>INE074B01023</t>
  </si>
  <si>
    <t>PARACABLES</t>
  </si>
  <si>
    <t>PARAMOUNT COMM LTD</t>
  </si>
  <si>
    <t>INE0TG801013</t>
  </si>
  <si>
    <t>PARAMOUNT</t>
  </si>
  <si>
    <t>PARAMOUNT DYE TEC LIMITED</t>
  </si>
  <si>
    <t>INE045601023</t>
  </si>
  <si>
    <t>PARAS</t>
  </si>
  <si>
    <t>PARAS DEF AND SPCE TECH L</t>
  </si>
  <si>
    <t>INE162C01024</t>
  </si>
  <si>
    <t>PARASPETRO</t>
  </si>
  <si>
    <t>PARAS PETROFILS LTD.</t>
  </si>
  <si>
    <t>INE00U801010</t>
  </si>
  <si>
    <t>PARIN</t>
  </si>
  <si>
    <t>PARIN ENTERPRISES LIMITED</t>
  </si>
  <si>
    <t>INE119201023</t>
  </si>
  <si>
    <t>PARKHOSPS</t>
  </si>
  <si>
    <t>PARK MEDI WORLD LIMITED</t>
  </si>
  <si>
    <t>INE988S01028</t>
  </si>
  <si>
    <t>PARKHOTELS</t>
  </si>
  <si>
    <t>INE383L01019</t>
  </si>
  <si>
    <t>PARNAXLAB</t>
  </si>
  <si>
    <t>PARNAX LAB LTD.</t>
  </si>
  <si>
    <t>INE561H01026</t>
  </si>
  <si>
    <t>PARSVNATH</t>
  </si>
  <si>
    <t>PARSVNATH DEVELOPER LTD</t>
  </si>
  <si>
    <t>INE1H7V01011</t>
  </si>
  <si>
    <t>PARTH</t>
  </si>
  <si>
    <t>PARTH ELEC &amp; ENG LTD</t>
  </si>
  <si>
    <t>INE06ZX01015</t>
  </si>
  <si>
    <t>PARTYCRUS</t>
  </si>
  <si>
    <t>PARTY CRUISERS LIMITED</t>
  </si>
  <si>
    <t>INE124Y01028</t>
  </si>
  <si>
    <t>PASHUPATI</t>
  </si>
  <si>
    <t>PASHUPATI COTSPIN LIMITED</t>
  </si>
  <si>
    <t>INE818B01023</t>
  </si>
  <si>
    <t>PASUPTAC</t>
  </si>
  <si>
    <t>PASUPATI ACRYLON LIMITED</t>
  </si>
  <si>
    <t>INE619A01035</t>
  </si>
  <si>
    <t>PATANJALI</t>
  </si>
  <si>
    <t>PATANJALI FOODS LIMITED</t>
  </si>
  <si>
    <t>INE244B01030</t>
  </si>
  <si>
    <t>PATELENG</t>
  </si>
  <si>
    <t>PATEL ENGINEERING LTD.</t>
  </si>
  <si>
    <t>INE529D01014</t>
  </si>
  <si>
    <t>PATINTLOG</t>
  </si>
  <si>
    <t>PATEL INT. LOG. LTD</t>
  </si>
  <si>
    <t>INE0R8B01010</t>
  </si>
  <si>
    <t>PATELRMART</t>
  </si>
  <si>
    <t>PATEL RETAIL LIMITED</t>
  </si>
  <si>
    <t>INE17GV01016</t>
  </si>
  <si>
    <t>PATILAUTOM</t>
  </si>
  <si>
    <t>PATIL AUTOMATION LIMITED</t>
  </si>
  <si>
    <t>INE291E01019</t>
  </si>
  <si>
    <t>PML</t>
  </si>
  <si>
    <t>PAUL MERCHANTS LTD.</t>
  </si>
  <si>
    <t>INE111F01024</t>
  </si>
  <si>
    <t>PAUSHAKLTD</t>
  </si>
  <si>
    <t>PAUSHAK LIMITED</t>
  </si>
  <si>
    <t>INE07S101038</t>
  </si>
  <si>
    <t>PAVNAIND</t>
  </si>
  <si>
    <t>PAVNA INDUSTRIES LIMITED</t>
  </si>
  <si>
    <t>INE417T01026</t>
  </si>
  <si>
    <t>POLICYBZR</t>
  </si>
  <si>
    <t>PB FINTECH LIMITED</t>
  </si>
  <si>
    <t>INE785M01021</t>
  </si>
  <si>
    <t>PCJEWELLER</t>
  </si>
  <si>
    <t>PC JEWELLER LTD</t>
  </si>
  <si>
    <t>INE602A01031</t>
  </si>
  <si>
    <t>PCBL</t>
  </si>
  <si>
    <t>PCBL CHEMICAL LIMITED</t>
  </si>
  <si>
    <t>INE111Q01021</t>
  </si>
  <si>
    <t>PDSL</t>
  </si>
  <si>
    <t>PDS LIMITED</t>
  </si>
  <si>
    <t>INE940H01022</t>
  </si>
  <si>
    <t>PGIL</t>
  </si>
  <si>
    <t>PEARL GLOBAL IND LIMITED</t>
  </si>
  <si>
    <t>INE844A01013</t>
  </si>
  <si>
    <t>PEARLPOLY</t>
  </si>
  <si>
    <t>PEARL POLYMERS LTD</t>
  </si>
  <si>
    <t>INE0VG601013</t>
  </si>
  <si>
    <t>PELATRO</t>
  </si>
  <si>
    <t>PELATRO LIMITED</t>
  </si>
  <si>
    <t>INE138A01028</t>
  </si>
  <si>
    <t>PENINLAND</t>
  </si>
  <si>
    <t>PENINSULA LAND LIMITED</t>
  </si>
  <si>
    <t>INE932A01024</t>
  </si>
  <si>
    <t>PENIND</t>
  </si>
  <si>
    <t>PENNAR INDUSTRIES LTD</t>
  </si>
  <si>
    <t>INE0ORS01017</t>
  </si>
  <si>
    <t>PENTAGON</t>
  </si>
  <si>
    <t>PENTAGON RUBBER LIMITED</t>
  </si>
  <si>
    <t>INE925S01012</t>
  </si>
  <si>
    <t>PERFECT</t>
  </si>
  <si>
    <t>SZ</t>
  </si>
  <si>
    <t>PERFECT INFRAENGINEER LTD</t>
  </si>
  <si>
    <t>INE418E01018</t>
  </si>
  <si>
    <t>PERMAGN</t>
  </si>
  <si>
    <t>PERMANENT MAGNETS LTD.</t>
  </si>
  <si>
    <t>INE262H01021</t>
  </si>
  <si>
    <t>PERSISTENT</t>
  </si>
  <si>
    <t>PERSISTENT SYSTEMS LTD</t>
  </si>
  <si>
    <t>INE998U01015</t>
  </si>
  <si>
    <t>PCCL</t>
  </si>
  <si>
    <t>PETRO CARBON AND CHEMI L</t>
  </si>
  <si>
    <t>INE347G01014</t>
  </si>
  <si>
    <t>PETRONET</t>
  </si>
  <si>
    <t>PETRONET LNG LIMITED</t>
  </si>
  <si>
    <t>INE134E07DP0</t>
  </si>
  <si>
    <t>7PFCL31</t>
  </si>
  <si>
    <t>N3</t>
  </si>
  <si>
    <t>PFCL 7.00% 2031 SR I</t>
  </si>
  <si>
    <t>INE182A01018</t>
  </si>
  <si>
    <t>PFIZER</t>
  </si>
  <si>
    <t>PFIZER LTD</t>
  </si>
  <si>
    <t>INE457L01029</t>
  </si>
  <si>
    <t>PGEL</t>
  </si>
  <si>
    <t>PG ELECTROPLAST LTD</t>
  </si>
  <si>
    <t>INE0MLZ01019</t>
  </si>
  <si>
    <t>PHANTOMFX</t>
  </si>
  <si>
    <t>PHANTOM DIGITAL EFF LTD</t>
  </si>
  <si>
    <t>INE245B01011</t>
  </si>
  <si>
    <t>PHOENXINTL</t>
  </si>
  <si>
    <t>PHOENIX INTERNATIONAL LTD</t>
  </si>
  <si>
    <t>INE0FPO01018</t>
  </si>
  <si>
    <t>PHOGLOBAL</t>
  </si>
  <si>
    <t>PHOENIX OVERSEAS LIMITED</t>
  </si>
  <si>
    <t>INE0LP301011</t>
  </si>
  <si>
    <t>PWL</t>
  </si>
  <si>
    <t>PHYSICSWALLAH LIMITED</t>
  </si>
  <si>
    <t>INE603J01030</t>
  </si>
  <si>
    <t>PIIND</t>
  </si>
  <si>
    <t>PI INDUSTRIES LTD</t>
  </si>
  <si>
    <t>INE546C01010</t>
  </si>
  <si>
    <t>PICCADIL</t>
  </si>
  <si>
    <t>PICCADILY AGRO INDUSTRI L</t>
  </si>
  <si>
    <t>INE0YAL01017</t>
  </si>
  <si>
    <t>PPSL</t>
  </si>
  <si>
    <t>PICTUREPOST STUDIOS LTD</t>
  </si>
  <si>
    <t>INE318A01026</t>
  </si>
  <si>
    <t>PIDILITIND</t>
  </si>
  <si>
    <t>PIDILITE INDUSTRIES LTD</t>
  </si>
  <si>
    <t>INE600A01035</t>
  </si>
  <si>
    <t>PILITA</t>
  </si>
  <si>
    <t>PIL ITALICA LIFESTYLE LTD</t>
  </si>
  <si>
    <t>INE417C01014</t>
  </si>
  <si>
    <t>PILANIINVS</t>
  </si>
  <si>
    <t>PILANI INV &amp; IND COR LTD</t>
  </si>
  <si>
    <t>INE15B701018</t>
  </si>
  <si>
    <t>PINELABS</t>
  </si>
  <si>
    <t>PINE LABS LIMITED</t>
  </si>
  <si>
    <t>INE156C01018</t>
  </si>
  <si>
    <t>PIONEEREMB</t>
  </si>
  <si>
    <t>PIONEER EMBROIDERIES LTD</t>
  </si>
  <si>
    <t>INE746D01014</t>
  </si>
  <si>
    <t>PIONRINV</t>
  </si>
  <si>
    <t>PIONEER INVESTCORP LTD.</t>
  </si>
  <si>
    <t>INE202B01038</t>
  </si>
  <si>
    <t>PIRAMALFIN</t>
  </si>
  <si>
    <t>PIRAMAL FINANCE LIMITED</t>
  </si>
  <si>
    <t>INE0DK501011</t>
  </si>
  <si>
    <t>PPLPHARMA</t>
  </si>
  <si>
    <t>PIRAMAL PHARMA LIMITED</t>
  </si>
  <si>
    <t>INE450D01021</t>
  </si>
  <si>
    <t>PITTIENG</t>
  </si>
  <si>
    <t>PITTI ENGINEERING LIMITED</t>
  </si>
  <si>
    <t>INE751B01018</t>
  </si>
  <si>
    <t>PIXTRANS</t>
  </si>
  <si>
    <t>PIX TRANSMISSIONS LIMITED</t>
  </si>
  <si>
    <t>INE083C01022</t>
  </si>
  <si>
    <t>PLASTIBLEN</t>
  </si>
  <si>
    <t>PLASTIBLENDS INDIA LTD</t>
  </si>
  <si>
    <t>INE0PT501018</t>
  </si>
  <si>
    <t>PLATIND</t>
  </si>
  <si>
    <t>PLATINUM INDUSTRIES LTD</t>
  </si>
  <si>
    <t>INE0INJ01017</t>
  </si>
  <si>
    <t>PLAZACABLE</t>
  </si>
  <si>
    <t>PLAZA WIRES LIMITED</t>
  </si>
  <si>
    <t>INE859A01011</t>
  </si>
  <si>
    <t>PNBGILTS</t>
  </si>
  <si>
    <t>PNB GILTS LIMITED</t>
  </si>
  <si>
    <t>INE572E01012</t>
  </si>
  <si>
    <t>PNBHOUSING</t>
  </si>
  <si>
    <t>PNB HOUSING FIN LTD.</t>
  </si>
  <si>
    <t>INE195J01029</t>
  </si>
  <si>
    <t>PNCINFRA</t>
  </si>
  <si>
    <t>PNC INFRATECH LTD.</t>
  </si>
  <si>
    <t>INE1RDG01013</t>
  </si>
  <si>
    <t>PNGSREVA</t>
  </si>
  <si>
    <t>PNGS REVA DIAMOND JEWEL L</t>
  </si>
  <si>
    <t>INE371C01013</t>
  </si>
  <si>
    <t>PODDARMENT</t>
  </si>
  <si>
    <t>PODDAR PIGMENTS LIMITED</t>
  </si>
  <si>
    <t>INE637C01025</t>
  </si>
  <si>
    <t>POKARNA</t>
  </si>
  <si>
    <t>POKARNA LIMITED</t>
  </si>
  <si>
    <t>INE205C01021</t>
  </si>
  <si>
    <t>POLYMED</t>
  </si>
  <si>
    <t>POLY MEDICURE LIMITED</t>
  </si>
  <si>
    <t>INE455K01017</t>
  </si>
  <si>
    <t>POLYCAB</t>
  </si>
  <si>
    <t>POLYCAB INDIA LIMITED</t>
  </si>
  <si>
    <t>INE633B01018</t>
  </si>
  <si>
    <t>POLYPLEX</t>
  </si>
  <si>
    <t>POLYPLEX CORPORATION LTD</t>
  </si>
  <si>
    <t>INE517M01028</t>
  </si>
  <si>
    <t>POLYSIL</t>
  </si>
  <si>
    <t>POLYSIL IRRIGATION SYST L</t>
  </si>
  <si>
    <t>INE063E01061</t>
  </si>
  <si>
    <t>POCL</t>
  </si>
  <si>
    <t>PONDY OXIDES &amp; CHEM LTD</t>
  </si>
  <si>
    <t>INE838E01017</t>
  </si>
  <si>
    <t>PONNIERODE</t>
  </si>
  <si>
    <t>PONNIE SUGARS (ERODE) LTD</t>
  </si>
  <si>
    <t>INE511C01022</t>
  </si>
  <si>
    <t>POONAWALLA</t>
  </si>
  <si>
    <t>POONAWALLA FINCORP LTD</t>
  </si>
  <si>
    <t>INE772T01024</t>
  </si>
  <si>
    <t>PVSL</t>
  </si>
  <si>
    <t>POPULAR VEHICLES N SER L</t>
  </si>
  <si>
    <t>INE0S3H01017</t>
  </si>
  <si>
    <t>POSITRON</t>
  </si>
  <si>
    <t>POSITRON ENERGY LIMITED</t>
  </si>
  <si>
    <t>INE134E01011</t>
  </si>
  <si>
    <t>PFC</t>
  </si>
  <si>
    <t>POWER FIN CORP LTD.</t>
  </si>
  <si>
    <t>INE752E01010</t>
  </si>
  <si>
    <t>POWERGRID</t>
  </si>
  <si>
    <t>POWER GRID CORP. LTD.</t>
  </si>
  <si>
    <t>INE557Z01018</t>
  </si>
  <si>
    <t>PIGL</t>
  </si>
  <si>
    <t>POWER INSTRUMENT (G) LTD</t>
  </si>
  <si>
    <t>INE211R01019</t>
  </si>
  <si>
    <t>POWER MECH PROJECTS LTD.</t>
  </si>
  <si>
    <t>INE0GGX23010</t>
  </si>
  <si>
    <t>PGINVIT</t>
  </si>
  <si>
    <t>POWERGRID INFRA. INVITS</t>
  </si>
  <si>
    <t>INE921L01032</t>
  </si>
  <si>
    <t>POWERICA</t>
  </si>
  <si>
    <t>POWERICA LIMITED</t>
  </si>
  <si>
    <t>INE095I01015</t>
  </si>
  <si>
    <t>PPAP</t>
  </si>
  <si>
    <t>PPAP AUTOMOTIVE LIMITED</t>
  </si>
  <si>
    <t>INE0I0M01023</t>
  </si>
  <si>
    <t>PRABHA</t>
  </si>
  <si>
    <t>PRABHA ENERGY LIMITED</t>
  </si>
  <si>
    <t>INE770A01010</t>
  </si>
  <si>
    <t>PRADPME</t>
  </si>
  <si>
    <t>PRADEEP METALS LTD.</t>
  </si>
  <si>
    <t>INE074A01025</t>
  </si>
  <si>
    <t>PRAJIND</t>
  </si>
  <si>
    <t>PRAJ INDUSTRIES LTD</t>
  </si>
  <si>
    <t>INE505C01016</t>
  </si>
  <si>
    <t>PRAENG</t>
  </si>
  <si>
    <t>PRAJAY ENG. SYN. LTD.</t>
  </si>
  <si>
    <t>INE603A01013</t>
  </si>
  <si>
    <t>PRAKASH</t>
  </si>
  <si>
    <t>PRAKASH INDUSTRIES LTD</t>
  </si>
  <si>
    <t>INE050001010</t>
  </si>
  <si>
    <t>PPL</t>
  </si>
  <si>
    <t>PRAKASH PIPES LIMITED</t>
  </si>
  <si>
    <t>INE696K01024</t>
  </si>
  <si>
    <t>PRAKASHSTL</t>
  </si>
  <si>
    <t>PRAKASH STEELAGE LTD</t>
  </si>
  <si>
    <t>INE0O7A01017</t>
  </si>
  <si>
    <t>PRAMARA</t>
  </si>
  <si>
    <t>PRAMARA PROMOTIONS LTD</t>
  </si>
  <si>
    <t>INE2JG601017</t>
  </si>
  <si>
    <t>PRAMODINI</t>
  </si>
  <si>
    <t>PRAMODINI MEDICARE LTD</t>
  </si>
  <si>
    <t>INE393P01035</t>
  </si>
  <si>
    <t>DIAMONDYD</t>
  </si>
  <si>
    <t>PRATAAP SNACKS LIMITED</t>
  </si>
  <si>
    <t>INE0QA601016</t>
  </si>
  <si>
    <t>PRATHAM</t>
  </si>
  <si>
    <t>PRATHAM EPC PROJECTS LTD</t>
  </si>
  <si>
    <t>INE722B01019</t>
  </si>
  <si>
    <t>PRAVEG</t>
  </si>
  <si>
    <t>PRAVEG LTD.</t>
  </si>
  <si>
    <t>INE546Y01022</t>
  </si>
  <si>
    <t>PRAXIS</t>
  </si>
  <si>
    <t>PRAXIS HOME RETAIL LTD</t>
  </si>
  <si>
    <t>INE484I01029</t>
  </si>
  <si>
    <t>PRECAM</t>
  </si>
  <si>
    <t>PRECISION CAMSHAFTS LTD.</t>
  </si>
  <si>
    <t>INE0HKW01018</t>
  </si>
  <si>
    <t>PRECISION</t>
  </si>
  <si>
    <t>PRECISION METALIKS LTD</t>
  </si>
  <si>
    <t>INE372C01037</t>
  </si>
  <si>
    <t>PRECWIRE</t>
  </si>
  <si>
    <t>PRECISION WIRES INDIA LTD</t>
  </si>
  <si>
    <t>INE283A01014</t>
  </si>
  <si>
    <t>PRECOT</t>
  </si>
  <si>
    <t>PRECOT LIMITED</t>
  </si>
  <si>
    <t>INE001E01012</t>
  </si>
  <si>
    <t>PREMCO</t>
  </si>
  <si>
    <t>PREMCO GLOBAL LTD.</t>
  </si>
  <si>
    <t>INE0BS701011</t>
  </si>
  <si>
    <t>PREMIERENE</t>
  </si>
  <si>
    <t>PREMIER ENERGIES LIMITED</t>
  </si>
  <si>
    <t>INE863B01029</t>
  </si>
  <si>
    <t>PREMEXPLN</t>
  </si>
  <si>
    <t>PREMIER EXPLOSIVES LTD</t>
  </si>
  <si>
    <t>INE342A01018</t>
  </si>
  <si>
    <t>PREMIER</t>
  </si>
  <si>
    <t>PREMIER LIMITED</t>
  </si>
  <si>
    <t>INE309M01020</t>
  </si>
  <si>
    <t>PREMIERPOL</t>
  </si>
  <si>
    <t>PREMIER POLYFILM LTD</t>
  </si>
  <si>
    <t>INE0CFG01012</t>
  </si>
  <si>
    <t>PRLIND</t>
  </si>
  <si>
    <t>PREMIER ROADLINES LIMITED</t>
  </si>
  <si>
    <t>INE0M1F01011</t>
  </si>
  <si>
    <t>PREMIUM</t>
  </si>
  <si>
    <t>PREMIUM PLAST LIMITED</t>
  </si>
  <si>
    <t>INE0R1601012</t>
  </si>
  <si>
    <t>PRESSTONIC</t>
  </si>
  <si>
    <t>PRESSTONIC ENGINEERING L</t>
  </si>
  <si>
    <t>INE811K01011</t>
  </si>
  <si>
    <t>PRESTIGE</t>
  </si>
  <si>
    <t>PRESTIGE ESTATE LTD</t>
  </si>
  <si>
    <t>INE726V01018</t>
  </si>
  <si>
    <t>PRICOLLTD</t>
  </si>
  <si>
    <t>PRICOL LIMITED</t>
  </si>
  <si>
    <t>INE0CQA01020</t>
  </si>
  <si>
    <t>PRIMECAB</t>
  </si>
  <si>
    <t>PRIME CABLE INDUSTRIES L</t>
  </si>
  <si>
    <t>INE367G01038</t>
  </si>
  <si>
    <t>PFOCUS</t>
  </si>
  <si>
    <t>PRIME FOCUS LIMITED</t>
  </si>
  <si>
    <t>INE032B01021</t>
  </si>
  <si>
    <t>PRIMESECU</t>
  </si>
  <si>
    <t>PRIME SECURITIES LIMITED</t>
  </si>
  <si>
    <t>INE607A01022</t>
  </si>
  <si>
    <t>PRIMO</t>
  </si>
  <si>
    <t>PRIMO CHEMICALS LIMITED</t>
  </si>
  <si>
    <t>INE689W01016</t>
  </si>
  <si>
    <t>PRINCEPIPE</t>
  </si>
  <si>
    <t>PRINCE PIPES FITTINGS LTD</t>
  </si>
  <si>
    <t>INE15EH01014</t>
  </si>
  <si>
    <t>PRIORITY</t>
  </si>
  <si>
    <t>PRIORITY JEWELS LIMITED</t>
  </si>
  <si>
    <t>INE010A01011</t>
  </si>
  <si>
    <t>PRSMJOHNSN</t>
  </si>
  <si>
    <t>PRISM JOHNSON LIMITED</t>
  </si>
  <si>
    <t>INE286N01028</t>
  </si>
  <si>
    <t>PRISMX</t>
  </si>
  <si>
    <t>PRISMX GLOBAL VENTURES L</t>
  </si>
  <si>
    <t>INE974Z01015</t>
  </si>
  <si>
    <t>PRITI</t>
  </si>
  <si>
    <t>PRITI INTERNATIONAL LTD</t>
  </si>
  <si>
    <t>INE583R01029</t>
  </si>
  <si>
    <t>PRITIKAUTO</t>
  </si>
  <si>
    <t>PRITIKA AUTO INDUS LTD</t>
  </si>
  <si>
    <t>INE0MJQ01020</t>
  </si>
  <si>
    <t>PRITIKA</t>
  </si>
  <si>
    <t>PRITIKA ENG COMPO LTD</t>
  </si>
  <si>
    <t>INE392B01011</t>
  </si>
  <si>
    <t>PNC</t>
  </si>
  <si>
    <t>PRITISH NANDY COMMUNICATI</t>
  </si>
  <si>
    <t>INE959A01019</t>
  </si>
  <si>
    <t>PRIVISCL</t>
  </si>
  <si>
    <t>PRIVI SPECIALITY CHE LTD</t>
  </si>
  <si>
    <t>INE0V9N01017</t>
  </si>
  <si>
    <t>PRIZOR</t>
  </si>
  <si>
    <t>PRIZOR VIZTECH LIMITED</t>
  </si>
  <si>
    <t>INE199A01012</t>
  </si>
  <si>
    <t>PGHL</t>
  </si>
  <si>
    <t>PROCTER &amp; GAMBLE HEALTH L</t>
  </si>
  <si>
    <t>INE1FFX01018</t>
  </si>
  <si>
    <t>PROPSHOP</t>
  </si>
  <si>
    <t>PROPSHOP EVENTS AND EXH L</t>
  </si>
  <si>
    <t>INE0BX301013</t>
  </si>
  <si>
    <t>PROSTARM</t>
  </si>
  <si>
    <t>PROSTARM INFO SYSTEMS LTD</t>
  </si>
  <si>
    <t>INE004A01022</t>
  </si>
  <si>
    <t>PROTEAN</t>
  </si>
  <si>
    <t>PROTEAN EGOV TECHNO LTD</t>
  </si>
  <si>
    <t>INE0ONE01016</t>
  </si>
  <si>
    <t>PROV</t>
  </si>
  <si>
    <t>PROVENTUS AGROCOM LIMITED</t>
  </si>
  <si>
    <t>INE195N01013</t>
  </si>
  <si>
    <t>PROZONER</t>
  </si>
  <si>
    <t>PROZONE REALTY LIMITED</t>
  </si>
  <si>
    <t>INE00F201020</t>
  </si>
  <si>
    <t>PRUDENT</t>
  </si>
  <si>
    <t>PRUDENT CORP ADV SER LTD</t>
  </si>
  <si>
    <t>INE024D01016</t>
  </si>
  <si>
    <t>PRUDMOULI</t>
  </si>
  <si>
    <t>PRUDENTIAL SUGAR CORPORAT</t>
  </si>
  <si>
    <t>INE488V01015</t>
  </si>
  <si>
    <t>PSPPROJECT</t>
  </si>
  <si>
    <t>PSP PROJECTS LIMITED</t>
  </si>
  <si>
    <t>INE560K01014</t>
  </si>
  <si>
    <t>PFS</t>
  </si>
  <si>
    <t>PTC INDIA FIN SERV LTD</t>
  </si>
  <si>
    <t>INE877F01012</t>
  </si>
  <si>
    <t>PTC</t>
  </si>
  <si>
    <t>PTC INDIA LIMITED</t>
  </si>
  <si>
    <t>INE596F01018</t>
  </si>
  <si>
    <t>PTCIL</t>
  </si>
  <si>
    <t>PTC INDUSTRIES LIMITED</t>
  </si>
  <si>
    <t>INE034D01049</t>
  </si>
  <si>
    <t>PTL</t>
  </si>
  <si>
    <t>PTL ENTERPRISES LTD</t>
  </si>
  <si>
    <t>INE865T01018</t>
  </si>
  <si>
    <t>PDMJEPAPER</t>
  </si>
  <si>
    <t>PUDUMJEE PAPER PRO. LTD</t>
  </si>
  <si>
    <t>INE335X01014</t>
  </si>
  <si>
    <t>PULZ</t>
  </si>
  <si>
    <t>PULZ ELECTRONICS LIMITED</t>
  </si>
  <si>
    <t>INE608A01012</t>
  </si>
  <si>
    <t>PSB</t>
  </si>
  <si>
    <t>PUNJAB &amp; SIND BANK</t>
  </si>
  <si>
    <t>INE277B01014</t>
  </si>
  <si>
    <t>PUNJABCHEM</t>
  </si>
  <si>
    <t>PUNJAB CHEM &amp; CROP PROT L</t>
  </si>
  <si>
    <t>INE160A01022</t>
  </si>
  <si>
    <t>PNB</t>
  </si>
  <si>
    <t>PUNJAB NATIONAL BANK</t>
  </si>
  <si>
    <t>INE323I01011</t>
  </si>
  <si>
    <t>PURVA</t>
  </si>
  <si>
    <t>PURAVANKARA LIMITED</t>
  </si>
  <si>
    <t>INE0I1B01016</t>
  </si>
  <si>
    <t>PERNIASPOP</t>
  </si>
  <si>
    <t>PURPLE STYLE LABS LIMITED</t>
  </si>
  <si>
    <t>INE0P5R01014</t>
  </si>
  <si>
    <t>PURPLEUTED</t>
  </si>
  <si>
    <t>PURPLE UNITED SALES LTD</t>
  </si>
  <si>
    <t>INE0R6C01012</t>
  </si>
  <si>
    <t>PURVFLEXI</t>
  </si>
  <si>
    <t>PURV FLEXIPACK LIMITED</t>
  </si>
  <si>
    <t>INE362A01016</t>
  </si>
  <si>
    <t>PVP</t>
  </si>
  <si>
    <t>PVP VENTURES LIMITED</t>
  </si>
  <si>
    <t>INE191H01014</t>
  </si>
  <si>
    <t>PVRINOX</t>
  </si>
  <si>
    <t>PVR INOX LIMITED</t>
  </si>
  <si>
    <t>INE0MIS01010</t>
  </si>
  <si>
    <t>PYRAMID</t>
  </si>
  <si>
    <t>PYRAMID TECHNOPLAST LTD</t>
  </si>
  <si>
    <t>INE1G2W01011</t>
  </si>
  <si>
    <t>QLINE</t>
  </si>
  <si>
    <t>Q-LINE BIOTECH LIMITED</t>
  </si>
  <si>
    <t>INE0FMW01018</t>
  </si>
  <si>
    <t>QMSMEDI</t>
  </si>
  <si>
    <t>QMS MEDICAL ALLIED S LTD</t>
  </si>
  <si>
    <t>INE0GOJ01027</t>
  </si>
  <si>
    <t>QUADPRO</t>
  </si>
  <si>
    <t>QUADPRO ITES LIMITED</t>
  </si>
  <si>
    <t>INE0LRY01011</t>
  </si>
  <si>
    <t>QUADFUTURE</t>
  </si>
  <si>
    <t>QUADRANT FUTURE TEK LTD</t>
  </si>
  <si>
    <t>INE0SII01026</t>
  </si>
  <si>
    <t>QPOWER</t>
  </si>
  <si>
    <t>QUALITY POWER ELEC EQUP L</t>
  </si>
  <si>
    <t>INF082J01408</t>
  </si>
  <si>
    <t>QGOLDHALF</t>
  </si>
  <si>
    <t>QUANTUM GOLD ETF</t>
  </si>
  <si>
    <t>INF082J01499</t>
  </si>
  <si>
    <t>QNIFTY</t>
  </si>
  <si>
    <t>QUANTUM NIFTY 50 ETF</t>
  </si>
  <si>
    <t>INF966L01EI5</t>
  </si>
  <si>
    <t>SILVER001</t>
  </si>
  <si>
    <t>QUANT_AMC - SILVER001</t>
  </si>
  <si>
    <t>INE615P01015</t>
  </si>
  <si>
    <t>QUESS</t>
  </si>
  <si>
    <t>QUESS CORP LIMITED</t>
  </si>
  <si>
    <t>INE0TNW01017</t>
  </si>
  <si>
    <t>QUESTLAB</t>
  </si>
  <si>
    <t>QUEST LABORATORIES LTD</t>
  </si>
  <si>
    <t>INE306L01010</t>
  </si>
  <si>
    <t>QUICKHEAL</t>
  </si>
  <si>
    <t>QUICK HEAL TECH LTD</t>
  </si>
  <si>
    <t>INE641R01017</t>
  </si>
  <si>
    <t>QUINT</t>
  </si>
  <si>
    <t>QUINT DIGITAL LTD.</t>
  </si>
  <si>
    <t>INE0KZF01015</t>
  </si>
  <si>
    <t>QVCEL</t>
  </si>
  <si>
    <t>QVC EXPORTS LIMITED</t>
  </si>
  <si>
    <t>INE0NQ801033</t>
  </si>
  <si>
    <t>RKSWAMY</t>
  </si>
  <si>
    <t>R K SWAMY LIMITED</t>
  </si>
  <si>
    <t>INE219Y01026</t>
  </si>
  <si>
    <t>RMDRIP</t>
  </si>
  <si>
    <t>R M DRIP &amp; SPRINK SYS LTD</t>
  </si>
  <si>
    <t>INE951M01037</t>
  </si>
  <si>
    <t>RRIL</t>
  </si>
  <si>
    <t>R R I L LTD.</t>
  </si>
  <si>
    <t>INE777K01022</t>
  </si>
  <si>
    <t>RRKABEL</t>
  </si>
  <si>
    <t>R R KABEL LIMITED</t>
  </si>
  <si>
    <t>INE616F01022</t>
  </si>
  <si>
    <t>RSDFIN</t>
  </si>
  <si>
    <t>R S D FINANCE LTD.</t>
  </si>
  <si>
    <t>INE411H01032</t>
  </si>
  <si>
    <t>RSYSTEMS</t>
  </si>
  <si>
    <t>R SYS INTERNATIONAL LTD</t>
  </si>
  <si>
    <t>INE005C01017</t>
  </si>
  <si>
    <t>RTSPOWR</t>
  </si>
  <si>
    <t>R T S POWER CORPN. LTD.</t>
  </si>
  <si>
    <t>INE012Q01039</t>
  </si>
  <si>
    <t>RNBDENIMS</t>
  </si>
  <si>
    <t>R&amp;B DENIMS LIMITED</t>
  </si>
  <si>
    <t>INE165B01029</t>
  </si>
  <si>
    <t>RSSOFTWARE</t>
  </si>
  <si>
    <t>R. S. SOFTWARE (INDIA) LI</t>
  </si>
  <si>
    <t>INE324L01013</t>
  </si>
  <si>
    <t>RPPINFRA</t>
  </si>
  <si>
    <t>R.P.P INFRA PROJECTS LTD</t>
  </si>
  <si>
    <t>INE2PB023011</t>
  </si>
  <si>
    <t>RIIT</t>
  </si>
  <si>
    <t>RAAJMARG INFRA INVEST T</t>
  </si>
  <si>
    <t>INE084Q01012</t>
  </si>
  <si>
    <t>RACE</t>
  </si>
  <si>
    <t>RACE ECO CHAIN LIMITED</t>
  </si>
  <si>
    <t>INE02OY01016</t>
  </si>
  <si>
    <t>RILINFRA</t>
  </si>
  <si>
    <t>RACHANA INFRA LTD</t>
  </si>
  <si>
    <t>INE704B01017</t>
  </si>
  <si>
    <t>RACLGEAR</t>
  </si>
  <si>
    <t>RACL GEARTECH LIMITED</t>
  </si>
  <si>
    <t>INE874F01027</t>
  </si>
  <si>
    <t>RADAAN</t>
  </si>
  <si>
    <t>RADAAN MEDIAWORKS (I) LTD</t>
  </si>
  <si>
    <t>INE583V01021</t>
  </si>
  <si>
    <t>RADHIKAJWE</t>
  </si>
  <si>
    <t>RADHIKA JEWELTECH LIMITED</t>
  </si>
  <si>
    <t>INE855R01021</t>
  </si>
  <si>
    <t>RADIANTCMS</t>
  </si>
  <si>
    <t>RADIANT CASH MGMT SER LTD</t>
  </si>
  <si>
    <t>INE944F01028</t>
  </si>
  <si>
    <t>RADICO</t>
  </si>
  <si>
    <t>RADICO KHAITAN LTD</t>
  </si>
  <si>
    <t>INE430U01019</t>
  </si>
  <si>
    <t>RADIOWALLA</t>
  </si>
  <si>
    <t>RADIOWALLA NETWORK LTD</t>
  </si>
  <si>
    <t>INE912T01018</t>
  </si>
  <si>
    <t>RPEL</t>
  </si>
  <si>
    <t>RAGHAV PRODUCTIVITY ENH L</t>
  </si>
  <si>
    <t>INE415G01027</t>
  </si>
  <si>
    <t>RVNL</t>
  </si>
  <si>
    <t>RAIL VIKAS NIGAM LIMITED</t>
  </si>
  <si>
    <t>INE0DD101019</t>
  </si>
  <si>
    <t>RAILTEL</t>
  </si>
  <si>
    <t>RAILTEL CORP OF IND LTD</t>
  </si>
  <si>
    <t>INE855B01025</t>
  </si>
  <si>
    <t>RAIN</t>
  </si>
  <si>
    <t>RAIN INDUSTRIES LIMITED</t>
  </si>
  <si>
    <t>INE961O01016</t>
  </si>
  <si>
    <t>RAINBOW</t>
  </si>
  <si>
    <t>RAINBOW CHILDRENS MED LTD</t>
  </si>
  <si>
    <t>INE294G01026</t>
  </si>
  <si>
    <t>ROML</t>
  </si>
  <si>
    <t>RAJ OIL MILLS LIMITED</t>
  </si>
  <si>
    <t>INE533D01032</t>
  </si>
  <si>
    <t>RAJRILTD</t>
  </si>
  <si>
    <t>RAJ RAYON INDUSTRIES LTD</t>
  </si>
  <si>
    <t>INE952H01027</t>
  </si>
  <si>
    <t>RAJTV</t>
  </si>
  <si>
    <t>RAJ TV NETWORK LTD</t>
  </si>
  <si>
    <t>INE296E01026</t>
  </si>
  <si>
    <t>RAJPALAYAM</t>
  </si>
  <si>
    <t>RAJAPALAYAM MILLS LTD.</t>
  </si>
  <si>
    <t>INE610C01014</t>
  </si>
  <si>
    <t>ARENTERP</t>
  </si>
  <si>
    <t>RAJDARSHAN INDUSTRIES LTD</t>
  </si>
  <si>
    <t>INE343B01030</t>
  </si>
  <si>
    <t>RAJESHEXPO</t>
  </si>
  <si>
    <t>RAJESH EXPORTS LTD</t>
  </si>
  <si>
    <t>INE0BZQ20011</t>
  </si>
  <si>
    <t>RCDL-RE</t>
  </si>
  <si>
    <t>RAJGOR CAST DERIVATI LTD</t>
  </si>
  <si>
    <t>INE0BZQ01011</t>
  </si>
  <si>
    <t>RCDL</t>
  </si>
  <si>
    <t>RAJGOR CASTOR DERIVATI L</t>
  </si>
  <si>
    <t>INE00KV01022</t>
  </si>
  <si>
    <t>RAJMET</t>
  </si>
  <si>
    <t>RAJNANDINI METAL LIMITED</t>
  </si>
  <si>
    <t>INE535F01024</t>
  </si>
  <si>
    <t>RAJOOENG</t>
  </si>
  <si>
    <t>RAJOO ENGINEERS LIMITED</t>
  </si>
  <si>
    <t>INE0VHU01019</t>
  </si>
  <si>
    <t>RAJPUTANA</t>
  </si>
  <si>
    <t>RAJPUTANA BIODIESEL LTD</t>
  </si>
  <si>
    <t>INE0PCU01012</t>
  </si>
  <si>
    <t>RAJINDLTD</t>
  </si>
  <si>
    <t>RAJPUTANA INDUSTRIES LTD</t>
  </si>
  <si>
    <t>INE313L01016</t>
  </si>
  <si>
    <t>RSL</t>
  </si>
  <si>
    <t>RAJPUTANA STAINLESS LTD</t>
  </si>
  <si>
    <t>INE451D01029</t>
  </si>
  <si>
    <t>RAJRATAN</t>
  </si>
  <si>
    <t>RAJRATAN GLOBAL WIRE LTD</t>
  </si>
  <si>
    <t>INE760W01023</t>
  </si>
  <si>
    <t>RPPL</t>
  </si>
  <si>
    <t>RAJSHREE POLYPACK LTD</t>
  </si>
  <si>
    <t>INE562B01019</t>
  </si>
  <si>
    <t>RAJSREESUG</t>
  </si>
  <si>
    <t>RAJSHREE SUGAR &amp; CHEMICAL</t>
  </si>
  <si>
    <t>INE613A01020</t>
  </si>
  <si>
    <t>RALLIS</t>
  </si>
  <si>
    <t>RALLIS INDIA LTD</t>
  </si>
  <si>
    <t>INE207E01023</t>
  </si>
  <si>
    <t>RAMRAT</t>
  </si>
  <si>
    <t>RAM RATNA WIRES LIMITED</t>
  </si>
  <si>
    <t>INE809A01032</t>
  </si>
  <si>
    <t>RAMAPHO</t>
  </si>
  <si>
    <t>RAMA PHOSPHATES LIMITED</t>
  </si>
  <si>
    <t>INE230R01035</t>
  </si>
  <si>
    <t>RAMASTEEL</t>
  </si>
  <si>
    <t>RAMA STEEL TUBES LIMITED</t>
  </si>
  <si>
    <t>INE14W901010</t>
  </si>
  <si>
    <t>RTL</t>
  </si>
  <si>
    <t>RAMA TELECOM LIMITED</t>
  </si>
  <si>
    <t>INE614A01028</t>
  </si>
  <si>
    <t>RAMCOIND</t>
  </si>
  <si>
    <t>RAMCO INDUSTRIES LIMITED</t>
  </si>
  <si>
    <t>INE246B01019</t>
  </si>
  <si>
    <t>RAMCOSYS</t>
  </si>
  <si>
    <t>RAMCO SYSTEMS LTD.</t>
  </si>
  <si>
    <t>INE0RJH01010</t>
  </si>
  <si>
    <t>RBS</t>
  </si>
  <si>
    <t>RAMDEVBABA SOLVENT LTD</t>
  </si>
  <si>
    <t>INE399G01023</t>
  </si>
  <si>
    <t>RKFORGE</t>
  </si>
  <si>
    <t>RAMKRISHNA FORGINGS LTD</t>
  </si>
  <si>
    <t>INE874I01013</t>
  </si>
  <si>
    <t>RAMKY</t>
  </si>
  <si>
    <t>RAMKY INFRA LTD</t>
  </si>
  <si>
    <t>INE625B01014</t>
  </si>
  <si>
    <t>RANASUG</t>
  </si>
  <si>
    <t>RANA SUGARS LTD.</t>
  </si>
  <si>
    <t>INE050H01012</t>
  </si>
  <si>
    <t>RML</t>
  </si>
  <si>
    <t>RANE (MADRAS) LIMITED</t>
  </si>
  <si>
    <t>INE384A01010</t>
  </si>
  <si>
    <t>RANEHOLDIN</t>
  </si>
  <si>
    <t>RANE HOLDINGS LIMITED</t>
  </si>
  <si>
    <t>INE0QX901013</t>
  </si>
  <si>
    <t>RAPIDFLEET</t>
  </si>
  <si>
    <t>RAPID FLEET MGT SERVICE L</t>
  </si>
  <si>
    <t>INE0MVO01012</t>
  </si>
  <si>
    <t>RAPPID</t>
  </si>
  <si>
    <t>RAPPID VALVES (INDIA) LTD</t>
  </si>
  <si>
    <t>INE0J1F01024</t>
  </si>
  <si>
    <t>RPTECH</t>
  </si>
  <si>
    <t>RASHI PERIPHERALS LIMITED</t>
  </si>
  <si>
    <t>INE027A01015</t>
  </si>
  <si>
    <t>RCF</t>
  </si>
  <si>
    <t>RASHTRIYA CHEMICALS &amp; FER</t>
  </si>
  <si>
    <t>INE0CLI01024</t>
  </si>
  <si>
    <t>RATEGAIN</t>
  </si>
  <si>
    <t>RATEGAIN TRAVEL TECHN LTD</t>
  </si>
  <si>
    <t>INE703B01027</t>
  </si>
  <si>
    <t>RATNAMANI</t>
  </si>
  <si>
    <t>RATNAMANI MET &amp; TUB LTD.</t>
  </si>
  <si>
    <t>INE05CZ01011</t>
  </si>
  <si>
    <t>RATNAVEER</t>
  </si>
  <si>
    <t>RATNAVEER PRECISION ENG L</t>
  </si>
  <si>
    <t>INE834M01019</t>
  </si>
  <si>
    <t>RTNINDIA</t>
  </si>
  <si>
    <t>RATTANINDIA ENT LIMITED</t>
  </si>
  <si>
    <t>INE399K01017</t>
  </si>
  <si>
    <t>RTNPOWER</t>
  </si>
  <si>
    <t>RATTANINDIA POWER LIMITED</t>
  </si>
  <si>
    <t>INE722J01012</t>
  </si>
  <si>
    <t>RKDL</t>
  </si>
  <si>
    <t>RAVI KUMAR DIST. LTD.</t>
  </si>
  <si>
    <t>INE09E501017</t>
  </si>
  <si>
    <t>RVHL</t>
  </si>
  <si>
    <t>RAVINDER HEIGHTS LIMITED</t>
  </si>
  <si>
    <t>INE206N01018</t>
  </si>
  <si>
    <t>RELTD</t>
  </si>
  <si>
    <t>RAVINDRA ENERGY LIMITED</t>
  </si>
  <si>
    <t>INE02ID01020</t>
  </si>
  <si>
    <t>RAYMONDLSL</t>
  </si>
  <si>
    <t>RAYMOND LIFESTYLE LIMITED</t>
  </si>
  <si>
    <t>INE301A01014</t>
  </si>
  <si>
    <t>RAYMOND</t>
  </si>
  <si>
    <t>RAYMOND LTD</t>
  </si>
  <si>
    <t>INE1SY401010</t>
  </si>
  <si>
    <t>RAYMONDREL</t>
  </si>
  <si>
    <t>RAYMOND REALTY LIMITED</t>
  </si>
  <si>
    <t>INE1FCO01014</t>
  </si>
  <si>
    <t>MOMSBELIEF</t>
  </si>
  <si>
    <t>RAYS OF BELIEF LIMITED</t>
  </si>
  <si>
    <t>INE976G01028</t>
  </si>
  <si>
    <t>RBLBANK</t>
  </si>
  <si>
    <t>RBL BANK LIMITED</t>
  </si>
  <si>
    <t>INE0NA301016</t>
  </si>
  <si>
    <t>RBMINFRA</t>
  </si>
  <si>
    <t>RBM INFRACON LIMITED</t>
  </si>
  <si>
    <t>INE0PEQ01016</t>
  </si>
  <si>
    <t>RBZJEWEL</t>
  </si>
  <si>
    <t>RBZ JEWELLERS LIMITED</t>
  </si>
  <si>
    <t>INE0AK901016</t>
  </si>
  <si>
    <t>RRECL</t>
  </si>
  <si>
    <t>RDB REAL ESTATE CONS L</t>
  </si>
  <si>
    <t>INE10QL01011</t>
  </si>
  <si>
    <t>READYMIX</t>
  </si>
  <si>
    <t>READYMIX CONSTRU MACHI L</t>
  </si>
  <si>
    <t>INE020B01018</t>
  </si>
  <si>
    <t>RECLTD</t>
  </si>
  <si>
    <t>REC LIMITED</t>
  </si>
  <si>
    <t>INE891D01026</t>
  </si>
  <si>
    <t>REDINGTON</t>
  </si>
  <si>
    <t>REDINGTON LIMITED</t>
  </si>
  <si>
    <t>INE0LXT01019</t>
  </si>
  <si>
    <t>REDTAPE</t>
  </si>
  <si>
    <t>REDTAPE LIMITED</t>
  </si>
  <si>
    <t>INE056I01025</t>
  </si>
  <si>
    <t>REFEX</t>
  </si>
  <si>
    <t>REFEX INDUSTRIES LIMITED</t>
  </si>
  <si>
    <t>INE0TNX01015</t>
  </si>
  <si>
    <t>REFRACTORY</t>
  </si>
  <si>
    <t>REFRACTORY SHAPES LIMITED</t>
  </si>
  <si>
    <t>INE0MHO01029</t>
  </si>
  <si>
    <t>REGAAL</t>
  </si>
  <si>
    <t>REGAAL RESOURCES LIMITED</t>
  </si>
  <si>
    <t>INE277C01012</t>
  </si>
  <si>
    <t>REGENCERAM</t>
  </si>
  <si>
    <t>REGENCY CERAMICS LTD.</t>
  </si>
  <si>
    <t>INE131B01039</t>
  </si>
  <si>
    <t>RELAXO</t>
  </si>
  <si>
    <t>RELAXO FOOT LTD.</t>
  </si>
  <si>
    <t>INF204KC1030</t>
  </si>
  <si>
    <t>GILT5YBEES</t>
  </si>
  <si>
    <t>RELCAPAMC - NETFGILT5Y</t>
  </si>
  <si>
    <t>INE375Y01018</t>
  </si>
  <si>
    <t>RELIABLE</t>
  </si>
  <si>
    <t>RELIABLE DATA SERVICE LTD</t>
  </si>
  <si>
    <t>INE750D01016</t>
  </si>
  <si>
    <t>RELCHEMQ</t>
  </si>
  <si>
    <t>RELIANCE CHEMOTEX IND LTD</t>
  </si>
  <si>
    <t>INE330H01018</t>
  </si>
  <si>
    <t>RCOM</t>
  </si>
  <si>
    <t>RELIANCE COMMUNICATIONS L</t>
  </si>
  <si>
    <t>INE217K01011</t>
  </si>
  <si>
    <t>RHFL</t>
  </si>
  <si>
    <t>RELIANCE HOME FINANCE LTD</t>
  </si>
  <si>
    <t>INE046A01015</t>
  </si>
  <si>
    <t>RIIL</t>
  </si>
  <si>
    <t>RELIANCE INDUSTRIAL INFRA</t>
  </si>
  <si>
    <t>INE002A01018</t>
  </si>
  <si>
    <t>RELIANCE</t>
  </si>
  <si>
    <t>RELIANCE INDUSTRIES LTD</t>
  </si>
  <si>
    <t>INE036A01016</t>
  </si>
  <si>
    <t>RELINFRA</t>
  </si>
  <si>
    <t>RELIANCE INFRASTRUCTU LTD</t>
  </si>
  <si>
    <t>INE614G01033</t>
  </si>
  <si>
    <t>RPOWER</t>
  </si>
  <si>
    <t>RELIANCE POWER LTD.</t>
  </si>
  <si>
    <t>INF205KA1CB9</t>
  </si>
  <si>
    <t>IVZBANKNF</t>
  </si>
  <si>
    <t>RELIGARAMC - IVZBANKNF</t>
  </si>
  <si>
    <t>INF205KA1CA1</t>
  </si>
  <si>
    <t>IVZSENSEX</t>
  </si>
  <si>
    <t>RELIGARAMC - IVZSENSEX</t>
  </si>
  <si>
    <t>INE621H01010</t>
  </si>
  <si>
    <t>RELIGARE</t>
  </si>
  <si>
    <t>RELIGARE ENTER. LTD.</t>
  </si>
  <si>
    <t>INE474C01023</t>
  </si>
  <si>
    <t>REMSONSIND</t>
  </si>
  <si>
    <t>REMSONS INDUSTRIES LTD</t>
  </si>
  <si>
    <t>INE0O5T01011</t>
  </si>
  <si>
    <t>REMUS</t>
  </si>
  <si>
    <t>REMUS PHARMACEUTICALS L</t>
  </si>
  <si>
    <t>INE722H01024</t>
  </si>
  <si>
    <t>RGL</t>
  </si>
  <si>
    <t>RENAISSANCE GLOBAL LTD</t>
  </si>
  <si>
    <t>INE0VZX01015</t>
  </si>
  <si>
    <t>RNPL</t>
  </si>
  <si>
    <t>RENOL POLYCHEM LIMITED</t>
  </si>
  <si>
    <t>INE612J01015</t>
  </si>
  <si>
    <t>REPCOHOME</t>
  </si>
  <si>
    <t>REPCO HOME FINANCE LTD</t>
  </si>
  <si>
    <t>INE461B01014</t>
  </si>
  <si>
    <t>REPRO</t>
  </si>
  <si>
    <t>REPRO INDIA LIMITED</t>
  </si>
  <si>
    <t>INE688D01026</t>
  </si>
  <si>
    <t>RESPONIND</t>
  </si>
  <si>
    <t>RESPONSIVE INDUSTRIES LTD</t>
  </si>
  <si>
    <t>INE07T201019</t>
  </si>
  <si>
    <t>RBA</t>
  </si>
  <si>
    <t>RESTAURANT BRAND ASIA LTD</t>
  </si>
  <si>
    <t>INE0DAB01012</t>
  </si>
  <si>
    <t>RVTH</t>
  </si>
  <si>
    <t>REVATHI EQUIPMENT INDIA L</t>
  </si>
  <si>
    <t>INE113601012</t>
  </si>
  <si>
    <t>REXPRO</t>
  </si>
  <si>
    <t>REXPRO ENTERPRISES LTD</t>
  </si>
  <si>
    <t>INE0V2V01015</t>
  </si>
  <si>
    <t>RFBL</t>
  </si>
  <si>
    <t>RFBL FLEXI PACK LIMITED</t>
  </si>
  <si>
    <t>INE0KKN01029</t>
  </si>
  <si>
    <t>RHETAN</t>
  </si>
  <si>
    <t>RHETAN TMT LIMITED</t>
  </si>
  <si>
    <t>INE743M01012</t>
  </si>
  <si>
    <t>RHIM</t>
  </si>
  <si>
    <t>RHI MAGNESITA INDIA LTD</t>
  </si>
  <si>
    <t>INE0J1P01015</t>
  </si>
  <si>
    <t>RICHA</t>
  </si>
  <si>
    <t>RICHA INFO SYSTEMS LTD</t>
  </si>
  <si>
    <t>INE209B01025</t>
  </si>
  <si>
    <t>RICOAUTO</t>
  </si>
  <si>
    <t>RICO AUTO INDUSTRIES LTD</t>
  </si>
  <si>
    <t>INE302D01024</t>
  </si>
  <si>
    <t>RIR</t>
  </si>
  <si>
    <t>RIR POWER ELECTRONICS L</t>
  </si>
  <si>
    <t>INE0N2P01017</t>
  </si>
  <si>
    <t>RISHABH</t>
  </si>
  <si>
    <t>RISHABH INSTRUMENTS LTD</t>
  </si>
  <si>
    <t>INE01EG01016</t>
  </si>
  <si>
    <t>RITCO</t>
  </si>
  <si>
    <t>RITCO LOGISTICS LIMITED</t>
  </si>
  <si>
    <t>INE0MRA01019</t>
  </si>
  <si>
    <t>RITEZONE</t>
  </si>
  <si>
    <t>RITE ZONE CHEMCON IND LTD</t>
  </si>
  <si>
    <t>INE320J01015</t>
  </si>
  <si>
    <t>RITES</t>
  </si>
  <si>
    <t>RITES LIMITED</t>
  </si>
  <si>
    <t>INE786W01010</t>
  </si>
  <si>
    <t>RKEC</t>
  </si>
  <si>
    <t>RKEC PROJECTS LIMITED</t>
  </si>
  <si>
    <t>INE655V01019</t>
  </si>
  <si>
    <t>RMC</t>
  </si>
  <si>
    <t>RMC SWITCHGEARS LIMITED</t>
  </si>
  <si>
    <t>INE0SA001017</t>
  </si>
  <si>
    <t>RNFI</t>
  </si>
  <si>
    <t>RNFI SERVICES LIMITED</t>
  </si>
  <si>
    <t>INE508K01013</t>
  </si>
  <si>
    <t>RHL</t>
  </si>
  <si>
    <t>ROBUST HOTELS LIMITED</t>
  </si>
  <si>
    <t>INE0PTR01012</t>
  </si>
  <si>
    <t>ROCKINGDCE</t>
  </si>
  <si>
    <t>ROCKINGDEALS CIRCU ECO L</t>
  </si>
  <si>
    <t>INE645S01024</t>
  </si>
  <si>
    <t>ROLEXRINGS</t>
  </si>
  <si>
    <t>ROLEX RINGS LIMITED</t>
  </si>
  <si>
    <t>INE927A01040</t>
  </si>
  <si>
    <t>ROLLT</t>
  </si>
  <si>
    <t>ROLLATAINERS LIMITED</t>
  </si>
  <si>
    <t>INE02A801020</t>
  </si>
  <si>
    <t>ROSSARI</t>
  </si>
  <si>
    <t>ROSSARI BIOTECH LIMITED</t>
  </si>
  <si>
    <t>INE847C01020</t>
  </si>
  <si>
    <t>ROSSELLIND</t>
  </si>
  <si>
    <t>ROSSELL INDIA LIMITED</t>
  </si>
  <si>
    <t>INE0OJW01016</t>
  </si>
  <si>
    <t>ROSSTECH</t>
  </si>
  <si>
    <t>ROSSELL TECHSYS LIMITED</t>
  </si>
  <si>
    <t>INE535D01037</t>
  </si>
  <si>
    <t>ROTO</t>
  </si>
  <si>
    <t>ROTO PUMPS LIMITED</t>
  </si>
  <si>
    <t>INE450U01017</t>
  </si>
  <si>
    <t>ROUTE</t>
  </si>
  <si>
    <t>ROUTE MOBILE LIMITED</t>
  </si>
  <si>
    <t>INE0PDJ01013</t>
  </si>
  <si>
    <t>ROXHITECH</t>
  </si>
  <si>
    <t>ROX HI TECH LIMITED</t>
  </si>
  <si>
    <t>INE283H01019</t>
  </si>
  <si>
    <t>ROHLTD</t>
  </si>
  <si>
    <t>ROYAL ORCHID HOTELS LTD</t>
  </si>
  <si>
    <t>INE105J01010</t>
  </si>
  <si>
    <t>RPGLIFE</t>
  </si>
  <si>
    <t>RPG LIFE SCIENCES LTD</t>
  </si>
  <si>
    <t>INE425Y01011</t>
  </si>
  <si>
    <t>RPSGVENT</t>
  </si>
  <si>
    <t>RPSG VENTURES LIMITED</t>
  </si>
  <si>
    <t>INE611A01016</t>
  </si>
  <si>
    <t>RSWM</t>
  </si>
  <si>
    <t>RSWM LIMITED</t>
  </si>
  <si>
    <t>INE642C01025</t>
  </si>
  <si>
    <t>RUBFILA</t>
  </si>
  <si>
    <t>RUBFILA INTERNATIONAL LTD</t>
  </si>
  <si>
    <t>INE506V01022</t>
  </si>
  <si>
    <t>RUBICON</t>
  </si>
  <si>
    <t>RUBICON RESEARCH LIMITED</t>
  </si>
  <si>
    <t>INE413B01023</t>
  </si>
  <si>
    <t>RUCHINFRA</t>
  </si>
  <si>
    <t>RUCHI INFRASTRUCTURE LTD</t>
  </si>
  <si>
    <t>INE803H01014</t>
  </si>
  <si>
    <t>RUCHIRA</t>
  </si>
  <si>
    <t>RUCHIRA PAPERS LIMITED</t>
  </si>
  <si>
    <t>INE027T01023</t>
  </si>
  <si>
    <t>RUDRA</t>
  </si>
  <si>
    <t>RUDRA GLOBAL INFRA PROD L</t>
  </si>
  <si>
    <t>INE364Z01019</t>
  </si>
  <si>
    <t>REPL</t>
  </si>
  <si>
    <t>RUDRABHISHEK ENTERP LTD</t>
  </si>
  <si>
    <t>INE0R7301013</t>
  </si>
  <si>
    <t>RULKA</t>
  </si>
  <si>
    <t>RULKA ELECTRICALS LIMITED</t>
  </si>
  <si>
    <t>INE895B01021</t>
  </si>
  <si>
    <t>RUPA</t>
  </si>
  <si>
    <t>RUPA &amp; COMPANY LTD</t>
  </si>
  <si>
    <t>INE573K01025</t>
  </si>
  <si>
    <t>RUSHIL</t>
  </si>
  <si>
    <t>RUSHIL DECOR LIMITED</t>
  </si>
  <si>
    <t>INE137M01017</t>
  </si>
  <si>
    <t>SAB</t>
  </si>
  <si>
    <t>S A B INDUSTRIES LTD.</t>
  </si>
  <si>
    <t>INE0BSN01013</t>
  </si>
  <si>
    <t>SATECH</t>
  </si>
  <si>
    <t>S A TECH SOFTWARE INDIA L</t>
  </si>
  <si>
    <t>INE807K01035</t>
  </si>
  <si>
    <t>SCHAND</t>
  </si>
  <si>
    <t>S CHAND AND COMPANY LTD</t>
  </si>
  <si>
    <t>INE500L01026</t>
  </si>
  <si>
    <t>SHK</t>
  </si>
  <si>
    <t>S H KELKAR AND CO. LTD.</t>
  </si>
  <si>
    <t>INE0F3301020</t>
  </si>
  <si>
    <t>SJLOGISTIC</t>
  </si>
  <si>
    <t>S J LOGISTICS (INDIA) LTD</t>
  </si>
  <si>
    <t>INE159L01013</t>
  </si>
  <si>
    <t>SVGLOBAL</t>
  </si>
  <si>
    <t>S V GLOBAL MILL LTD.</t>
  </si>
  <si>
    <t>INE902B01017</t>
  </si>
  <si>
    <t>S&amp;SPOWER</t>
  </si>
  <si>
    <t>S&amp;S POWER SWITCHGEARS LTD</t>
  </si>
  <si>
    <t>INE212I01016</t>
  </si>
  <si>
    <t>SPAL</t>
  </si>
  <si>
    <t>S. P. APPARELS LIMITED</t>
  </si>
  <si>
    <t>INE658G01014</t>
  </si>
  <si>
    <t>SALSTEEL</t>
  </si>
  <si>
    <t>S.A.L. STEEL LTD.</t>
  </si>
  <si>
    <t>INE0PSK01027</t>
  </si>
  <si>
    <t>SAAKSHI</t>
  </si>
  <si>
    <t>SAAKSHI MEDTEC N PANELS L</t>
  </si>
  <si>
    <t>INE13B501022</t>
  </si>
  <si>
    <t>SAATVIKGL</t>
  </si>
  <si>
    <t>SAATVIK GREEN ENERGY LTD</t>
  </si>
  <si>
    <t>INE1ARD01016</t>
  </si>
  <si>
    <t>SACHEEROME</t>
  </si>
  <si>
    <t>SACHEEROME LIMITED</t>
  </si>
  <si>
    <t>INE226H01026</t>
  </si>
  <si>
    <t>SADBHAV</t>
  </si>
  <si>
    <t>SADBHAV ENGINEERING LTD</t>
  </si>
  <si>
    <t>INE764L01010</t>
  </si>
  <si>
    <t>SADBHIN</t>
  </si>
  <si>
    <t>SADBHAV INFRA PROJ LTD.</t>
  </si>
  <si>
    <t>INE888C01040</t>
  </si>
  <si>
    <t>SADHNANIQ</t>
  </si>
  <si>
    <t>SADHANA NITROCHEM LIMITED</t>
  </si>
  <si>
    <t>INE0K5H01010</t>
  </si>
  <si>
    <t>SADHAV</t>
  </si>
  <si>
    <t>SADHAV SHIPPING LIMITED</t>
  </si>
  <si>
    <t>INE429E01023</t>
  </si>
  <si>
    <t>SAFARI</t>
  </si>
  <si>
    <t>SAFARI IND (INDIA) LTD</t>
  </si>
  <si>
    <t>INE17D601016</t>
  </si>
  <si>
    <t>SAFEENTP</t>
  </si>
  <si>
    <t>SAFE ENTER RETAIL FIX LTD</t>
  </si>
  <si>
    <t>INE229C01021</t>
  </si>
  <si>
    <t>SAGCEM</t>
  </si>
  <si>
    <t>SAGAR CEMENTS LIMITED</t>
  </si>
  <si>
    <t>INE976T01013</t>
  </si>
  <si>
    <t>SAGARDEEP</t>
  </si>
  <si>
    <t>SAGARDEEP ALLOYS LIMITED</t>
  </si>
  <si>
    <t>INE0W2G01015</t>
  </si>
  <si>
    <t>SAGILITY</t>
  </si>
  <si>
    <t>SAGILITY LIMITED</t>
  </si>
  <si>
    <t>INE0P4701011</t>
  </si>
  <si>
    <t>SAHAJSOLAR</t>
  </si>
  <si>
    <t>SAHAJ SOLAR LIMITED</t>
  </si>
  <si>
    <t>INE0LEX01011</t>
  </si>
  <si>
    <t>SAHANA</t>
  </si>
  <si>
    <t>SAHANA SYSTEM LIMITED</t>
  </si>
  <si>
    <t>INE0RBQ01018</t>
  </si>
  <si>
    <t>SAHASRA</t>
  </si>
  <si>
    <t>SAHASRA ELECTRONIC SOLU L</t>
  </si>
  <si>
    <t>INE280H01015</t>
  </si>
  <si>
    <t>SAHYADRI</t>
  </si>
  <si>
    <t>SAHYADRI INDUSTRIES LTD</t>
  </si>
  <si>
    <t>INE531X01018</t>
  </si>
  <si>
    <t>SAICAPI</t>
  </si>
  <si>
    <t>SAI CAPITAL LTD.</t>
  </si>
  <si>
    <t>INE570L01029</t>
  </si>
  <si>
    <t>SAILIFE</t>
  </si>
  <si>
    <t>SAI LIFE SCIENCES LIMITED</t>
  </si>
  <si>
    <t>INE0H9F01037</t>
  </si>
  <si>
    <t>SAIPARENT</t>
  </si>
  <si>
    <t>SAI PARENTERALS LIMITED</t>
  </si>
  <si>
    <t>INE438K01021</t>
  </si>
  <si>
    <t>KALAMANDIR</t>
  </si>
  <si>
    <t>SAI SILKS (KALAMANDIR) L</t>
  </si>
  <si>
    <t>INE068B01017</t>
  </si>
  <si>
    <t>SEKURITIND</t>
  </si>
  <si>
    <t>SAINT GOBAIN SEKUR IND L</t>
  </si>
  <si>
    <t>INE00MT01022</t>
  </si>
  <si>
    <t>SAJHOTELS</t>
  </si>
  <si>
    <t>SAJ HOTELS LIMITED</t>
  </si>
  <si>
    <t>INE732S01012</t>
  </si>
  <si>
    <t>SAKAR</t>
  </si>
  <si>
    <t>SAKAR HEALTHCARE LIMITED</t>
  </si>
  <si>
    <t>INE667G01023</t>
  </si>
  <si>
    <t>SAKSOFT</t>
  </si>
  <si>
    <t>SAKSOFT LIMITED</t>
  </si>
  <si>
    <t>INE623A01011</t>
  </si>
  <si>
    <t>SAKHTISUG</t>
  </si>
  <si>
    <t>SAKTHI SUGARS LTD</t>
  </si>
  <si>
    <t>INE190H01024</t>
  </si>
  <si>
    <t>SAKUMA</t>
  </si>
  <si>
    <t>SAKUMA EXPORTS LIMITED</t>
  </si>
  <si>
    <t>INE170V01027</t>
  </si>
  <si>
    <t>SALASAR</t>
  </si>
  <si>
    <t>SALASAR TECHNO ENGG. LTD.</t>
  </si>
  <si>
    <t>INE498E01010</t>
  </si>
  <si>
    <t>SALONA</t>
  </si>
  <si>
    <t>SALONA COTSPIN LTD.</t>
  </si>
  <si>
    <t>INE457F01013</t>
  </si>
  <si>
    <t>SALZERELEC</t>
  </si>
  <si>
    <t>SALZER ELECTRONICS LTD</t>
  </si>
  <si>
    <t>INE124101010</t>
  </si>
  <si>
    <t>SAMAY</t>
  </si>
  <si>
    <t>SAMAY PROJECT SERVICES L</t>
  </si>
  <si>
    <t>INE304D01012</t>
  </si>
  <si>
    <t>SAMBANDAM</t>
  </si>
  <si>
    <t>SAMBANDAM SPINNING MILL L</t>
  </si>
  <si>
    <t>INE699B01027</t>
  </si>
  <si>
    <t>SAMBHAAV</t>
  </si>
  <si>
    <t>SAMBHAAV MEDIA LTD</t>
  </si>
  <si>
    <t>INE12NJ01018</t>
  </si>
  <si>
    <t>SAMBHV</t>
  </si>
  <si>
    <t>SAMBHV STEEL TUBES LTD</t>
  </si>
  <si>
    <t>INE0PZA01015</t>
  </si>
  <si>
    <t>SAIFL</t>
  </si>
  <si>
    <t>SAMEERA AGRO AND INFRA L</t>
  </si>
  <si>
    <t>INE08U801020</t>
  </si>
  <si>
    <t>SAMHI</t>
  </si>
  <si>
    <t>SAMHI HOTELS LIMITED</t>
  </si>
  <si>
    <t>INE148I01020</t>
  </si>
  <si>
    <t>SAMMAANCAP</t>
  </si>
  <si>
    <t>SAMMAAN CAPITAL LIMITED</t>
  </si>
  <si>
    <t>INE735M01018</t>
  </si>
  <si>
    <t>SAMPANN</t>
  </si>
  <si>
    <t>SAMPANN UTPADAN INDIA LTD</t>
  </si>
  <si>
    <t>INE775A01035</t>
  </si>
  <si>
    <t>MOTHERSON</t>
  </si>
  <si>
    <t>SAMVRDHNA MTHRSN INTL LTD</t>
  </si>
  <si>
    <t>INE0JPD01013</t>
  </si>
  <si>
    <t>SANATHAN</t>
  </si>
  <si>
    <t>SANATHAN TEXTILES LIMITED</t>
  </si>
  <si>
    <t>INE583B01015</t>
  </si>
  <si>
    <t>SANDESH</t>
  </si>
  <si>
    <t>SANDESH LTD</t>
  </si>
  <si>
    <t>INE278H01035</t>
  </si>
  <si>
    <t>SANDHAR</t>
  </si>
  <si>
    <t>SANDHAR TECHNOLOGIES LTD</t>
  </si>
  <si>
    <t>INE149K01016</t>
  </si>
  <si>
    <t>SANDUMA</t>
  </si>
  <si>
    <t>SANDUR MANG &amp; IRON ORES L</t>
  </si>
  <si>
    <t>INE495C01010</t>
  </si>
  <si>
    <t>SANGAMIND</t>
  </si>
  <si>
    <t>SANGAM (INDIA) LTD</t>
  </si>
  <si>
    <t>INE0OVI01010</t>
  </si>
  <si>
    <t>SANGANI</t>
  </si>
  <si>
    <t>SANGANI HOSPITALS LIMITED</t>
  </si>
  <si>
    <t>INE989A01032</t>
  </si>
  <si>
    <t>SANGHVIMOV</t>
  </si>
  <si>
    <t>SANGHVI MOVERS LTD</t>
  </si>
  <si>
    <t>INE753W01010</t>
  </si>
  <si>
    <t>SANGINITA</t>
  </si>
  <si>
    <t>SANGINITA CHEMICALS LTD</t>
  </si>
  <si>
    <t>INE0UOS01011</t>
  </si>
  <si>
    <t>SANOFICONR</t>
  </si>
  <si>
    <t>SANOFI CONS HEALTHC IND L</t>
  </si>
  <si>
    <t>INE058A01010</t>
  </si>
  <si>
    <t>SANOFI</t>
  </si>
  <si>
    <t>SANOFI INDIA LIMITED</t>
  </si>
  <si>
    <t>INE953O01021</t>
  </si>
  <si>
    <t>SANSERA</t>
  </si>
  <si>
    <t>SANSERA ENGINEERING LTD</t>
  </si>
  <si>
    <t>INE08NE01025</t>
  </si>
  <si>
    <t>SANSTAR</t>
  </si>
  <si>
    <t>SANSTAR LIMITED</t>
  </si>
  <si>
    <t>INE890C01046</t>
  </si>
  <si>
    <t>SANWARIA</t>
  </si>
  <si>
    <t>SANWARIA CONSUMER LIMITED</t>
  </si>
  <si>
    <t>INE806T01020</t>
  </si>
  <si>
    <t>SAPPHIRE</t>
  </si>
  <si>
    <t>SAPPHIRE FOODS INDIA LTD</t>
  </si>
  <si>
    <t>INE0PUC01020</t>
  </si>
  <si>
    <t>SARTELE</t>
  </si>
  <si>
    <t>SAR TELEVENTURE LIMITED</t>
  </si>
  <si>
    <t>INE967G01019</t>
  </si>
  <si>
    <t>ZSARACOM</t>
  </si>
  <si>
    <t>SARASWATI COMM (INDIA) L</t>
  </si>
  <si>
    <t>INE0PQ101010</t>
  </si>
  <si>
    <t>SSDL</t>
  </si>
  <si>
    <t>SARASWATI SAREE DEPOT LTD</t>
  </si>
  <si>
    <t>INE385C01021</t>
  </si>
  <si>
    <t>SARDAEN</t>
  </si>
  <si>
    <t>SARDA ENERGY &amp; MIN LTD</t>
  </si>
  <si>
    <t>INE979A01025</t>
  </si>
  <si>
    <t>SAREGAMA</t>
  </si>
  <si>
    <t>SAREGAMA INDIA LIMITED</t>
  </si>
  <si>
    <t>INE453D01025</t>
  </si>
  <si>
    <t>SARLAPOLY</t>
  </si>
  <si>
    <t>SARLA PERF. FIBERS LTD</t>
  </si>
  <si>
    <t>INE0PCL01011</t>
  </si>
  <si>
    <t>SAROJA</t>
  </si>
  <si>
    <t>SAROJA PHARMA INDUS IND L</t>
  </si>
  <si>
    <t>INE017W01010</t>
  </si>
  <si>
    <t>SMLT</t>
  </si>
  <si>
    <t>SARTHAK METALS LIMITED</t>
  </si>
  <si>
    <t>INE324X01026</t>
  </si>
  <si>
    <t>SARVESHWAR</t>
  </si>
  <si>
    <t>SARVESHWAR FOODS LIMITED</t>
  </si>
  <si>
    <t>INE231F01020</t>
  </si>
  <si>
    <t>SASKEN</t>
  </si>
  <si>
    <t>SASKEN TECHNOLOGIES LTD</t>
  </si>
  <si>
    <t>INE0NB801022</t>
  </si>
  <si>
    <t>SATKARTAR</t>
  </si>
  <si>
    <t>SAT KARTAR LIFE LIMITED</t>
  </si>
  <si>
    <t>INE0RFP01011</t>
  </si>
  <si>
    <t>SSEGL</t>
  </si>
  <si>
    <t>SATHLOKHAR SYN E&amp;C GLOB L</t>
  </si>
  <si>
    <t>INE170E01023</t>
  </si>
  <si>
    <t>SATIA</t>
  </si>
  <si>
    <t>SATIA INDUSTRIES LIMITED</t>
  </si>
  <si>
    <t>INE836B01017</t>
  </si>
  <si>
    <t>SATIN</t>
  </si>
  <si>
    <t>SATIN CREDIT NET LTD</t>
  </si>
  <si>
    <t>INE14DW01018</t>
  </si>
  <si>
    <t>SATTVAENGG</t>
  </si>
  <si>
    <t>SATTVA ENGINEERING CSTN L</t>
  </si>
  <si>
    <t>INE626A01014</t>
  </si>
  <si>
    <t>SAURASHCEM</t>
  </si>
  <si>
    <t>SAURASHTRA CEMENT LIMITED</t>
  </si>
  <si>
    <t>INE035D01020</t>
  </si>
  <si>
    <t>SOTL</t>
  </si>
  <si>
    <t>SAVITA OIL TECHNOLO. LTD</t>
  </si>
  <si>
    <t>INE0UCN01017</t>
  </si>
  <si>
    <t>SAVY</t>
  </si>
  <si>
    <t>SAVY INFRA AND LOGI LTD</t>
  </si>
  <si>
    <t>INE10VS01016</t>
  </si>
  <si>
    <t>SAWALIYA</t>
  </si>
  <si>
    <t>SAWALIYA FOOD PRODUCTS L</t>
  </si>
  <si>
    <t>INE318C01014</t>
  </si>
  <si>
    <t>SAYAJIHOTL</t>
  </si>
  <si>
    <t>SAYAJI HOTELS LTD.</t>
  </si>
  <si>
    <t>INE327G01032</t>
  </si>
  <si>
    <t>SAYAJIIND</t>
  </si>
  <si>
    <t>SAYAJI INDUSTRIES LTD.</t>
  </si>
  <si>
    <t>INE04AK01028</t>
  </si>
  <si>
    <t>SBC</t>
  </si>
  <si>
    <t>SBC EXPORTS LIMITED</t>
  </si>
  <si>
    <t>INE423Y01016</t>
  </si>
  <si>
    <t>SBFC</t>
  </si>
  <si>
    <t>SBFC FINANCE LIMITED</t>
  </si>
  <si>
    <t>INE018E01016</t>
  </si>
  <si>
    <t>SBICARD</t>
  </si>
  <si>
    <t>SBI CARDS &amp; PAY SER LTD</t>
  </si>
  <si>
    <t>INE640G01020</t>
  </si>
  <si>
    <t>SBIFUNDS</t>
  </si>
  <si>
    <t>SBI FUNDS MANAGEMENT LTD</t>
  </si>
  <si>
    <t>INE123W01016</t>
  </si>
  <si>
    <t>SBILIFE</t>
  </si>
  <si>
    <t>SBI LIFE INSURANCE CO LTD</t>
  </si>
  <si>
    <t>INF200KA16D8</t>
  </si>
  <si>
    <t>SETFGOLD</t>
  </si>
  <si>
    <t>SBI-ETF GOLD</t>
  </si>
  <si>
    <t>INF200KA1FS1</t>
  </si>
  <si>
    <t>SETFNIF50</t>
  </si>
  <si>
    <t>SBI-ETF NIFTY 50</t>
  </si>
  <si>
    <t>INF200KA1580</t>
  </si>
  <si>
    <t>SETFNIFBK</t>
  </si>
  <si>
    <t>SBI-ETF NIFTY BANK</t>
  </si>
  <si>
    <t>INF200KA1598</t>
  </si>
  <si>
    <t>SETFNN50</t>
  </si>
  <si>
    <t>SBI-ETF NIFTY NEXT 50</t>
  </si>
  <si>
    <t>INF200KA13Z8</t>
  </si>
  <si>
    <t>LIQUIDSBI</t>
  </si>
  <si>
    <t>SBIAMC - LIQUIDSBI</t>
  </si>
  <si>
    <t>INF200KB1712</t>
  </si>
  <si>
    <t>SBIBPB</t>
  </si>
  <si>
    <t>SBIAMC - SBIBPB</t>
  </si>
  <si>
    <t>INF200KA1X17</t>
  </si>
  <si>
    <t>SBIETFCON</t>
  </si>
  <si>
    <t>SBIAMC - SBIETFCON</t>
  </si>
  <si>
    <t>INF200KA1S14</t>
  </si>
  <si>
    <t>SBIETFIT</t>
  </si>
  <si>
    <t>SBIAMC - SBIETFIT</t>
  </si>
  <si>
    <t>INF200KA1S22</t>
  </si>
  <si>
    <t>SBIETFPB</t>
  </si>
  <si>
    <t>SBIAMC - SBIETFPB</t>
  </si>
  <si>
    <t>INF200KA1WX6</t>
  </si>
  <si>
    <t>SBIETFQLTY</t>
  </si>
  <si>
    <t>SBIAMC - SBIETFQLTY</t>
  </si>
  <si>
    <t>INF200KB1969</t>
  </si>
  <si>
    <t>SBILIQETF</t>
  </si>
  <si>
    <t>SBIAMC - SBILIQETF</t>
  </si>
  <si>
    <t>INF200KB1AJ0</t>
  </si>
  <si>
    <t>SBIMIDMOM</t>
  </si>
  <si>
    <t>SBIAMC - SBIMIDMOM</t>
  </si>
  <si>
    <t>INF200KB1282</t>
  </si>
  <si>
    <t>SBINEQWETF</t>
  </si>
  <si>
    <t>SBIAMC - SBINEQWETF</t>
  </si>
  <si>
    <t>INF200KB1AK8</t>
  </si>
  <si>
    <t>SBINMID150</t>
  </si>
  <si>
    <t>SBIAMC - SBINMID150</t>
  </si>
  <si>
    <t>INF200KB1217</t>
  </si>
  <si>
    <t>SBISILVER</t>
  </si>
  <si>
    <t>SBIAMC - SBISILVER</t>
  </si>
  <si>
    <t>INF200KB1AY9</t>
  </si>
  <si>
    <t>SBISMLETF</t>
  </si>
  <si>
    <t>SBIAMC - SBISMLETF</t>
  </si>
  <si>
    <t>INF200KB1AX1</t>
  </si>
  <si>
    <t>SBIVALETF</t>
  </si>
  <si>
    <t>SBIAMC - SBIVALETF</t>
  </si>
  <si>
    <t>INF200KA1JT1</t>
  </si>
  <si>
    <t>SETF10GILT</t>
  </si>
  <si>
    <t>SBIAMC - SETF10GILT</t>
  </si>
  <si>
    <t>INE099G01011</t>
  </si>
  <si>
    <t>SCANSTL</t>
  </si>
  <si>
    <t>SCAN STEELS LTD.</t>
  </si>
  <si>
    <t>INE513A01022</t>
  </si>
  <si>
    <t>SCHAEFFLER</t>
  </si>
  <si>
    <t>SCHAEFFLER INDIA LIMITED</t>
  </si>
  <si>
    <t>INE839M01018</t>
  </si>
  <si>
    <t>SCHNEIDER</t>
  </si>
  <si>
    <t>SCHNEIDER ELECTRIC INFRA</t>
  </si>
  <si>
    <t>INE148I07VZ2</t>
  </si>
  <si>
    <t>1025SCL35A</t>
  </si>
  <si>
    <t>SCL 10.25% SR XII</t>
  </si>
  <si>
    <t>INE148I07YA9</t>
  </si>
  <si>
    <t>9SCL27</t>
  </si>
  <si>
    <t>SCL 9.00% 2027 SR I</t>
  </si>
  <si>
    <t>INE148I07XP9</t>
  </si>
  <si>
    <t>925SCL2028</t>
  </si>
  <si>
    <t>SCL 9.25% 2028 SR IV</t>
  </si>
  <si>
    <t>INE148I07XA1</t>
  </si>
  <si>
    <t>945SCL28</t>
  </si>
  <si>
    <t>SCL 9.45% 2028 SR III</t>
  </si>
  <si>
    <t>INE090501011</t>
  </si>
  <si>
    <t>SCODATUBES</t>
  </si>
  <si>
    <t>SCODA TUBES LIMITED</t>
  </si>
  <si>
    <t>IN1020220506</t>
  </si>
  <si>
    <t>745AP42</t>
  </si>
  <si>
    <t>SG</t>
  </si>
  <si>
    <t>SDL AP 7.45% 2042</t>
  </si>
  <si>
    <t>IN1020230703</t>
  </si>
  <si>
    <t>764AP31</t>
  </si>
  <si>
    <t>SDL AP 7.64% 2031</t>
  </si>
  <si>
    <t>IN1320230155</t>
  </si>
  <si>
    <t>773BR39</t>
  </si>
  <si>
    <t>SDL BR 7.73% 2039</t>
  </si>
  <si>
    <t>IN3520230076</t>
  </si>
  <si>
    <t>773CG31</t>
  </si>
  <si>
    <t>SDL CG 7.73% 2031</t>
  </si>
  <si>
    <t>IN1520230161</t>
  </si>
  <si>
    <t>743GJ27</t>
  </si>
  <si>
    <t>SDL GJ 7.43% 2027</t>
  </si>
  <si>
    <t>IN1720260034</t>
  </si>
  <si>
    <t>777HP49</t>
  </si>
  <si>
    <t>SDL HP 7.77% 2049</t>
  </si>
  <si>
    <t>IN1620220237</t>
  </si>
  <si>
    <t>783HR32</t>
  </si>
  <si>
    <t>SDL HR 7.83% 2032</t>
  </si>
  <si>
    <t>IN1920240018</t>
  </si>
  <si>
    <t>695KA28</t>
  </si>
  <si>
    <t>SDL KA 6.95% 2028</t>
  </si>
  <si>
    <t>IN2220230048</t>
  </si>
  <si>
    <t>726MH30</t>
  </si>
  <si>
    <t>SDL MH 7.26% 2030</t>
  </si>
  <si>
    <t>IN2220220155</t>
  </si>
  <si>
    <t>757MH31</t>
  </si>
  <si>
    <t>SDL MH 7.57% 2031</t>
  </si>
  <si>
    <t>IN2720250132</t>
  </si>
  <si>
    <t>749OR36</t>
  </si>
  <si>
    <t>SDL OR 7.49% 2036</t>
  </si>
  <si>
    <t>IN2820260064</t>
  </si>
  <si>
    <t>702PN30</t>
  </si>
  <si>
    <t>SDL PN 7.02% 2030</t>
  </si>
  <si>
    <t>IN2820230232</t>
  </si>
  <si>
    <t>779PN38</t>
  </si>
  <si>
    <t>SDL PN 7.79% 2038</t>
  </si>
  <si>
    <t>IN3120260044</t>
  </si>
  <si>
    <t>769TN33</t>
  </si>
  <si>
    <t>SDL TN 7.69% 2033</t>
  </si>
  <si>
    <t>IN3120220030</t>
  </si>
  <si>
    <t>794TN32</t>
  </si>
  <si>
    <t>SDL TN 7.94% 2032</t>
  </si>
  <si>
    <t>IN4520240032</t>
  </si>
  <si>
    <t>744TS53</t>
  </si>
  <si>
    <t>SDL TS 7.44% 2053</t>
  </si>
  <si>
    <t>IN4520250551</t>
  </si>
  <si>
    <t>745TS53</t>
  </si>
  <si>
    <t>SDL TS 7.45% 2053</t>
  </si>
  <si>
    <t>IN3320230276</t>
  </si>
  <si>
    <t>746UP34</t>
  </si>
  <si>
    <t>SDL UP 7.46% 2034</t>
  </si>
  <si>
    <t>IN3320230128</t>
  </si>
  <si>
    <t>771UP33</t>
  </si>
  <si>
    <t>SDL UP 7.71% 2033</t>
  </si>
  <si>
    <t>IN3420210012</t>
  </si>
  <si>
    <t>683WB31A</t>
  </si>
  <si>
    <t>SDL WB 6.83% 2031</t>
  </si>
  <si>
    <t>INE497B01018</t>
  </si>
  <si>
    <t>SEAMECLTD</t>
  </si>
  <si>
    <t>SEAMEC LIMITED</t>
  </si>
  <si>
    <t>INE530B07187</t>
  </si>
  <si>
    <t>IIFLZC26</t>
  </si>
  <si>
    <t>SEC RE NCD 0% SR.VII</t>
  </si>
  <si>
    <t>INE413U07277</t>
  </si>
  <si>
    <t>10ISFL26</t>
  </si>
  <si>
    <t>SEC RE NCD 10% SR 4</t>
  </si>
  <si>
    <t>INE413U07269</t>
  </si>
  <si>
    <t>1003ISFL28</t>
  </si>
  <si>
    <t>SEC RE NCD 10.03% SR 5</t>
  </si>
  <si>
    <t>INE413U07301</t>
  </si>
  <si>
    <t>1003IIFL29</t>
  </si>
  <si>
    <t>SEC RE NCD 10.03% SR V</t>
  </si>
  <si>
    <t>INE148I07QX7</t>
  </si>
  <si>
    <t>1003SCL30A</t>
  </si>
  <si>
    <t>NV</t>
  </si>
  <si>
    <t>SEC RE NCD 10.03% SR X</t>
  </si>
  <si>
    <t>INE148I07QR9</t>
  </si>
  <si>
    <t>1015SCL28</t>
  </si>
  <si>
    <t>NR</t>
  </si>
  <si>
    <t>SEC RE NCD 10.15% SR VII</t>
  </si>
  <si>
    <t>INE148I07PL4</t>
  </si>
  <si>
    <t>925SCL28C</t>
  </si>
  <si>
    <t>BS</t>
  </si>
  <si>
    <t>INE583D07521</t>
  </si>
  <si>
    <t>1025UCL26A</t>
  </si>
  <si>
    <t>SEC RE NCD 10.25% SR II</t>
  </si>
  <si>
    <t>INE148I07RB1</t>
  </si>
  <si>
    <t>965SCL25F</t>
  </si>
  <si>
    <t>NZ</t>
  </si>
  <si>
    <t>SEC RE NCD 10.25% SR XII</t>
  </si>
  <si>
    <t>INE342T07460</t>
  </si>
  <si>
    <t>1065NFL27</t>
  </si>
  <si>
    <t>SEC RE NCD 10.65% SR.IV</t>
  </si>
  <si>
    <t>INE148I07PT7</t>
  </si>
  <si>
    <t>1075SCL33A</t>
  </si>
  <si>
    <t>SEC RE NCD 10.75% SR XI</t>
  </si>
  <si>
    <t>INE219X07249</t>
  </si>
  <si>
    <t>769IGT28</t>
  </si>
  <si>
    <t>SEC RE NCD 7.69% SR.IV</t>
  </si>
  <si>
    <t>INE0H7R07017</t>
  </si>
  <si>
    <t>79NHIT35</t>
  </si>
  <si>
    <t>SEC RE NCD 7.90% STRPP A</t>
  </si>
  <si>
    <t>INE0H7R07025</t>
  </si>
  <si>
    <t>79NHIT40</t>
  </si>
  <si>
    <t>SEC RE NCD 7.90% STRPP B</t>
  </si>
  <si>
    <t>INE0H7R07033</t>
  </si>
  <si>
    <t>79NHIT47</t>
  </si>
  <si>
    <t>SEC RE NCD 7.90% STRPP C</t>
  </si>
  <si>
    <t>INE219X07280</t>
  </si>
  <si>
    <t>797IGT31</t>
  </si>
  <si>
    <t>NL</t>
  </si>
  <si>
    <t>SEC RE NCD 7.97% SR.VI</t>
  </si>
  <si>
    <t>INE477L07AN9</t>
  </si>
  <si>
    <t>820IIFL27</t>
  </si>
  <si>
    <t>SEC RE NCD 8.20% SR.III</t>
  </si>
  <si>
    <t>INE219X07264</t>
  </si>
  <si>
    <t>82IGT31</t>
  </si>
  <si>
    <t>NJ</t>
  </si>
  <si>
    <t>SEC RE NCD 8.20% SR.V</t>
  </si>
  <si>
    <t>INE530B07161</t>
  </si>
  <si>
    <t>842IIFL26</t>
  </si>
  <si>
    <t>SEC RE NCD 8.42% SR.V</t>
  </si>
  <si>
    <t>INE477L07BB2</t>
  </si>
  <si>
    <t>865IHFL27</t>
  </si>
  <si>
    <t>SEC RE NCD 8.65% SR III</t>
  </si>
  <si>
    <t>INE530B07385</t>
  </si>
  <si>
    <t>865IFL28</t>
  </si>
  <si>
    <t>SEC RE NCD 8.65% SR.V</t>
  </si>
  <si>
    <t>INE530B07310</t>
  </si>
  <si>
    <t>865IIFL28</t>
  </si>
  <si>
    <t>NS</t>
  </si>
  <si>
    <t>INE530B07179</t>
  </si>
  <si>
    <t>875IIFL26</t>
  </si>
  <si>
    <t>SEC RE NCD 8.75% SR.VI</t>
  </si>
  <si>
    <t>INE477L07AR0</t>
  </si>
  <si>
    <t>875IHFL29</t>
  </si>
  <si>
    <t>SEC RE NCD 8.75% SR.VII</t>
  </si>
  <si>
    <t>INE477L07BG1</t>
  </si>
  <si>
    <t>89IHFL29</t>
  </si>
  <si>
    <t>SEC RE NCD 8.90% SR VI</t>
  </si>
  <si>
    <t>INE338I07164</t>
  </si>
  <si>
    <t>897MOFSL29</t>
  </si>
  <si>
    <t>SEC RE NCD 8.97% SR V</t>
  </si>
  <si>
    <t>INE530B07260</t>
  </si>
  <si>
    <t>9IIFL28A</t>
  </si>
  <si>
    <t>NT</t>
  </si>
  <si>
    <t>SEC RE NCD 9% SR.VI</t>
  </si>
  <si>
    <t>INE148I07TQ5</t>
  </si>
  <si>
    <t>925SCL29A</t>
  </si>
  <si>
    <t>ZM</t>
  </si>
  <si>
    <t>SEC RE NCD 9.25% SR VIII</t>
  </si>
  <si>
    <t>INE338I07107</t>
  </si>
  <si>
    <t>935MOFSL29</t>
  </si>
  <si>
    <t>SEC RE NCD 9.35% SR VI</t>
  </si>
  <si>
    <t>INE148I07RJ4</t>
  </si>
  <si>
    <t>948SCL26B</t>
  </si>
  <si>
    <t>Y8</t>
  </si>
  <si>
    <t>SEC RE NCD 9.48% SR V</t>
  </si>
  <si>
    <t>INE148I07TL6</t>
  </si>
  <si>
    <t>948SCL27A</t>
  </si>
  <si>
    <t>ZJ</t>
  </si>
  <si>
    <t>INE423A07328</t>
  </si>
  <si>
    <t>965AEL27</t>
  </si>
  <si>
    <t>SEC RE NCD 9.65% SR IV</t>
  </si>
  <si>
    <t>INE741K07579</t>
  </si>
  <si>
    <t>970CAGL28</t>
  </si>
  <si>
    <t>SEC RE NCD 9.70% SR VII</t>
  </si>
  <si>
    <t>INE338I07123</t>
  </si>
  <si>
    <t>97MOFSL34</t>
  </si>
  <si>
    <t>SEC RE NCD 9.70% SR VIII</t>
  </si>
  <si>
    <t>INE244L07416</t>
  </si>
  <si>
    <t>985SFIL28</t>
  </si>
  <si>
    <t>NO</t>
  </si>
  <si>
    <t>SEC RE NCD 9.85% SR.VIII</t>
  </si>
  <si>
    <t>INE148I07PY7</t>
  </si>
  <si>
    <t>990SCL26</t>
  </si>
  <si>
    <t>SEC RE NCD 9.90% SR IV</t>
  </si>
  <si>
    <t>INE423A07344</t>
  </si>
  <si>
    <t>99AEL29</t>
  </si>
  <si>
    <t>SEC RE NCD 9.90% SR VII</t>
  </si>
  <si>
    <t>INE00QS24043</t>
  </si>
  <si>
    <t>IMC1</t>
  </si>
  <si>
    <t>SEC RE NCGB 8.25% STRPP B</t>
  </si>
  <si>
    <t>INE00QS24027</t>
  </si>
  <si>
    <t>SEC RE NCGB 8.25% STRPP C</t>
  </si>
  <si>
    <t>INE00QS24035</t>
  </si>
  <si>
    <t>SEC RE NCGB 8.25% STRPP D</t>
  </si>
  <si>
    <t>INE804IA7014</t>
  </si>
  <si>
    <t>1015ECL29</t>
  </si>
  <si>
    <t>SEC RED NCD 10.15% SR. VI</t>
  </si>
  <si>
    <t>INE804IA7022</t>
  </si>
  <si>
    <t>1060ECL29</t>
  </si>
  <si>
    <t>SEC RED NCD 10.6% SR. VII</t>
  </si>
  <si>
    <t>INE148I07GJ7</t>
  </si>
  <si>
    <t>865SCL26</t>
  </si>
  <si>
    <t>SEC RED NCD 8.65% SR. V</t>
  </si>
  <si>
    <t>INE721A07PK7</t>
  </si>
  <si>
    <t>875SFL27</t>
  </si>
  <si>
    <t>ZF</t>
  </si>
  <si>
    <t>SEC RED NCD 8.75% SR.III</t>
  </si>
  <si>
    <t>INE148I07GK5</t>
  </si>
  <si>
    <t>885SCL26</t>
  </si>
  <si>
    <t>SEC RED NCD 8.85% SR. VI</t>
  </si>
  <si>
    <t>INE148I07GL3</t>
  </si>
  <si>
    <t>9SCL26BA</t>
  </si>
  <si>
    <t>SEC RED NCD 9.0% SR. VI</t>
  </si>
  <si>
    <t>INE721A07NU1</t>
  </si>
  <si>
    <t>903SFL28</t>
  </si>
  <si>
    <t>YI</t>
  </si>
  <si>
    <t>SEC RED NCD 9.03% SR. II</t>
  </si>
  <si>
    <t>INE721A07OC7</t>
  </si>
  <si>
    <t>930SFL28</t>
  </si>
  <si>
    <t>YP</t>
  </si>
  <si>
    <t>SEC RED NCD 9.30% SR. II</t>
  </si>
  <si>
    <t>INE721A07ON4</t>
  </si>
  <si>
    <t>957ICCL25</t>
  </si>
  <si>
    <t>YW</t>
  </si>
  <si>
    <t>INE721A07NX5</t>
  </si>
  <si>
    <t>94SFL28</t>
  </si>
  <si>
    <t>YL</t>
  </si>
  <si>
    <t>SEC RED NCD 9.40% SR. V</t>
  </si>
  <si>
    <t>INE804I078Y8</t>
  </si>
  <si>
    <t>943ECL28</t>
  </si>
  <si>
    <t>SEC RED NCD 9.43% SR. VI</t>
  </si>
  <si>
    <t>INE721A07OQ7</t>
  </si>
  <si>
    <t>97SFL29</t>
  </si>
  <si>
    <t>YZ</t>
  </si>
  <si>
    <t>SEC RED NCD 9.70% SR. V</t>
  </si>
  <si>
    <t>INE804I079Y6</t>
  </si>
  <si>
    <t>985ECL28</t>
  </si>
  <si>
    <t>NK</t>
  </si>
  <si>
    <t>SEC RED NCD 9.85% SR. VII</t>
  </si>
  <si>
    <t>INE148I07GN9</t>
  </si>
  <si>
    <t>SCLZC26</t>
  </si>
  <si>
    <t>NB</t>
  </si>
  <si>
    <t>SEC RED NCD SR. VII</t>
  </si>
  <si>
    <t>INE0BTM01013</t>
  </si>
  <si>
    <t>SECMARK</t>
  </si>
  <si>
    <t>SECMARK CONSULTANCY LTD</t>
  </si>
  <si>
    <t>INE650K01021</t>
  </si>
  <si>
    <t>SECURKLOUD</t>
  </si>
  <si>
    <t>SECUREKLOUD TECH LIMITED</t>
  </si>
  <si>
    <t>INE00XB01019</t>
  </si>
  <si>
    <t>SEDEMAC</t>
  </si>
  <si>
    <t>SEDEMAC MECHATRONICS LTD</t>
  </si>
  <si>
    <t>INE955I01044</t>
  </si>
  <si>
    <t>SEJALLTD</t>
  </si>
  <si>
    <t>SEJAL GLASS LIMITED</t>
  </si>
  <si>
    <t>INE105I01020</t>
  </si>
  <si>
    <t>SELMC</t>
  </si>
  <si>
    <t>SEL MANUFACTURING CO LTD</t>
  </si>
  <si>
    <t>INE0IJF01013</t>
  </si>
  <si>
    <t>SELLOWRAP</t>
  </si>
  <si>
    <t>SELLOWRAP INDUSTRIES LTD</t>
  </si>
  <si>
    <t>INE617A01013</t>
  </si>
  <si>
    <t>SEMAC</t>
  </si>
  <si>
    <t>SEMAC CONSTRUCTION LTD</t>
  </si>
  <si>
    <t>INE602W01027</t>
  </si>
  <si>
    <t>SENCO</t>
  </si>
  <si>
    <t>SENCO GOLD LIMITED</t>
  </si>
  <si>
    <t>INE0RB801010</t>
  </si>
  <si>
    <t>SENORES</t>
  </si>
  <si>
    <t>SENORES PHARMACEUTICALS L</t>
  </si>
  <si>
    <t>INE964H01014</t>
  </si>
  <si>
    <t>SEPC</t>
  </si>
  <si>
    <t>SEPC LIMITED</t>
  </si>
  <si>
    <t>INE027E07BC8</t>
  </si>
  <si>
    <t>865LTF26</t>
  </si>
  <si>
    <t>SERENCD 8.65% SR.VI OP12</t>
  </si>
  <si>
    <t>INE027E07998</t>
  </si>
  <si>
    <t>898LTF29</t>
  </si>
  <si>
    <t>SERENCD 8.98% SR.VI OP2</t>
  </si>
  <si>
    <t>INE027E07AL1</t>
  </si>
  <si>
    <t>905LTF27</t>
  </si>
  <si>
    <t>SERENCD 9.05% SR.VI OPII</t>
  </si>
  <si>
    <t>INE306N07LM5</t>
  </si>
  <si>
    <t>865TCAPS27</t>
  </si>
  <si>
    <t>SERENCD8.65%SR.IIICIII&amp;IV</t>
  </si>
  <si>
    <t>INE0P1Q01015</t>
  </si>
  <si>
    <t>SERVICE</t>
  </si>
  <si>
    <t>SERVICE CARE LIMITED</t>
  </si>
  <si>
    <t>INE782X01033</t>
  </si>
  <si>
    <t>SERVOTECH</t>
  </si>
  <si>
    <t>SERVOTECH REN POW SYS LTD</t>
  </si>
  <si>
    <t>INE04VU01023</t>
  </si>
  <si>
    <t>STYL</t>
  </si>
  <si>
    <t>SESHAASAI TECHNOLOGIES L</t>
  </si>
  <si>
    <t>INE630A01024</t>
  </si>
  <si>
    <t>SESHAPAPER</t>
  </si>
  <si>
    <t>SESHASAYEE PAPER &amp; BOARDS</t>
  </si>
  <si>
    <t>INE878E01021</t>
  </si>
  <si>
    <t>SETCO</t>
  </si>
  <si>
    <t>SETCO AUTOMOTIVE LTD</t>
  </si>
  <si>
    <t>INE023M01027</t>
  </si>
  <si>
    <t>SETUINFRA</t>
  </si>
  <si>
    <t>SETUBANDHAN INFRA LTD</t>
  </si>
  <si>
    <t>INE573R01012</t>
  </si>
  <si>
    <t>SEYAIND</t>
  </si>
  <si>
    <t>SEYA INDUSTRIES LIMITED</t>
  </si>
  <si>
    <t>INE618R01015</t>
  </si>
  <si>
    <t>SGFIN</t>
  </si>
  <si>
    <t>SG FINSERVE LIMITED</t>
  </si>
  <si>
    <t>INE385F01024</t>
  </si>
  <si>
    <t>SGMART</t>
  </si>
  <si>
    <t>SG MART LIMITED</t>
  </si>
  <si>
    <t>INE967B01028</t>
  </si>
  <si>
    <t>SGLRES</t>
  </si>
  <si>
    <t>SGL RESOURCES LIMITED</t>
  </si>
  <si>
    <t>INE12UN01015</t>
  </si>
  <si>
    <t>SHADOWFAX</t>
  </si>
  <si>
    <t>SHADOWFAX TECHNOLOGIES L</t>
  </si>
  <si>
    <t>INE640C01011</t>
  </si>
  <si>
    <t>SHAHALLOYS</t>
  </si>
  <si>
    <t>SHAH ALLOYS LIMITED</t>
  </si>
  <si>
    <t>INE482J01021</t>
  </si>
  <si>
    <t>SHAH</t>
  </si>
  <si>
    <t>SHAH METACORP LIMITED</t>
  </si>
  <si>
    <t>INE151G01028</t>
  </si>
  <si>
    <t>SHAILY</t>
  </si>
  <si>
    <t>SHAILY ENG PLASTICS LTD</t>
  </si>
  <si>
    <t>INE908D01010</t>
  </si>
  <si>
    <t>SHAKTIPUMP</t>
  </si>
  <si>
    <t>SHAKTI PUMPS (I) LTD</t>
  </si>
  <si>
    <t>INE597J01018</t>
  </si>
  <si>
    <t>SHALBY</t>
  </si>
  <si>
    <t>SHALBY LIMITED</t>
  </si>
  <si>
    <t>INE861D01011</t>
  </si>
  <si>
    <t>SAHLIBHFI</t>
  </si>
  <si>
    <t>SHALIBHADRA FINANCE LTD</t>
  </si>
  <si>
    <t>INE849C01026</t>
  </si>
  <si>
    <t>SHALPAINTS</t>
  </si>
  <si>
    <t>SHALIM PAINTS LTD</t>
  </si>
  <si>
    <t>INE01NE01012</t>
  </si>
  <si>
    <t>SRD</t>
  </si>
  <si>
    <t>SHANKAR LAL RAMPAL LTD</t>
  </si>
  <si>
    <t>INE274V01019</t>
  </si>
  <si>
    <t>SHANKARA</t>
  </si>
  <si>
    <t>SHANKARA BLDG PRODUCT LTD</t>
  </si>
  <si>
    <t>INE24OJ01011</t>
  </si>
  <si>
    <t>BUILDPRO</t>
  </si>
  <si>
    <t>SHANKARA BUILDPRO LIMITED</t>
  </si>
  <si>
    <t>INE1WFC01025</t>
  </si>
  <si>
    <t>SHANKESH</t>
  </si>
  <si>
    <t>SHANKESH JEWELLERS LTD</t>
  </si>
  <si>
    <t>INE0Q9Q01017</t>
  </si>
  <si>
    <t>SHANTHALA</t>
  </si>
  <si>
    <t>SHANTHALA FMCG PRODUCTS L</t>
  </si>
  <si>
    <t>INE631A01022</t>
  </si>
  <si>
    <t>SHANTIGEAR</t>
  </si>
  <si>
    <t>SHANTHI GEARS LTD</t>
  </si>
  <si>
    <t>INE440T01028</t>
  </si>
  <si>
    <t>SEIL</t>
  </si>
  <si>
    <t>SHANTI EDU INITIATIVES L</t>
  </si>
  <si>
    <t>INE06ZD01017</t>
  </si>
  <si>
    <t>SHANTIGOLD</t>
  </si>
  <si>
    <t>SHANTI GOLD INTERNATION L</t>
  </si>
  <si>
    <t>INE1ZEE01019</t>
  </si>
  <si>
    <t>SHANTIINOR</t>
  </si>
  <si>
    <t>SHANTI INORGANICS LIMITED</t>
  </si>
  <si>
    <t>INE933X01016</t>
  </si>
  <si>
    <t>SHANTI</t>
  </si>
  <si>
    <t>SHANTI OVERSEAS INDIA LTD</t>
  </si>
  <si>
    <t>INE220Z01013</t>
  </si>
  <si>
    <t>SHINDL</t>
  </si>
  <si>
    <t>SHARAT INDUSTRIES LTD.</t>
  </si>
  <si>
    <t>INE221J01015</t>
  </si>
  <si>
    <t>SHARDACROP</t>
  </si>
  <si>
    <t>SHARDA CROPCHEM LTD.</t>
  </si>
  <si>
    <t>INE597I01028</t>
  </si>
  <si>
    <t>SHARDAMOTR</t>
  </si>
  <si>
    <t>SHARDA MOTOR INDS LTD</t>
  </si>
  <si>
    <t>INE037B01020</t>
  </si>
  <si>
    <t>SHARDUL</t>
  </si>
  <si>
    <t>SHARDUL SECURITIES LTD.</t>
  </si>
  <si>
    <t>INE932X01026</t>
  </si>
  <si>
    <t>SHAREINDIA</t>
  </si>
  <si>
    <t>SHARE IND. SECURITIES LTD</t>
  </si>
  <si>
    <t>INE460Q01014</t>
  </si>
  <si>
    <t>SCML</t>
  </si>
  <si>
    <t>SHARP CHUCKS N MACHINES L</t>
  </si>
  <si>
    <t>INE0YJV01017</t>
  </si>
  <si>
    <t>SHEEL</t>
  </si>
  <si>
    <t>SHEEL BIOTECH LIMITED</t>
  </si>
  <si>
    <t>INE916U01025</t>
  </si>
  <si>
    <t>SFL</t>
  </si>
  <si>
    <t>SHEELA FOAM LIMITED</t>
  </si>
  <si>
    <t>INE501Y01019</t>
  </si>
  <si>
    <t>SCPL</t>
  </si>
  <si>
    <t>SHEETAL COOL PRODUCTS LTD</t>
  </si>
  <si>
    <t>INE04VX01019</t>
  </si>
  <si>
    <t>SHEETAL</t>
  </si>
  <si>
    <t>SHEETAL UNIVERSAL LIMITED</t>
  </si>
  <si>
    <t>INE268L01046</t>
  </si>
  <si>
    <t>SHEKHAWATI</t>
  </si>
  <si>
    <t>SHEKHAWATI INDUSTRIES LTD</t>
  </si>
  <si>
    <t>INE363M01019</t>
  </si>
  <si>
    <t>SHEMAROO</t>
  </si>
  <si>
    <t>SHEMAROO ENTER. LTD.</t>
  </si>
  <si>
    <t>INE0MM001019</t>
  </si>
  <si>
    <t>SHERA</t>
  </si>
  <si>
    <t>SHERA ENERGY LIMITED</t>
  </si>
  <si>
    <t>INE011D01013</t>
  </si>
  <si>
    <t>SHERVANI</t>
  </si>
  <si>
    <t>SHERVANI INDUSTRIAL SYN L</t>
  </si>
  <si>
    <t>INE03KJ01013</t>
  </si>
  <si>
    <t>SHIGAN</t>
  </si>
  <si>
    <t>SHIGAN QUANTUM TECH LTD</t>
  </si>
  <si>
    <t>INE024F01011</t>
  </si>
  <si>
    <t>SHILCTECH</t>
  </si>
  <si>
    <t>SHILCHAR TECHNOLOGIES LTD</t>
  </si>
  <si>
    <t>INE960A01017</t>
  </si>
  <si>
    <t>SHILGRAVQ</t>
  </si>
  <si>
    <t>SHILP GRAVURES LTD.</t>
  </si>
  <si>
    <t>INE790G01031</t>
  </si>
  <si>
    <t>SHILPAMED</t>
  </si>
  <si>
    <t>SHILPA MEDICARE LTD</t>
  </si>
  <si>
    <t>INE0PB301013</t>
  </si>
  <si>
    <t>SCILAL</t>
  </si>
  <si>
    <t>SHIPPING CORP OF ILA LTD</t>
  </si>
  <si>
    <t>INE109A01011</t>
  </si>
  <si>
    <t>SCI</t>
  </si>
  <si>
    <t>SHIPPING CORP OF INDIA LT</t>
  </si>
  <si>
    <t>INE0FOO01011</t>
  </si>
  <si>
    <t>SHIPROCKET</t>
  </si>
  <si>
    <t>SHIPROCKET LIMITED</t>
  </si>
  <si>
    <t>INE719F01016</t>
  </si>
  <si>
    <t>SHIVAUM</t>
  </si>
  <si>
    <t>SHIV AUM STEELS LIMITED</t>
  </si>
  <si>
    <t>INE555C01029</t>
  </si>
  <si>
    <t>SHIVACEM</t>
  </si>
  <si>
    <t>SHIVA CEMENT LTD.</t>
  </si>
  <si>
    <t>INE960E01019</t>
  </si>
  <si>
    <t>SHIVAAGRO</t>
  </si>
  <si>
    <t>SHIVA GLOBAL AGRO INDS. L</t>
  </si>
  <si>
    <t>INE644Y01017</t>
  </si>
  <si>
    <t>SHIVAMILLS</t>
  </si>
  <si>
    <t>SHIVA MILLS LIMITED</t>
  </si>
  <si>
    <t>INE705C01020</t>
  </si>
  <si>
    <t>SHIVATEX</t>
  </si>
  <si>
    <t>SHIVA TEXYARN LIMITED</t>
  </si>
  <si>
    <t>INE0T7B01010</t>
  </si>
  <si>
    <t>SPCL</t>
  </si>
  <si>
    <t>SHIVALIC POWER CONTROL L</t>
  </si>
  <si>
    <t>INE386D01027</t>
  </si>
  <si>
    <t>SBCL</t>
  </si>
  <si>
    <t>SHIVALIK BIMETAL CON. LTD</t>
  </si>
  <si>
    <t>INE788J01021</t>
  </si>
  <si>
    <t>SHIVALIK</t>
  </si>
  <si>
    <t>SHIVALIK RASAYAN LIMITED</t>
  </si>
  <si>
    <t>INE637H01024</t>
  </si>
  <si>
    <t>SHIVAMAUTO</t>
  </si>
  <si>
    <t>SHIVAM AUTO.LTD</t>
  </si>
  <si>
    <t>INE1DLF01018</t>
  </si>
  <si>
    <t>SHIVASHRIT</t>
  </si>
  <si>
    <t>SHIVASHRIT FOODS LIMITED</t>
  </si>
  <si>
    <t>INE498B01024</t>
  </si>
  <si>
    <t>SHOPERSTOP</t>
  </si>
  <si>
    <t>SHOPPERS STOP LIMITED</t>
  </si>
  <si>
    <t>INE311M01018</t>
  </si>
  <si>
    <t>SHRADDHA</t>
  </si>
  <si>
    <t>SHRADDHA PRIME PROJECTS L</t>
  </si>
  <si>
    <t>INE715Y01031</t>
  </si>
  <si>
    <t>SHRADHA</t>
  </si>
  <si>
    <t>SHRADHA REALTY LIMITED</t>
  </si>
  <si>
    <t>INE712K01011</t>
  </si>
  <si>
    <t>SHREEPUSHK</t>
  </si>
  <si>
    <t>SHRE PUSH CHEM &amp; FERT LTD</t>
  </si>
  <si>
    <t>INE185C01017</t>
  </si>
  <si>
    <t>SAPPL</t>
  </si>
  <si>
    <t>SHREE AJIT PULP &amp; PAPER L</t>
  </si>
  <si>
    <t>INE070A01015</t>
  </si>
  <si>
    <t>SHREECEM</t>
  </si>
  <si>
    <t>SHREE CEMENT LIMITED</t>
  </si>
  <si>
    <t>INE232A01011</t>
  </si>
  <si>
    <t>SHREDIGCEM</t>
  </si>
  <si>
    <t>SHREE DIGVIJAY CEM CO LTD</t>
  </si>
  <si>
    <t>INE414Y01015</t>
  </si>
  <si>
    <t>SGRL</t>
  </si>
  <si>
    <t>SHREE GANESH REMEDIES LTD</t>
  </si>
  <si>
    <t>INE0S4Y01010</t>
  </si>
  <si>
    <t>SHREEKARNI</t>
  </si>
  <si>
    <t>SHREE KARNI FABCOM LTD</t>
  </si>
  <si>
    <t>INE02S501018</t>
  </si>
  <si>
    <t>SHREEOSFM</t>
  </si>
  <si>
    <t>SHREE OSFM E-MOBILITY LTD</t>
  </si>
  <si>
    <t>INE19GK01015</t>
  </si>
  <si>
    <t>SRTL</t>
  </si>
  <si>
    <t>SHREE RAM TWISTEX LIMITED</t>
  </si>
  <si>
    <t>INE879A01019</t>
  </si>
  <si>
    <t>SHREERAMA</t>
  </si>
  <si>
    <t>SHREE RAMA MULTI TECH LTD</t>
  </si>
  <si>
    <t>INE278B01020</t>
  </si>
  <si>
    <t>RAMANEWS</t>
  </si>
  <si>
    <t>SHREE RAMA NEWSPRINT LTD</t>
  </si>
  <si>
    <t>INE087H01022</t>
  </si>
  <si>
    <t>RENUKA</t>
  </si>
  <si>
    <t>SHREE RENUKA SUGARS LTD</t>
  </si>
  <si>
    <t>INE238Y01018</t>
  </si>
  <si>
    <t>TIRUPATI</t>
  </si>
  <si>
    <t>SHREE TIRUPATI BALAJEE</t>
  </si>
  <si>
    <t>INE0S2G01011</t>
  </si>
  <si>
    <t>BALAJEE</t>
  </si>
  <si>
    <t>SHREE TIRUPATI BALAJEE L</t>
  </si>
  <si>
    <t>INE00CE01017</t>
  </si>
  <si>
    <t>SVLL</t>
  </si>
  <si>
    <t>SHREE VASU LOGISTICS LTD</t>
  </si>
  <si>
    <t>INE0K3301012</t>
  </si>
  <si>
    <t>SHREEDHAR</t>
  </si>
  <si>
    <t>SHREEDHAR SPINNERS LTD</t>
  </si>
  <si>
    <t>INE1FL101016</t>
  </si>
  <si>
    <t>SHETHJI</t>
  </si>
  <si>
    <t>SHREEJI GLOBAL FMCG LTD</t>
  </si>
  <si>
    <t>INE1B6101010</t>
  </si>
  <si>
    <t>SHREEJISPG</t>
  </si>
  <si>
    <t>SHREEJI SHIPPING GLOBAL L</t>
  </si>
  <si>
    <t>INE00IK01029</t>
  </si>
  <si>
    <t>OSWALSEEDS</t>
  </si>
  <si>
    <t>SHREEOSWAL S AND CHE LTD</t>
  </si>
  <si>
    <t>INE0GTI23014</t>
  </si>
  <si>
    <t>SHREMINVIT</t>
  </si>
  <si>
    <t>SHREM INVIT</t>
  </si>
  <si>
    <t>INE632X01030</t>
  </si>
  <si>
    <t>SHRENIK</t>
  </si>
  <si>
    <t>SHRENIK LIMITED</t>
  </si>
  <si>
    <t>INE231C01019</t>
  </si>
  <si>
    <t>SHREYANIND</t>
  </si>
  <si>
    <t>SHREYANS INDUSTRIES LTD</t>
  </si>
  <si>
    <t>INE0DM401012</t>
  </si>
  <si>
    <t>SHRIAHIMSA</t>
  </si>
  <si>
    <t>SHRI AHIMSA NATURALS LTD</t>
  </si>
  <si>
    <t>INE402H01015</t>
  </si>
  <si>
    <t>SHBAJRG</t>
  </si>
  <si>
    <t>SHRI BAJRANG ALLIANCE L</t>
  </si>
  <si>
    <t>INE0NON01025</t>
  </si>
  <si>
    <t>SHKSIL</t>
  </si>
  <si>
    <t>SHRI HARE-KRI SPO IRON L</t>
  </si>
  <si>
    <t>INE564J01026</t>
  </si>
  <si>
    <t>SHRJAGP</t>
  </si>
  <si>
    <t>SHRI JAGDAMBA POLYMERS L</t>
  </si>
  <si>
    <t>INE1V4601019</t>
  </si>
  <si>
    <t>SHRIKANHA</t>
  </si>
  <si>
    <t>SHRI KANHA STAINLESS LTD</t>
  </si>
  <si>
    <t>INE997I01012</t>
  </si>
  <si>
    <t>SHRIKRISH</t>
  </si>
  <si>
    <t>SHRI KRISHNA DEVCON LTD.</t>
  </si>
  <si>
    <t>INE574G01013</t>
  </si>
  <si>
    <t>VASUPRADA</t>
  </si>
  <si>
    <t>SHRI VASUPRADA PLANTATI L</t>
  </si>
  <si>
    <t>INE1B3L01017</t>
  </si>
  <si>
    <t>SHRINGARMS</t>
  </si>
  <si>
    <t>SHRINGAR HOU OF MANGALS L</t>
  </si>
  <si>
    <t>INF680P01422</t>
  </si>
  <si>
    <t>LIQUIDSHRI</t>
  </si>
  <si>
    <t>SHRIRAM - LIQUIDSHRI</t>
  </si>
  <si>
    <t>INE721A01047</t>
  </si>
  <si>
    <t>SHRIRAMFIN</t>
  </si>
  <si>
    <t>SHRIRAM FINANCE LIMITED</t>
  </si>
  <si>
    <t>INE217L01019</t>
  </si>
  <si>
    <t>SHRIRAMPPS</t>
  </si>
  <si>
    <t>SHRIRAM PROPERTIES LTD</t>
  </si>
  <si>
    <t>INE01Z401013</t>
  </si>
  <si>
    <t>SHUBHLAXMI</t>
  </si>
  <si>
    <t>SHUBHLAXMI JEWEL ART LTD</t>
  </si>
  <si>
    <t>INE0UL701015</t>
  </si>
  <si>
    <t>SHUBHSHREE</t>
  </si>
  <si>
    <t>SHUBHSHREE BIOFUELS ENE L</t>
  </si>
  <si>
    <t>INE551C01044</t>
  </si>
  <si>
    <t>SHUKRAPHAR</t>
  </si>
  <si>
    <t>SHUKRA PHARMACEUTICALS L</t>
  </si>
  <si>
    <t>INE979R01011</t>
  </si>
  <si>
    <t>SHYAMCENT</t>
  </si>
  <si>
    <t>SHYAM CENTURY FERROUS LTD</t>
  </si>
  <si>
    <t>INE1CRP01016</t>
  </si>
  <si>
    <t>SHYAMDHANI</t>
  </si>
  <si>
    <t>SHYAM DHANI INDUSTRIES L</t>
  </si>
  <si>
    <t>INE810G01011</t>
  </si>
  <si>
    <t>SHYAMMETL</t>
  </si>
  <si>
    <t>SHYAM METALICS AND ENGY L</t>
  </si>
  <si>
    <t>INE635A01023</t>
  </si>
  <si>
    <t>SHYAMTEL</t>
  </si>
  <si>
    <t>SHYAM TELECOM LIMITED</t>
  </si>
  <si>
    <t>INE176J01011</t>
  </si>
  <si>
    <t>SICAGEN</t>
  </si>
  <si>
    <t>SICAGEN INDIA LIMITED</t>
  </si>
  <si>
    <t>INE075B01020</t>
  </si>
  <si>
    <t>SICALLOG</t>
  </si>
  <si>
    <t>SICAL LOGISTICS LIMITED</t>
  </si>
  <si>
    <t>INE0SVO01019</t>
  </si>
  <si>
    <t>SIDDHICOTS</t>
  </si>
  <si>
    <t>SIDDHI COTSPIN LIMITED</t>
  </si>
  <si>
    <t>INE0A1E01018</t>
  </si>
  <si>
    <t>SIDDHIKA</t>
  </si>
  <si>
    <t>SIDDHIKA COATINGS LIMITED</t>
  </si>
  <si>
    <t>INE1NPP01017</t>
  </si>
  <si>
    <t>ENRIN</t>
  </si>
  <si>
    <t>SIEMENS ENERGY INDIA LTD</t>
  </si>
  <si>
    <t>INE003A01024</t>
  </si>
  <si>
    <t>SIEMENS</t>
  </si>
  <si>
    <t>SIEMENS LTD</t>
  </si>
  <si>
    <t>INE0D0K01022</t>
  </si>
  <si>
    <t>SIGACHI</t>
  </si>
  <si>
    <t>SIGACHI INDUSTRIES LTD</t>
  </si>
  <si>
    <t>INE933B01012</t>
  </si>
  <si>
    <t>SIGMAADV</t>
  </si>
  <si>
    <t>SIGMA ADVANCED SYSTEM LTD</t>
  </si>
  <si>
    <t>INE0A0S01028</t>
  </si>
  <si>
    <t>SIGMA</t>
  </si>
  <si>
    <t>SIGMA SOLVE LIMITED</t>
  </si>
  <si>
    <t>INE903U01023</t>
  </si>
  <si>
    <t>SIGNATURE</t>
  </si>
  <si>
    <t>SIGNATUREGLOBAL INDIA LTD</t>
  </si>
  <si>
    <t>INE529F01035</t>
  </si>
  <si>
    <t>SIGIND</t>
  </si>
  <si>
    <t>SIGNET INDUSTRIES LIMITED</t>
  </si>
  <si>
    <t>INE0KGZ01021</t>
  </si>
  <si>
    <t>SIGNPOST</t>
  </si>
  <si>
    <t>SIGNPOST INDIA LIMITED</t>
  </si>
  <si>
    <t>INE438E01032</t>
  </si>
  <si>
    <t>SIKA</t>
  </si>
  <si>
    <t>SIKA INTERPLANT SYSTEMS L</t>
  </si>
  <si>
    <t>INE112X01025</t>
  </si>
  <si>
    <t>SIKKO</t>
  </si>
  <si>
    <t>SIKKO INDUSTRIES LIMITED</t>
  </si>
  <si>
    <t>INE923A01015</t>
  </si>
  <si>
    <t>SILINV</t>
  </si>
  <si>
    <t>SIL INVESTMENTS LIMITED</t>
  </si>
  <si>
    <t>INE01II01013</t>
  </si>
  <si>
    <t>SILGO</t>
  </si>
  <si>
    <t>SILGO RETAIL LIMITED</t>
  </si>
  <si>
    <t>INE0STN01015</t>
  </si>
  <si>
    <t>SILKFLEX</t>
  </si>
  <si>
    <t>SILKFLEX POLYMERS INDIA L</t>
  </si>
  <si>
    <t>INE0SN801015</t>
  </si>
  <si>
    <t>SILKY</t>
  </si>
  <si>
    <t>SILKY OVERSEAS LIMITED</t>
  </si>
  <si>
    <t>INE203Y01012</t>
  </si>
  <si>
    <t>SILLYMONKS</t>
  </si>
  <si>
    <t>SILLY MONKS ENTERTAIN LTD</t>
  </si>
  <si>
    <t>INE625X01026</t>
  </si>
  <si>
    <t>SILVERTUC</t>
  </si>
  <si>
    <t>SILVER TOUCH TECHNO LTD</t>
  </si>
  <si>
    <t>INE748T01016</t>
  </si>
  <si>
    <t>SIMBHALS</t>
  </si>
  <si>
    <t>SIMBHAOLI SUGARS LTD.</t>
  </si>
  <si>
    <t>INE1K4J01018</t>
  </si>
  <si>
    <t>SIMCA</t>
  </si>
  <si>
    <t>SIMCA ADVERTISING LIMITED</t>
  </si>
  <si>
    <t>INE059B01024</t>
  </si>
  <si>
    <t>SIMPLEXINF</t>
  </si>
  <si>
    <t>SIMPLEX INFRASTRUCTURES L</t>
  </si>
  <si>
    <t>INE167H01014</t>
  </si>
  <si>
    <t>SIMPLXREA</t>
  </si>
  <si>
    <t>SIMPLEX REALTY LTD.</t>
  </si>
  <si>
    <t>INE985A01022</t>
  </si>
  <si>
    <t>SINCLAIR</t>
  </si>
  <si>
    <t>SINCLAIRS HOTELS LIMITED</t>
  </si>
  <si>
    <t>INE325D01025</t>
  </si>
  <si>
    <t>SINDHUTRAD</t>
  </si>
  <si>
    <t>SINDHU TRADE LINKS LTD</t>
  </si>
  <si>
    <t>INE638A01035</t>
  </si>
  <si>
    <t>SINGERIND</t>
  </si>
  <si>
    <t>SINGER INDIA LIMITED</t>
  </si>
  <si>
    <t>INE129Z01016</t>
  </si>
  <si>
    <t>SINTERCOM</t>
  </si>
  <si>
    <t>SINTERCOM INDIA LIMITED</t>
  </si>
  <si>
    <t>INE792Z01011</t>
  </si>
  <si>
    <t>SIRCA</t>
  </si>
  <si>
    <t>SIRCA PAINT INDIA LIMITED</t>
  </si>
  <si>
    <t>INE285J01028</t>
  </si>
  <si>
    <t>SIS</t>
  </si>
  <si>
    <t>SIS LIMITED</t>
  </si>
  <si>
    <t>INE965H01011</t>
  </si>
  <si>
    <t>SITINET</t>
  </si>
  <si>
    <t>SITI NETWORKS LIMITED</t>
  </si>
  <si>
    <t>INE076B01028</t>
  </si>
  <si>
    <t>SIYSIL</t>
  </si>
  <si>
    <t>SIYARAM SILK MILLS LTD</t>
  </si>
  <si>
    <t>INE284S01014</t>
  </si>
  <si>
    <t>SJS</t>
  </si>
  <si>
    <t>SJS ENTERPRISES LIMITED</t>
  </si>
  <si>
    <t>INE002L01015</t>
  </si>
  <si>
    <t>SJVN</t>
  </si>
  <si>
    <t>SJVN LTD</t>
  </si>
  <si>
    <t>INE2J8701016</t>
  </si>
  <si>
    <t>SKFINDUS</t>
  </si>
  <si>
    <t>SKF IND (INDUSTRIAL) LTD</t>
  </si>
  <si>
    <t>INE640A01023</t>
  </si>
  <si>
    <t>SKFINDIA</t>
  </si>
  <si>
    <t>SKF INDIA LTD</t>
  </si>
  <si>
    <t>INE439E01022</t>
  </si>
  <si>
    <t>SKIPPER</t>
  </si>
  <si>
    <t>SKIPPER LIMITED</t>
  </si>
  <si>
    <t>INE411D01023</t>
  </si>
  <si>
    <t>SKMEGGPROD</t>
  </si>
  <si>
    <t>SKM EGG PROD EXPORT(I) LT</t>
  </si>
  <si>
    <t>INE0KZA01016</t>
  </si>
  <si>
    <t>SKP</t>
  </si>
  <si>
    <t>SKP BEARING INDUSTRI. LTD</t>
  </si>
  <si>
    <t>INE01IU01018</t>
  </si>
  <si>
    <t>SKYGOLD</t>
  </si>
  <si>
    <t>SKY GOLD AND DIAMONDS LTD</t>
  </si>
  <si>
    <t>INE0VFE01017</t>
  </si>
  <si>
    <t>SKYTECH</t>
  </si>
  <si>
    <t>SKYTECH INFINITE PLATFM L</t>
  </si>
  <si>
    <t>INE0PX301025</t>
  </si>
  <si>
    <t>SKYWAYS</t>
  </si>
  <si>
    <t>SKYWAYS AIR SERVICES LTD</t>
  </si>
  <si>
    <t>INE0SMA01017</t>
  </si>
  <si>
    <t>SLONE</t>
  </si>
  <si>
    <t>SLONE INFOSYSTEMS LIMITED</t>
  </si>
  <si>
    <t>INE14GK01016</t>
  </si>
  <si>
    <t>SMARTEN</t>
  </si>
  <si>
    <t>SMARTEN POWER SYSTEMS LTD</t>
  </si>
  <si>
    <t>INE178C01020</t>
  </si>
  <si>
    <t>SMARTLINK</t>
  </si>
  <si>
    <t>SMARTLINK HOLDINGS LTD</t>
  </si>
  <si>
    <t>INE0NAZ01010</t>
  </si>
  <si>
    <t>SMARTWORKS</t>
  </si>
  <si>
    <t>SMARTWORKS COWORKING SP L</t>
  </si>
  <si>
    <t>INE103C01036</t>
  </si>
  <si>
    <t>SMCGLOBAL</t>
  </si>
  <si>
    <t>SMC GLOBAL SECURITIES LTD</t>
  </si>
  <si>
    <t>INE294B01019</t>
  </si>
  <si>
    <t>SMLMAH</t>
  </si>
  <si>
    <t>SML MAHINDRA LIMITED</t>
  </si>
  <si>
    <t>INE812G01025</t>
  </si>
  <si>
    <t>SMSPHARMA</t>
  </si>
  <si>
    <t>SMS PHARMACEUTICALS LTD.</t>
  </si>
  <si>
    <t>INE1OIC01018</t>
  </si>
  <si>
    <t>SNEHAA</t>
  </si>
  <si>
    <t>SNEHAA ORGANICS LIMITED</t>
  </si>
  <si>
    <t>INE734N01019</t>
  </si>
  <si>
    <t>SNOWMAN</t>
  </si>
  <si>
    <t>SNOWMAN LOGISTICS LTD.</t>
  </si>
  <si>
    <t>INE671H01015</t>
  </si>
  <si>
    <t>SOBHA</t>
  </si>
  <si>
    <t>SOBHA LIMITED</t>
  </si>
  <si>
    <t>INE728Z01015</t>
  </si>
  <si>
    <t>SOFTTECH</t>
  </si>
  <si>
    <t>SOFTTECH ENGINEERS LTD</t>
  </si>
  <si>
    <t>INE343H01029</t>
  </si>
  <si>
    <t>SOLARINDS</t>
  </si>
  <si>
    <t>SOLAR INDUSTRIES (I) LTD</t>
  </si>
  <si>
    <t>INE624Z01016</t>
  </si>
  <si>
    <t>SOLARA</t>
  </si>
  <si>
    <t>SOLARA ACTIVE PHA SCI LTD</t>
  </si>
  <si>
    <t>INE0TY101024</t>
  </si>
  <si>
    <t>SOLARWORLD</t>
  </si>
  <si>
    <t>SOLARWORLD ENERGY SOL LTD</t>
  </si>
  <si>
    <t>INE880Y01017</t>
  </si>
  <si>
    <t>SOLEX</t>
  </si>
  <si>
    <t>SOLEX ENERGY LIMITED</t>
  </si>
  <si>
    <t>INE480C01038</t>
  </si>
  <si>
    <t>SDBL</t>
  </si>
  <si>
    <t>SOM DIST &amp; BREW LTD</t>
  </si>
  <si>
    <t>INE314C01013</t>
  </si>
  <si>
    <t>SOMATEX</t>
  </si>
  <si>
    <t>SOMA TEXTILES &amp; INDUST LT</t>
  </si>
  <si>
    <t>INE355A01028</t>
  </si>
  <si>
    <t>SOMANYCERA</t>
  </si>
  <si>
    <t>SOMANY CERAMICS LIMITED</t>
  </si>
  <si>
    <t>INE323J01019</t>
  </si>
  <si>
    <t>SOMICONVEY</t>
  </si>
  <si>
    <t>SOMI CONVEYOR BELT. LTD.</t>
  </si>
  <si>
    <t>INE073K01018</t>
  </si>
  <si>
    <t>SONACOMS</t>
  </si>
  <si>
    <t>SONA BLW PRECISION FRGS L</t>
  </si>
  <si>
    <t>INE0Q6H01012</t>
  </si>
  <si>
    <t>SONAMAC</t>
  </si>
  <si>
    <t>SONA MACHINERY LIMITED</t>
  </si>
  <si>
    <t>INE321M01017</t>
  </si>
  <si>
    <t>SONAL</t>
  </si>
  <si>
    <t>SONAL MERCANTILE LTD.</t>
  </si>
  <si>
    <t>INE00LM01029</t>
  </si>
  <si>
    <t>SONAMLTD</t>
  </si>
  <si>
    <t>SONAM LIMITED</t>
  </si>
  <si>
    <t>INE269A01021</t>
  </si>
  <si>
    <t>SONATSOFTW</t>
  </si>
  <si>
    <t>SONATA SOFTWARE LTD</t>
  </si>
  <si>
    <t>INE0JZA01018</t>
  </si>
  <si>
    <t>SONUINFRA</t>
  </si>
  <si>
    <t>SONU INFRATECH LIMITED</t>
  </si>
  <si>
    <t>INE980Y01015</t>
  </si>
  <si>
    <t>SOUTHWEST</t>
  </si>
  <si>
    <t>SOUTH WEST PINNACLE LTD</t>
  </si>
  <si>
    <t>INE970N01027</t>
  </si>
  <si>
    <t>SPCENET</t>
  </si>
  <si>
    <t>SPACENET ENTERS IND LTD</t>
  </si>
  <si>
    <t>INE572J01011</t>
  </si>
  <si>
    <t>SPANDANA</t>
  </si>
  <si>
    <t>SPANDANA SPHOORTY FIN LTD</t>
  </si>
  <si>
    <t>INE1CW901027</t>
  </si>
  <si>
    <t>SPEB</t>
  </si>
  <si>
    <t>SPEB ADHESIVES LIMITED</t>
  </si>
  <si>
    <t>INE247M01014</t>
  </si>
  <si>
    <t>SPECIALITY</t>
  </si>
  <si>
    <t>SPECIALITY REST LTD</t>
  </si>
  <si>
    <t>INE01EO01010</t>
  </si>
  <si>
    <t>SPECTRUM</t>
  </si>
  <si>
    <t>SPECTRUM ELECTRIC IND LTD</t>
  </si>
  <si>
    <t>INE252A01019</t>
  </si>
  <si>
    <t>SPELS</t>
  </si>
  <si>
    <t>SPEL SEMICONDUCTOR LTD</t>
  </si>
  <si>
    <t>INE020801028</t>
  </si>
  <si>
    <t>SPENCERS</t>
  </si>
  <si>
    <t>SPENCER S RETAIL LIMITED</t>
  </si>
  <si>
    <t>INE147A01011</t>
  </si>
  <si>
    <t>SPIC</t>
  </si>
  <si>
    <t>SPIC LTD</t>
  </si>
  <si>
    <t>INE978G01016</t>
  </si>
  <si>
    <t>SPLIL</t>
  </si>
  <si>
    <t>SPL INDUSTRIES LIMITED</t>
  </si>
  <si>
    <t>INE937A01023</t>
  </si>
  <si>
    <t>SPMLINFRA</t>
  </si>
  <si>
    <t>SPML INFRA LIMITED</t>
  </si>
  <si>
    <t>INE885H01029</t>
  </si>
  <si>
    <t>SPORTKING</t>
  </si>
  <si>
    <t>SPORTKING INDIA LIMITED</t>
  </si>
  <si>
    <t>INE0QR801013</t>
  </si>
  <si>
    <t>SPPPOLY</t>
  </si>
  <si>
    <t>SPP POLYMER LIMITED</t>
  </si>
  <si>
    <t>INE526E01018</t>
  </si>
  <si>
    <t>SHRIPISTON</t>
  </si>
  <si>
    <t>SPR AUTO TECHNOLOGIES LTD</t>
  </si>
  <si>
    <t>INE19QH01010</t>
  </si>
  <si>
    <t>SPUNWEB</t>
  </si>
  <si>
    <t>SPUNWEB NONWOVEN LIMITED</t>
  </si>
  <si>
    <t>INE917H01012</t>
  </si>
  <si>
    <t>SRHHYPOLTD</t>
  </si>
  <si>
    <t>SREE RAYALSEEMA HHP LTD.</t>
  </si>
  <si>
    <t>INE099F01013</t>
  </si>
  <si>
    <t>SREEL</t>
  </si>
  <si>
    <t>SREELEATHERS LIMITED</t>
  </si>
  <si>
    <t>INE647A01010</t>
  </si>
  <si>
    <t>SRF</t>
  </si>
  <si>
    <t>SRF LTD</t>
  </si>
  <si>
    <t>INE559N01010</t>
  </si>
  <si>
    <t>SRGHFL</t>
  </si>
  <si>
    <t>SRG HOUSING FINANCE L</t>
  </si>
  <si>
    <t>INE293B01029</t>
  </si>
  <si>
    <t>HAVISHA</t>
  </si>
  <si>
    <t>SRI HAVISHA HOSP &amp; INFR L</t>
  </si>
  <si>
    <t>INE009C01019</t>
  </si>
  <si>
    <t>SRIKPRIND</t>
  </si>
  <si>
    <t>SRI KPR INDUSTRIES LTD.</t>
  </si>
  <si>
    <t>INE0V9Q01010</t>
  </si>
  <si>
    <t>LOTUSDEV</t>
  </si>
  <si>
    <t>SRI LOTUS DEVLPRS N RTY L</t>
  </si>
  <si>
    <t>INE0TPJ01019</t>
  </si>
  <si>
    <t>SPCON</t>
  </si>
  <si>
    <t>SRINIBAS PRADHAN CONST L</t>
  </si>
  <si>
    <t>INE0ON201012</t>
  </si>
  <si>
    <t>SSFL</t>
  </si>
  <si>
    <t>SRIVARI SPICES N FOODS L</t>
  </si>
  <si>
    <t>INE0NPI01014</t>
  </si>
  <si>
    <t>SRIVASAVI</t>
  </si>
  <si>
    <t>SRIVASAVI ADHESIVE TAPE L</t>
  </si>
  <si>
    <t>INE0R6Z01013</t>
  </si>
  <si>
    <t>SRM</t>
  </si>
  <si>
    <t>SRM CONTRACTORS LIMITED</t>
  </si>
  <si>
    <t>INE0RYC01010</t>
  </si>
  <si>
    <t>STALLION</t>
  </si>
  <si>
    <t>STALLION IND FLUOROCHEM L</t>
  </si>
  <si>
    <t>INE0M4D01010</t>
  </si>
  <si>
    <t>SETL</t>
  </si>
  <si>
    <t>STANDARD ENGNG TCNLGY LTD</t>
  </si>
  <si>
    <t>INE173A01025</t>
  </si>
  <si>
    <t>SIL</t>
  </si>
  <si>
    <t>STANDARD INDUSTRIES LTD.</t>
  </si>
  <si>
    <t>INE01A001028</t>
  </si>
  <si>
    <t>STANLEY</t>
  </si>
  <si>
    <t>STANLEY LIFESTYLES LTD</t>
  </si>
  <si>
    <t>INE460H01021</t>
  </si>
  <si>
    <t>STARCEMENT</t>
  </si>
  <si>
    <t>STAR CEMENT LIMITED</t>
  </si>
  <si>
    <t>INE575P01011</t>
  </si>
  <si>
    <t>STARHEALTH</t>
  </si>
  <si>
    <t>STAR HEALTH &amp; AL INS CO L</t>
  </si>
  <si>
    <t>INE733A01018</t>
  </si>
  <si>
    <t>STARPAPER</t>
  </si>
  <si>
    <t>STAR PAPER MILLS LTD</t>
  </si>
  <si>
    <t>INE992I01013</t>
  </si>
  <si>
    <t>STARTECK</t>
  </si>
  <si>
    <t>STARTECK FINANCE LIMITED</t>
  </si>
  <si>
    <t>INE062A01020</t>
  </si>
  <si>
    <t>SBIN</t>
  </si>
  <si>
    <t>STATE BANK OF INDIA</t>
  </si>
  <si>
    <t>INE114A01011</t>
  </si>
  <si>
    <t>SAIL</t>
  </si>
  <si>
    <t>STEEL AUTHORITY OF INDIA</t>
  </si>
  <si>
    <t>INE395H01011</t>
  </si>
  <si>
    <t>STEELCITY</t>
  </si>
  <si>
    <t>STEEL CITY SECURITIES LTD</t>
  </si>
  <si>
    <t>INE503B01021</t>
  </si>
  <si>
    <t>STEELXIND</t>
  </si>
  <si>
    <t>STEEL EXCHANGE INDIA LTD</t>
  </si>
  <si>
    <t>INE205F01016</t>
  </si>
  <si>
    <t>STLSTRINF</t>
  </si>
  <si>
    <t>STEEL STRIPS INFRA L</t>
  </si>
  <si>
    <t>INE802C01033</t>
  </si>
  <si>
    <t>SSWL</t>
  </si>
  <si>
    <t>STEEL STRIPS WHEELS LTD.</t>
  </si>
  <si>
    <t>INE124E01038</t>
  </si>
  <si>
    <t>STEELCAS</t>
  </si>
  <si>
    <t>STEELCAST LIMITED</t>
  </si>
  <si>
    <t>INE577L01016</t>
  </si>
  <si>
    <t>STEL</t>
  </si>
  <si>
    <t>STEL HOLDINGS LIMITED</t>
  </si>
  <si>
    <t>INE334A01023</t>
  </si>
  <si>
    <t>STERTOOLS</t>
  </si>
  <si>
    <t>STERLING TOOLS LIMITED</t>
  </si>
  <si>
    <t>INE089C01029</t>
  </si>
  <si>
    <t>STLTECH</t>
  </si>
  <si>
    <t>STERLITE TECHNOLOGIES LTD</t>
  </si>
  <si>
    <t>INE353H01010</t>
  </si>
  <si>
    <t>SGL</t>
  </si>
  <si>
    <t>STL GLOBAL LIMITED</t>
  </si>
  <si>
    <t>INE1VXE01018</t>
  </si>
  <si>
    <t>STLNETWORK</t>
  </si>
  <si>
    <t>STL NETWORKS LIMITED</t>
  </si>
  <si>
    <t>INE00IN01015</t>
  </si>
  <si>
    <t>STOVEKRAFT</t>
  </si>
  <si>
    <t>STOVE KRAFT LIMITED</t>
  </si>
  <si>
    <t>INE1XWN01017</t>
  </si>
  <si>
    <t>STRIDERS</t>
  </si>
  <si>
    <t>STRIDERS IMPEX LIMITED</t>
  </si>
  <si>
    <t>INE939A01011</t>
  </si>
  <si>
    <t>STAR</t>
  </si>
  <si>
    <t>STRIDES PHARMA SCI LTD</t>
  </si>
  <si>
    <t>INE00M201021</t>
  </si>
  <si>
    <t>SWSOLAR</t>
  </si>
  <si>
    <t>STRLNG &amp; WIL REN ENE LTD</t>
  </si>
  <si>
    <t>INE00Q601028</t>
  </si>
  <si>
    <t>STUDDS</t>
  </si>
  <si>
    <t>STUDDS ACCESSORIES LTD</t>
  </si>
  <si>
    <t>INE17VO01028</t>
  </si>
  <si>
    <t>STUDIOLSD</t>
  </si>
  <si>
    <t>STUDIO LSD LIMITED</t>
  </si>
  <si>
    <t>INE239C01020</t>
  </si>
  <si>
    <t>STYLAMIND</t>
  </si>
  <si>
    <t>STYLAM INDUSTRIES LIMITED</t>
  </si>
  <si>
    <t>INE189B01011</t>
  </si>
  <si>
    <t>STYRENIX</t>
  </si>
  <si>
    <t>STYRENIX PERFORMANCE LTD</t>
  </si>
  <si>
    <t>INE0RYR01018</t>
  </si>
  <si>
    <t>SUBAHOTELS</t>
  </si>
  <si>
    <t>SUBA HOTELS LIMITED</t>
  </si>
  <si>
    <t>INE754A01055</t>
  </si>
  <si>
    <t>SUBEXLTD</t>
  </si>
  <si>
    <t>SUBEX LTD</t>
  </si>
  <si>
    <t>INE287B01021</t>
  </si>
  <si>
    <t>SUBROS</t>
  </si>
  <si>
    <t>SUBROS LIMITED</t>
  </si>
  <si>
    <t>INE659A01023</t>
  </si>
  <si>
    <t>SUDARSCHEM</t>
  </si>
  <si>
    <t>SUDARSHAN CHEMICAL INDS L</t>
  </si>
  <si>
    <t>INE492A01029</t>
  </si>
  <si>
    <t>SUDARCOLOR</t>
  </si>
  <si>
    <t>SUDARSHAN COLORNT IND LTD</t>
  </si>
  <si>
    <t>INE0QPI01025</t>
  </si>
  <si>
    <t>SUDEEPPHRM</t>
  </si>
  <si>
    <t>SUDEEP PHARMA LIMITED</t>
  </si>
  <si>
    <t>INE450E01029</t>
  </si>
  <si>
    <t>SUKHJITS</t>
  </si>
  <si>
    <t>SUKHJIT STARCH &amp; CHEM LTD</t>
  </si>
  <si>
    <t>INE142Q01026</t>
  </si>
  <si>
    <t>SULA</t>
  </si>
  <si>
    <t>SULA VINEYARDS LIMITED</t>
  </si>
  <si>
    <t>INE11Z001019</t>
  </si>
  <si>
    <t>SUMAX</t>
  </si>
  <si>
    <t>SUMAX ENGINEERING LIMITED</t>
  </si>
  <si>
    <t>INE886B01012</t>
  </si>
  <si>
    <t>SUMEDHA</t>
  </si>
  <si>
    <t>SUMEDHA FISCAL SERVICES L</t>
  </si>
  <si>
    <t>INE235C01036</t>
  </si>
  <si>
    <t>SUMEETINDS</t>
  </si>
  <si>
    <t>SUMEET IND LIMITED</t>
  </si>
  <si>
    <t>INE748Z01013</t>
  </si>
  <si>
    <t>SUMIT</t>
  </si>
  <si>
    <t>SUMIT WOODS LIMITED</t>
  </si>
  <si>
    <t>INE258G01013</t>
  </si>
  <si>
    <t>SUMICHEM</t>
  </si>
  <si>
    <t>SUMITOMO CHEM INDIA LTD</t>
  </si>
  <si>
    <t>INE519C01017</t>
  </si>
  <si>
    <t>SUMMITSEC</t>
  </si>
  <si>
    <t>SUMMIT SECURITIES LTD</t>
  </si>
  <si>
    <t>INE232I01014</t>
  </si>
  <si>
    <t>SPARC</t>
  </si>
  <si>
    <t>SUN PHARMA ADV.RES.CO.LTD</t>
  </si>
  <si>
    <t>INE044A01036</t>
  </si>
  <si>
    <t>SUNPHARMA</t>
  </si>
  <si>
    <t>SUN PHARMACEUTICAL IND L</t>
  </si>
  <si>
    <t>INE424H01027</t>
  </si>
  <si>
    <t>SUNTV</t>
  </si>
  <si>
    <t>SUN TV NETWORK LIMITED</t>
  </si>
  <si>
    <t>INE0Q3R01026</t>
  </si>
  <si>
    <t>SUNCLAY</t>
  </si>
  <si>
    <t>SUNDARAM CLAYTON LIMITED</t>
  </si>
  <si>
    <t>INE660A01013</t>
  </si>
  <si>
    <t>SUNDARMFIN</t>
  </si>
  <si>
    <t>SUNDARAM FINANCE LTD</t>
  </si>
  <si>
    <t>INE108E01023</t>
  </si>
  <si>
    <t>SUNDARAM</t>
  </si>
  <si>
    <t>SUNDARAM MULTI PAP LTD</t>
  </si>
  <si>
    <t>INE073D01013</t>
  </si>
  <si>
    <t>SUNDRMBRAK</t>
  </si>
  <si>
    <t>SUNDARAMBRAKE LININGS LTD</t>
  </si>
  <si>
    <t>INE387A01021</t>
  </si>
  <si>
    <t>SUNDRMFAST</t>
  </si>
  <si>
    <t>SUNDRAM FASTENERS LTD</t>
  </si>
  <si>
    <t>INE0CTB01014</t>
  </si>
  <si>
    <t>SOCL</t>
  </si>
  <si>
    <t>SUNDREX OIL COMPANY LTD</t>
  </si>
  <si>
    <t>INE209A01019</t>
  </si>
  <si>
    <t>SUNDROP</t>
  </si>
  <si>
    <t>SUNDROP BRANDS LIMITED</t>
  </si>
  <si>
    <t>INE947A01014</t>
  </si>
  <si>
    <t>SUNFLAG</t>
  </si>
  <si>
    <t>SUNFLAG IRON AND STEEL CO</t>
  </si>
  <si>
    <t>INE0O3O01017</t>
  </si>
  <si>
    <t>SEL</t>
  </si>
  <si>
    <t>SUNGARNER ENERGIES LTD</t>
  </si>
  <si>
    <t>INE671C01016</t>
  </si>
  <si>
    <t>SUNLOC</t>
  </si>
  <si>
    <t>SUNIL HEALTHCARE LTD.</t>
  </si>
  <si>
    <t>INE0U2N01013</t>
  </si>
  <si>
    <t>SUNLITE</t>
  </si>
  <si>
    <t>SUNLITE RECYCLING IND LTD</t>
  </si>
  <si>
    <t>INE671K01027</t>
  </si>
  <si>
    <t>SUNRAKSHAK</t>
  </si>
  <si>
    <t>SUNRAKSHAKK INDUS IND L</t>
  </si>
  <si>
    <t>INE0PLZ01012</t>
  </si>
  <si>
    <t>SUNREST</t>
  </si>
  <si>
    <t>SUNREST LIFESCIENCE LTD</t>
  </si>
  <si>
    <t>INE199E01014</t>
  </si>
  <si>
    <t>SUNSHIEL</t>
  </si>
  <si>
    <t>SUNSHIELD CHEMICALS LTD.</t>
  </si>
  <si>
    <t>INE1B3O01011</t>
  </si>
  <si>
    <t>SUNSHINE</t>
  </si>
  <si>
    <t>SUNSHINE PICTURES LIMITED</t>
  </si>
  <si>
    <t>INE0SGZ01016</t>
  </si>
  <si>
    <t>SUNTECH</t>
  </si>
  <si>
    <t>SUNTECH INFRA SOLUTIONS L</t>
  </si>
  <si>
    <t>INE805D01034</t>
  </si>
  <si>
    <t>SUNTECK</t>
  </si>
  <si>
    <t>SUNTECK REALTY LIMITED</t>
  </si>
  <si>
    <t>INE662A01027</t>
  </si>
  <si>
    <t>SUPERSPIN</t>
  </si>
  <si>
    <t>SUPER SPINNING MILLS LTD</t>
  </si>
  <si>
    <t>INE460D01038</t>
  </si>
  <si>
    <t>SUPTANERY</t>
  </si>
  <si>
    <t>SUPER TANNERY LTD.</t>
  </si>
  <si>
    <t>INE712B01010</t>
  </si>
  <si>
    <t>SUPERHOUSE</t>
  </si>
  <si>
    <t>SUPERHOUSE LIMITED</t>
  </si>
  <si>
    <t>INE843L01012</t>
  </si>
  <si>
    <t>SIEL</t>
  </si>
  <si>
    <t>SUPERIOR INDUSTRIAL ENT L</t>
  </si>
  <si>
    <t>INE399C01030</t>
  </si>
  <si>
    <t>SUPRAJIT</t>
  </si>
  <si>
    <t>SUPRAJIT ENGINEERING LTD</t>
  </si>
  <si>
    <t>INE319Z01021</t>
  </si>
  <si>
    <t>SUPREMEENG</t>
  </si>
  <si>
    <t>SUPREME ENGINEERING LTD</t>
  </si>
  <si>
    <t>INE0U6N01014</t>
  </si>
  <si>
    <t>SFML</t>
  </si>
  <si>
    <t>SUPREME FACILITY MGMT LTD</t>
  </si>
  <si>
    <t>INE822E01011</t>
  </si>
  <si>
    <t>SUPREME</t>
  </si>
  <si>
    <t>SUPREME HOLDIN N HOSP I L</t>
  </si>
  <si>
    <t>INE195A01028</t>
  </si>
  <si>
    <t>SUPREMEIND</t>
  </si>
  <si>
    <t>SUPREME INDUSTRIES LTD</t>
  </si>
  <si>
    <t>INE550H01011</t>
  </si>
  <si>
    <t>SUPREMEINF</t>
  </si>
  <si>
    <t>SUPREME INFRA. LTD.</t>
  </si>
  <si>
    <t>INE663A01033</t>
  </si>
  <si>
    <t>SPLPETRO</t>
  </si>
  <si>
    <t>SUPREME PETROCHEM LIMITED</t>
  </si>
  <si>
    <t>INE0QHG01026</t>
  </si>
  <si>
    <t>SUPREMEPWR</t>
  </si>
  <si>
    <t>SUPREME POWER EQUIPMENT L</t>
  </si>
  <si>
    <t>INE07RO01027</t>
  </si>
  <si>
    <t>SUPRIYA</t>
  </si>
  <si>
    <t>SUPRIYA LIFESCIENCE LTD</t>
  </si>
  <si>
    <t>INE843S01025</t>
  </si>
  <si>
    <t>SURAJEST</t>
  </si>
  <si>
    <t>SURAJ ESTATE DEVELOPERS L</t>
  </si>
  <si>
    <t>INE713C01016</t>
  </si>
  <si>
    <t>SURAJLTD</t>
  </si>
  <si>
    <t>SURAJ LIMITED</t>
  </si>
  <si>
    <t>INE877V01027</t>
  </si>
  <si>
    <t>SURAKSHA</t>
  </si>
  <si>
    <t>SURAKSHA DIAGNOSTIC LTD</t>
  </si>
  <si>
    <t>INE272L01022</t>
  </si>
  <si>
    <t>SURANASOL</t>
  </si>
  <si>
    <t>SURANA SOLAR LIMITED</t>
  </si>
  <si>
    <t>INE130B01031</t>
  </si>
  <si>
    <t>SURANAT&amp;P</t>
  </si>
  <si>
    <t>SURANA TELECOM AND POW LT</t>
  </si>
  <si>
    <t>INE05ST01028</t>
  </si>
  <si>
    <t>SBGLP</t>
  </si>
  <si>
    <t>SURATWWALA BUS GROUP LTD</t>
  </si>
  <si>
    <t>INE335A01020</t>
  </si>
  <si>
    <t>SURYA ROSHNI LTD</t>
  </si>
  <si>
    <t>INE713B01026</t>
  </si>
  <si>
    <t>SURYALAXMI</t>
  </si>
  <si>
    <t>SURYALAKSHMI COT MIL LTD</t>
  </si>
  <si>
    <t>INE132C01027</t>
  </si>
  <si>
    <t>SURYALA</t>
  </si>
  <si>
    <t>SURYALATA SPINNING MILL L</t>
  </si>
  <si>
    <t>INE428Q01011</t>
  </si>
  <si>
    <t>SURYODAY</t>
  </si>
  <si>
    <t>SURYODAY SMALL FIN BK LTD</t>
  </si>
  <si>
    <t>INE645H01027</t>
  </si>
  <si>
    <t>SUTLEJTEX</t>
  </si>
  <si>
    <t>SUTLEJ TEXT &amp; INDUS LTD</t>
  </si>
  <si>
    <t>INE495B01038</t>
  </si>
  <si>
    <t>SUVEN</t>
  </si>
  <si>
    <t>SUVEN LIFE SCIENCES LTD</t>
  </si>
  <si>
    <t>INE018401013</t>
  </si>
  <si>
    <t>SUVIDHAA</t>
  </si>
  <si>
    <t>SUVIDHAA INFOSERVE LTD</t>
  </si>
  <si>
    <t>INE442P01014</t>
  </si>
  <si>
    <t>SUYOG</t>
  </si>
  <si>
    <t>SUYOG TELEMATICS LIMITED</t>
  </si>
  <si>
    <t>INE040H01021</t>
  </si>
  <si>
    <t>SUZLON</t>
  </si>
  <si>
    <t>SUZLON ENERGY LIMITED</t>
  </si>
  <si>
    <t>INE308E01029</t>
  </si>
  <si>
    <t>SVPGLOB</t>
  </si>
  <si>
    <t>SVP GLOBAL TEXTILES LTD</t>
  </si>
  <si>
    <t>INE665A01038</t>
  </si>
  <si>
    <t>SWANCORP</t>
  </si>
  <si>
    <t>SWAN CORP LIMITED</t>
  </si>
  <si>
    <t>INE542F01020</t>
  </si>
  <si>
    <t>SWANDEF</t>
  </si>
  <si>
    <t>SWAN DEFENCE N HEVY IND L</t>
  </si>
  <si>
    <t>INE277A01016</t>
  </si>
  <si>
    <t>SWARAJENG</t>
  </si>
  <si>
    <t>SWARAJ ENGINES LTD</t>
  </si>
  <si>
    <t>INE0GMR01016</t>
  </si>
  <si>
    <t>SWARAJ</t>
  </si>
  <si>
    <t>SWARAJ SUITING LIMITED</t>
  </si>
  <si>
    <t>INE967A01012</t>
  </si>
  <si>
    <t>SWARNSAR</t>
  </si>
  <si>
    <t>SWARNSARITA JEWELS IND L</t>
  </si>
  <si>
    <t>INE0DGC01025</t>
  </si>
  <si>
    <t>SWASTIK</t>
  </si>
  <si>
    <t>SWASTIK PIPE LIMITED</t>
  </si>
  <si>
    <t>INE409B01013</t>
  </si>
  <si>
    <t>SWELECTES</t>
  </si>
  <si>
    <t>SWELECT ENERGY SYS LTD</t>
  </si>
  <si>
    <t>INE00H001014</t>
  </si>
  <si>
    <t>SWIGGY</t>
  </si>
  <si>
    <t>SWIGGY LIMITED</t>
  </si>
  <si>
    <t>INE010C01025</t>
  </si>
  <si>
    <t>SWISSMLTRY</t>
  </si>
  <si>
    <t>SWISS MILITARY CON GOOD L</t>
  </si>
  <si>
    <t>INE899I01028</t>
  </si>
  <si>
    <t>SYMBIOTEC</t>
  </si>
  <si>
    <t>SYMBIOTEC PHARMALAB LTD</t>
  </si>
  <si>
    <t>INE225D01027</t>
  </si>
  <si>
    <t>SYMPHONY</t>
  </si>
  <si>
    <t>SYMPHONY LIMITED</t>
  </si>
  <si>
    <t>INE312C01025</t>
  </si>
  <si>
    <t>SYNCOMF</t>
  </si>
  <si>
    <t>SYNCOM FORMU (I) LTD</t>
  </si>
  <si>
    <t>INE00QT01015</t>
  </si>
  <si>
    <t>SGIL</t>
  </si>
  <si>
    <t>SYNERGY GREEN IND. LTD</t>
  </si>
  <si>
    <t>INE398R01022</t>
  </si>
  <si>
    <t>SYNGENE</t>
  </si>
  <si>
    <t>SYNGENE INTERNATIONAL LTD</t>
  </si>
  <si>
    <t>INE0DYJ01015</t>
  </si>
  <si>
    <t>SYRMA</t>
  </si>
  <si>
    <t>SYRMA SGS TECHNOLOGY LTD</t>
  </si>
  <si>
    <t>INE0O7R01011</t>
  </si>
  <si>
    <t>SYSTANGO</t>
  </si>
  <si>
    <t>SYSTANGO TECHNOLOGIES LTD</t>
  </si>
  <si>
    <t>INE356B01024</t>
  </si>
  <si>
    <t>SYSTMTXC</t>
  </si>
  <si>
    <t>SYSTEMATIX CORP SERVICE L</t>
  </si>
  <si>
    <t>INE284B01028</t>
  </si>
  <si>
    <t>TGVSL</t>
  </si>
  <si>
    <t>T G V SRAAC LTD.</t>
  </si>
  <si>
    <t>INE592B01024</t>
  </si>
  <si>
    <t>TTL</t>
  </si>
  <si>
    <t>T T LIMITED</t>
  </si>
  <si>
    <t>INE524T01011</t>
  </si>
  <si>
    <t>TAALTECH</t>
  </si>
  <si>
    <t>TAAL TECH LTD.</t>
  </si>
  <si>
    <t>INE0SOY01013</t>
  </si>
  <si>
    <t>TAC</t>
  </si>
  <si>
    <t>TAC INFOSEC LIMITED</t>
  </si>
  <si>
    <t>INE123C01018</t>
  </si>
  <si>
    <t>TAINWALCHM</t>
  </si>
  <si>
    <t>TAINWALA CHEMICAL AND PLA</t>
  </si>
  <si>
    <t>INE586B01026</t>
  </si>
  <si>
    <t>TAJGVK</t>
  </si>
  <si>
    <t>TAJ GVK HOTELS &amp; RESORTS</t>
  </si>
  <si>
    <t>INE142I01023</t>
  </si>
  <si>
    <t>TAKE</t>
  </si>
  <si>
    <t>TAKE LIMITED</t>
  </si>
  <si>
    <t>INE187D01029</t>
  </si>
  <si>
    <t>TALBROAUTO</t>
  </si>
  <si>
    <t>TALBROS AUTO. COMP. LTD</t>
  </si>
  <si>
    <t>INE864J01012</t>
  </si>
  <si>
    <t>TAMBOLIIN</t>
  </si>
  <si>
    <t>TAMBOLI INDUSTRIES LTD.</t>
  </si>
  <si>
    <t>INE668A01016</t>
  </si>
  <si>
    <t>TMB</t>
  </si>
  <si>
    <t>TAMILNAD MERCA BANK LTD</t>
  </si>
  <si>
    <t>INE107A01015</t>
  </si>
  <si>
    <t>TNPL</t>
  </si>
  <si>
    <t>TAMILNADU NEWSPRT &amp; PAPER</t>
  </si>
  <si>
    <t>INE148A01019</t>
  </si>
  <si>
    <t>TNPETRO</t>
  </si>
  <si>
    <t>TAMILNADU PETROPRODUCTS L</t>
  </si>
  <si>
    <t>INE141D01018</t>
  </si>
  <si>
    <t>TNTELE</t>
  </si>
  <si>
    <t>TAMILNADU TELECOMMUNICATI</t>
  </si>
  <si>
    <t>INE692C01020</t>
  </si>
  <si>
    <t>TANAA</t>
  </si>
  <si>
    <t>TANEJA AEROSPACE &amp; AVIA L</t>
  </si>
  <si>
    <t>INE0Z7N01017</t>
  </si>
  <si>
    <t>TANKUP</t>
  </si>
  <si>
    <t>TANKUP ENGINEERS LIMITED</t>
  </si>
  <si>
    <t>INE483C01032</t>
  </si>
  <si>
    <t>TANLA</t>
  </si>
  <si>
    <t>TANLA PLATFORMS LIMITED</t>
  </si>
  <si>
    <t>INE0M7001010</t>
  </si>
  <si>
    <t>TAPIFRUIT</t>
  </si>
  <si>
    <t>TAPI FRUIT PROCESSING LTD</t>
  </si>
  <si>
    <t>INE555Z01020</t>
  </si>
  <si>
    <t>TARACHAND</t>
  </si>
  <si>
    <t>TARA CHAND INFRA SOLN LTD</t>
  </si>
  <si>
    <t>INE747K01017</t>
  </si>
  <si>
    <t>TARAPUR</t>
  </si>
  <si>
    <t>TARAPUR TRANSFORMERS LTD</t>
  </si>
  <si>
    <t>INE0EK901012</t>
  </si>
  <si>
    <t>TARC</t>
  </si>
  <si>
    <t>TARC LIMITED</t>
  </si>
  <si>
    <t>INE924H01018</t>
  </si>
  <si>
    <t>TARMAT</t>
  </si>
  <si>
    <t>TARMAT LIMITED</t>
  </si>
  <si>
    <t>INE144Z01023</t>
  </si>
  <si>
    <t>TARSONS</t>
  </si>
  <si>
    <t>TARSONS PRODUCTS LIMITED</t>
  </si>
  <si>
    <t>INE488B01017</t>
  </si>
  <si>
    <t>TASTYBITE</t>
  </si>
  <si>
    <t>TASTY BITE EATABLES LTD</t>
  </si>
  <si>
    <t>INE976I01016</t>
  </si>
  <si>
    <t>TATACAP</t>
  </si>
  <si>
    <t>TATA CAPITAL LIMITED</t>
  </si>
  <si>
    <t>INE092A01019</t>
  </si>
  <si>
    <t>TATACHEM</t>
  </si>
  <si>
    <t>TATA CHEMICALS LTD</t>
  </si>
  <si>
    <t>INE151A01013</t>
  </si>
  <si>
    <t>TATACOMM</t>
  </si>
  <si>
    <t>TATA COMMUNICATIONS LTD</t>
  </si>
  <si>
    <t>INE467B01029</t>
  </si>
  <si>
    <t>TCS</t>
  </si>
  <si>
    <t>TATA CONSULTANCY SERV LT</t>
  </si>
  <si>
    <t>INE192A01025</t>
  </si>
  <si>
    <t>TATACONSUM</t>
  </si>
  <si>
    <t>TATA CONSUMER PRODUCT LTD</t>
  </si>
  <si>
    <t>INE670A01012</t>
  </si>
  <si>
    <t>TATAELXSI</t>
  </si>
  <si>
    <t>TATA ELXSI LIMITED</t>
  </si>
  <si>
    <t>INE672A01026</t>
  </si>
  <si>
    <t>TATAINVEST</t>
  </si>
  <si>
    <t>TATA INVESTMENT CORP LTD</t>
  </si>
  <si>
    <t>INE1TAE01010</t>
  </si>
  <si>
    <t>TMCV</t>
  </si>
  <si>
    <t>TATA MOTORS LIMITED</t>
  </si>
  <si>
    <t>INE155A01022</t>
  </si>
  <si>
    <t>TMPV</t>
  </si>
  <si>
    <t>TATA MOTORS PASS VEH LTD</t>
  </si>
  <si>
    <t>INE245A01021</t>
  </si>
  <si>
    <t>TATAPOWER</t>
  </si>
  <si>
    <t>TATA POWER CO LTD</t>
  </si>
  <si>
    <t>INE081A01020</t>
  </si>
  <si>
    <t>TATASTEEL</t>
  </si>
  <si>
    <t>TATA STEEL LIMITED</t>
  </si>
  <si>
    <t>INE142M01025</t>
  </si>
  <si>
    <t>TATATECH</t>
  </si>
  <si>
    <t>TATA TECHNOLOGIES LIMITED</t>
  </si>
  <si>
    <t>INE517B01013</t>
  </si>
  <si>
    <t>TTML</t>
  </si>
  <si>
    <t>TATA TELESERV(MAHARASTRA)</t>
  </si>
  <si>
    <t>INF277K015R5</t>
  </si>
  <si>
    <t>NETF</t>
  </si>
  <si>
    <t>TATAAML - NETF</t>
  </si>
  <si>
    <t>INF277K010X4</t>
  </si>
  <si>
    <t>NPBET</t>
  </si>
  <si>
    <t>TATAAML - NPBET</t>
  </si>
  <si>
    <t>INF277KA1364</t>
  </si>
  <si>
    <t>TNIDETF</t>
  </si>
  <si>
    <t>TATAAML - TNIDETF</t>
  </si>
  <si>
    <t>INF277KA1976</t>
  </si>
  <si>
    <t>TATAGOLD</t>
  </si>
  <si>
    <t>TATAAML-TATAGOLD</t>
  </si>
  <si>
    <t>INF277KA1984</t>
  </si>
  <si>
    <t>TATSILV</t>
  </si>
  <si>
    <t>TATAAML-TATSILV</t>
  </si>
  <si>
    <t>INE0GK401011</t>
  </si>
  <si>
    <t>TATVA</t>
  </si>
  <si>
    <t>TATVA CHIN PHARM CHEM LTD</t>
  </si>
  <si>
    <t>INE0XWS01018</t>
  </si>
  <si>
    <t>TAURIAN</t>
  </si>
  <si>
    <t>TAURIAN MPS LIMITED</t>
  </si>
  <si>
    <t>INE053F07835</t>
  </si>
  <si>
    <t>753IRFC30</t>
  </si>
  <si>
    <t>TAX FREE  7.53% SR. 103 A</t>
  </si>
  <si>
    <t>INE906B07EP5</t>
  </si>
  <si>
    <t>769NHAI31</t>
  </si>
  <si>
    <t>TAX FREE 7.69% SR. IIB</t>
  </si>
  <si>
    <t>INE906B07EI0</t>
  </si>
  <si>
    <t>735NHAI31</t>
  </si>
  <si>
    <t>TAX FREE7.35% SR.IIA</t>
  </si>
  <si>
    <t>INE053F07843</t>
  </si>
  <si>
    <t>750IRFC35</t>
  </si>
  <si>
    <t>TAX FREE7.50% SR.104 A</t>
  </si>
  <si>
    <t>INE906B07EJ8</t>
  </si>
  <si>
    <t>76NHAI31</t>
  </si>
  <si>
    <t>TAX FREE7.60% SR.IIB</t>
  </si>
  <si>
    <t>INE020B07GX4</t>
  </si>
  <si>
    <t>738REC27TF</t>
  </si>
  <si>
    <t>TAXFREE SEC NCD TR1 S2</t>
  </si>
  <si>
    <t>INE0N2D01013</t>
  </si>
  <si>
    <t>TBI</t>
  </si>
  <si>
    <t>TBI CORN LIMITED</t>
  </si>
  <si>
    <t>INE673O01025</t>
  </si>
  <si>
    <t>TBOTEK</t>
  </si>
  <si>
    <t>TBO TEK LIMITED</t>
  </si>
  <si>
    <t>INE887D01024</t>
  </si>
  <si>
    <t>TCC</t>
  </si>
  <si>
    <t>TCC CONCEPT LIMITED</t>
  </si>
  <si>
    <t>INE586V01016</t>
  </si>
  <si>
    <t>TCIEXP</t>
  </si>
  <si>
    <t>TCI EXPRESS LIMITED</t>
  </si>
  <si>
    <t>INE911B01018</t>
  </si>
  <si>
    <t>TCIFINANCE</t>
  </si>
  <si>
    <t>TCIFINANCELTD-ROLL SETT</t>
  </si>
  <si>
    <t>INE822C01015</t>
  </si>
  <si>
    <t>TCPLPACK</t>
  </si>
  <si>
    <t>TCPL PACKAGING LIMITED</t>
  </si>
  <si>
    <t>INE419M01035</t>
  </si>
  <si>
    <t>TDPOWERSYS</t>
  </si>
  <si>
    <t>TD POWER SYSTEMS LTD.</t>
  </si>
  <si>
    <t>INE289C01025</t>
  </si>
  <si>
    <t>TEAMGTY</t>
  </si>
  <si>
    <t>TEAM INDIA GUARANTY LTD</t>
  </si>
  <si>
    <t>INE985S01024</t>
  </si>
  <si>
    <t>TEAMLEASE</t>
  </si>
  <si>
    <t>TEAMLEASE SERVICES LTD.</t>
  </si>
  <si>
    <t>INE065J01024</t>
  </si>
  <si>
    <t>TPHQ</t>
  </si>
  <si>
    <t>TEAMO PRODUCTIONS HQ LTD</t>
  </si>
  <si>
    <t>INE2OL601013</t>
  </si>
  <si>
    <t>TEAMTECH</t>
  </si>
  <si>
    <t>TEAMTECH FORMWORK SOL LTD</t>
  </si>
  <si>
    <t>INE669C01036</t>
  </si>
  <si>
    <t>TECHM</t>
  </si>
  <si>
    <t>TECH MAHINDRA LIMITED</t>
  </si>
  <si>
    <t>INE0Y5H01014</t>
  </si>
  <si>
    <t>TECHD</t>
  </si>
  <si>
    <t>TECHD CYBERSECURITY LTD</t>
  </si>
  <si>
    <t>INE0JQS01019</t>
  </si>
  <si>
    <t>TECHERA</t>
  </si>
  <si>
    <t>TECHERA ENGINEER (IND) L</t>
  </si>
  <si>
    <t>INE285K01026</t>
  </si>
  <si>
    <t>TECHNOE</t>
  </si>
  <si>
    <t>TECHNO ELEC &amp; ENG CO. LTD</t>
  </si>
  <si>
    <t>INE545H01011</t>
  </si>
  <si>
    <t>TIIL</t>
  </si>
  <si>
    <t>TECHNOCRAFT IND LTD</t>
  </si>
  <si>
    <t>INE1D0W01018</t>
  </si>
  <si>
    <t>TECHNOCRAF</t>
  </si>
  <si>
    <t>TECHNOCRAFT VENTURES LTD</t>
  </si>
  <si>
    <t>INE314H01012</t>
  </si>
  <si>
    <t>TECHNVISN</t>
  </si>
  <si>
    <t>TECHNVISION VENTURES LTD.</t>
  </si>
  <si>
    <t>INE014B01011</t>
  </si>
  <si>
    <t>TECILCHEM</t>
  </si>
  <si>
    <t>TECIL CHEMICALS</t>
  </si>
  <si>
    <t>INE0K6601012</t>
  </si>
  <si>
    <t>TGL</t>
  </si>
  <si>
    <t>TEERTH GOPICON LIMITED</t>
  </si>
  <si>
    <t>INE011K01018</t>
  </si>
  <si>
    <t>TEGA</t>
  </si>
  <si>
    <t>TEGA INDUSTRIES LIMITED</t>
  </si>
  <si>
    <t>INE0R1301019</t>
  </si>
  <si>
    <t>TEJA</t>
  </si>
  <si>
    <t>TEJA ENGINEERING IND L</t>
  </si>
  <si>
    <t>INE17WC01013</t>
  </si>
  <si>
    <t>TEJASCARGO</t>
  </si>
  <si>
    <t>TEJAS CARGO INDIA LIMITED</t>
  </si>
  <si>
    <t>INE010J01012</t>
  </si>
  <si>
    <t>TEJASNET</t>
  </si>
  <si>
    <t>TEJAS NETWORKS LIMITED</t>
  </si>
  <si>
    <t>INE869Y01028</t>
  </si>
  <si>
    <t>TEMBO</t>
  </si>
  <si>
    <t>TEMBO GLOBAL IND LTD</t>
  </si>
  <si>
    <t>INE1KZI01025</t>
  </si>
  <si>
    <t>TEMPSENS</t>
  </si>
  <si>
    <t>TEMPSENS INST (INDIA) LTD</t>
  </si>
  <si>
    <t>INE19RI01016</t>
  </si>
  <si>
    <t>TENNIND</t>
  </si>
  <si>
    <t>TENNECO CLEAN AIR INDIA L</t>
  </si>
  <si>
    <t>INE482B01010</t>
  </si>
  <si>
    <t>TERASOFT</t>
  </si>
  <si>
    <t>TERA SOFTWARE LIMITED</t>
  </si>
  <si>
    <t>INE390D01011</t>
  </si>
  <si>
    <t>TERAI</t>
  </si>
  <si>
    <t>TERAI TEA CO. LTD.</t>
  </si>
  <si>
    <t>INE435C01024</t>
  </si>
  <si>
    <t>TEXINFRA</t>
  </si>
  <si>
    <t>TEXMACO INFRA &amp; HOLDG LTD</t>
  </si>
  <si>
    <t>INE621L01012</t>
  </si>
  <si>
    <t>TEXRAIL</t>
  </si>
  <si>
    <t>TEXMACO RAIL &amp; ENG. LTD.</t>
  </si>
  <si>
    <t>INE141K01013</t>
  </si>
  <si>
    <t>TEXMOPIPES</t>
  </si>
  <si>
    <t>TEXMO PIPE &amp; PRODUCTS LTD</t>
  </si>
  <si>
    <t>INE733E07JT8</t>
  </si>
  <si>
    <t>737NTPC35C</t>
  </si>
  <si>
    <t>TFB 7.37% 2035 SR. 3A</t>
  </si>
  <si>
    <t>INE797H01018</t>
  </si>
  <si>
    <t>TGBHOTELS</t>
  </si>
  <si>
    <t>TGB BANQUETS&amp;HOTELS LTD</t>
  </si>
  <si>
    <t>INE0QJL01014</t>
  </si>
  <si>
    <t>TCL</t>
  </si>
  <si>
    <t>THAAI CASTING LIMITED</t>
  </si>
  <si>
    <t>INE077P01034</t>
  </si>
  <si>
    <t>THACKER</t>
  </si>
  <si>
    <t>THACKER &amp; CO. LTD.</t>
  </si>
  <si>
    <t>INE403F01017</t>
  </si>
  <si>
    <t>THAKDEV</t>
  </si>
  <si>
    <t>THAKKERS DEVELOPERS LTD.</t>
  </si>
  <si>
    <t>INE085J01014</t>
  </si>
  <si>
    <t>THANGAMAYL</t>
  </si>
  <si>
    <t>THANGAMAYIL JEWELLERY LTD</t>
  </si>
  <si>
    <t>INE294Z01018</t>
  </si>
  <si>
    <t>ANUP</t>
  </si>
  <si>
    <t>THE ANUP ENGINEERING LTD</t>
  </si>
  <si>
    <t>INE319B01014</t>
  </si>
  <si>
    <t>BYKE</t>
  </si>
  <si>
    <t>THE BYKE HOSPITALITY LTD</t>
  </si>
  <si>
    <t>INE017A01032</t>
  </si>
  <si>
    <t>GESHIP</t>
  </si>
  <si>
    <t>THE GE SHPG.LTD</t>
  </si>
  <si>
    <t>INE646C01018</t>
  </si>
  <si>
    <t>GROBTEA</t>
  </si>
  <si>
    <t>THE GROB TEA COMPANY LTD</t>
  </si>
  <si>
    <t>INE127B01011</t>
  </si>
  <si>
    <t>HITECHGEAR</t>
  </si>
  <si>
    <t>THE HI-TECH GEARS LIMITED</t>
  </si>
  <si>
    <t>INE383A01012</t>
  </si>
  <si>
    <t>INDIACEM</t>
  </si>
  <si>
    <t>THE INDIA CEMENTS LIMITED</t>
  </si>
  <si>
    <t>INE053A01029</t>
  </si>
  <si>
    <t>INDHOTEL</t>
  </si>
  <si>
    <t>THE INDIAN HOTELS CO. LTD</t>
  </si>
  <si>
    <t>INE924D01017</t>
  </si>
  <si>
    <t>THEINVEST</t>
  </si>
  <si>
    <t>THE INVEST TRUST OF IND L</t>
  </si>
  <si>
    <t>INE470Y01017</t>
  </si>
  <si>
    <t>NIACL</t>
  </si>
  <si>
    <t>THE NEW INDIA ASSU CO LTD</t>
  </si>
  <si>
    <t>INE431F01018</t>
  </si>
  <si>
    <t>PKTEA</t>
  </si>
  <si>
    <t>THE P K TEA PROD CO LTD</t>
  </si>
  <si>
    <t>INE211B01039</t>
  </si>
  <si>
    <t>PHOENIXLTD</t>
  </si>
  <si>
    <t>THE PHOENIX MILLS LTD</t>
  </si>
  <si>
    <t>INE331A01037</t>
  </si>
  <si>
    <t>RAMCOCEM</t>
  </si>
  <si>
    <t>THE RAMCO CEMENTS LIMITED</t>
  </si>
  <si>
    <t>INE301D01026</t>
  </si>
  <si>
    <t>RUBYMILLS</t>
  </si>
  <si>
    <t>THE RUBY MILLS LTD</t>
  </si>
  <si>
    <t>INE683A01023</t>
  </si>
  <si>
    <t>SOUTHBANK</t>
  </si>
  <si>
    <t>THE SOUTH INDIAN BANK LTD</t>
  </si>
  <si>
    <t>INE655A01013</t>
  </si>
  <si>
    <t>STCINDIA</t>
  </si>
  <si>
    <t>THE STATE TRADING CORPN</t>
  </si>
  <si>
    <t>INE071E01023</t>
  </si>
  <si>
    <t>UGARSUGAR</t>
  </si>
  <si>
    <t>THE UGAR SUGAR WORKS LTD</t>
  </si>
  <si>
    <t>INE215F01023</t>
  </si>
  <si>
    <t>WIPL</t>
  </si>
  <si>
    <t>THE WESTERN INDIA PLY LTD</t>
  </si>
  <si>
    <t>INE121N01019</t>
  </si>
  <si>
    <t>THEJO</t>
  </si>
  <si>
    <t>THEJO ENGINEERING LIMITED</t>
  </si>
  <si>
    <t>INE083B01024</t>
  </si>
  <si>
    <t>THEMISMED</t>
  </si>
  <si>
    <t>THEMIS MEDICARE LTD.</t>
  </si>
  <si>
    <t>INE152A01029</t>
  </si>
  <si>
    <t>THERMAX</t>
  </si>
  <si>
    <t>THERMAX LTD</t>
  </si>
  <si>
    <t>INE0SHE01019</t>
  </si>
  <si>
    <t>THESL</t>
  </si>
  <si>
    <t>THINKING HATS ENTER SOL L</t>
  </si>
  <si>
    <t>INE338A01024</t>
  </si>
  <si>
    <t>TIRUMALCHM</t>
  </si>
  <si>
    <t>THIRUMALAI CHEMICALS LTD</t>
  </si>
  <si>
    <t>INE332A01027</t>
  </si>
  <si>
    <t>THOMAS COOK (INDIA) LTD</t>
  </si>
  <si>
    <t>INE480M01011</t>
  </si>
  <si>
    <t>THOMASCOTT</t>
  </si>
  <si>
    <t>THOMAS SCOTT (INDIA) LTD</t>
  </si>
  <si>
    <t>INE594H01019</t>
  </si>
  <si>
    <t>THYROCARE</t>
  </si>
  <si>
    <t>THYROCARE TECH LTD</t>
  </si>
  <si>
    <t>INE906O01029</t>
  </si>
  <si>
    <t>TIGERLOGS</t>
  </si>
  <si>
    <t>TIGER LOGISTICS (INDIA) L</t>
  </si>
  <si>
    <t>INE440L01017</t>
  </si>
  <si>
    <t>TIJARIA</t>
  </si>
  <si>
    <t>TIJARIA POLYPIPES LTD</t>
  </si>
  <si>
    <t>INE806C01018</t>
  </si>
  <si>
    <t>TIL</t>
  </si>
  <si>
    <t>TIL LTD</t>
  </si>
  <si>
    <t>INE133E01013</t>
  </si>
  <si>
    <t>TI</t>
  </si>
  <si>
    <t>TILAKNAGAR INDUSTRIES LTD</t>
  </si>
  <si>
    <t>INE508G01029</t>
  </si>
  <si>
    <t>TIMETECHNO</t>
  </si>
  <si>
    <t>TIME TECHNOPLAST LTD.</t>
  </si>
  <si>
    <t>INE0IJY01014</t>
  </si>
  <si>
    <t>TIMESCAN</t>
  </si>
  <si>
    <t>TIMESCAN LOGISTICS IND L</t>
  </si>
  <si>
    <t>INE064A01026</t>
  </si>
  <si>
    <t>TIMEX</t>
  </si>
  <si>
    <t>TIMEX GROUP INDIA LTD.</t>
  </si>
  <si>
    <t>INE325A01013</t>
  </si>
  <si>
    <t>TIMKEN</t>
  </si>
  <si>
    <t>TIMKEN INDIA LTD.</t>
  </si>
  <si>
    <t>INE015C01016</t>
  </si>
  <si>
    <t>TINNARUBR</t>
  </si>
  <si>
    <t>TINNA RUBBER AND INFR LTD</t>
  </si>
  <si>
    <t>INE0LQS01015</t>
  </si>
  <si>
    <t>TIPSFILMS</t>
  </si>
  <si>
    <t>TIPS FILMS LIMITED</t>
  </si>
  <si>
    <t>INE716B01029</t>
  </si>
  <si>
    <t>TIPSMUSIC</t>
  </si>
  <si>
    <t>TIPS MUSIC LIMITED</t>
  </si>
  <si>
    <t>INE319Y01024</t>
  </si>
  <si>
    <t>TIRUPATIFL</t>
  </si>
  <si>
    <t>TIRUPATI FORGE LIMITED</t>
  </si>
  <si>
    <t>INE615H01020</t>
  </si>
  <si>
    <t>TITAGARH RAIL SYSTEMS LTD</t>
  </si>
  <si>
    <t>INE280A01028</t>
  </si>
  <si>
    <t>TITAN</t>
  </si>
  <si>
    <t>TITAN COMPANY LIMITED</t>
  </si>
  <si>
    <t>INE932C01012</t>
  </si>
  <si>
    <t>TOKYOPLAST</t>
  </si>
  <si>
    <t>TOKYO PLAST INTL LTD</t>
  </si>
  <si>
    <t>INE0RWQ01014</t>
  </si>
  <si>
    <t>TOLINS</t>
  </si>
  <si>
    <t>TOLINS TYRES LIMITED</t>
  </si>
  <si>
    <t>INE685A01028</t>
  </si>
  <si>
    <t>TORNTPHARM</t>
  </si>
  <si>
    <t>TORRENT PHARMACEUTICALS L</t>
  </si>
  <si>
    <t>INE813H01021</t>
  </si>
  <si>
    <t>TORNTPOWER</t>
  </si>
  <si>
    <t>TORRENT POWER LTD</t>
  </si>
  <si>
    <t>INE336X01012</t>
  </si>
  <si>
    <t>TOTAL</t>
  </si>
  <si>
    <t>TOTAL TRANSPORT SYS LTD</t>
  </si>
  <si>
    <t>INE486Y01013</t>
  </si>
  <si>
    <t>TOUCHWOOD</t>
  </si>
  <si>
    <t>TOUCHWOOD ENTERTAIN LTD.</t>
  </si>
  <si>
    <t>INE305A01023</t>
  </si>
  <si>
    <t>TFCILTD</t>
  </si>
  <si>
    <t>TOURISM FINANCE CORP. OF</t>
  </si>
  <si>
    <t>INE457P01020</t>
  </si>
  <si>
    <t>TOYAMSL</t>
  </si>
  <si>
    <t>TOYAM SPORTS LTD.</t>
  </si>
  <si>
    <t>INE413G01022</t>
  </si>
  <si>
    <t>TPLPLASTEH</t>
  </si>
  <si>
    <t>TPL PLASTECH LIMITED</t>
  </si>
  <si>
    <t>INE0HMF01019</t>
  </si>
  <si>
    <t>TRACXN</t>
  </si>
  <si>
    <t>TRACXN TECHNOLOGIES LTD</t>
  </si>
  <si>
    <t>INE763I01026</t>
  </si>
  <si>
    <t>TARIL</t>
  </si>
  <si>
    <t>TRANS &amp; RECTI. LTD</t>
  </si>
  <si>
    <t>INE330E01023</t>
  </si>
  <si>
    <t>TRANSCOR</t>
  </si>
  <si>
    <t>TRANSCORP INTERNATIONAL L</t>
  </si>
  <si>
    <t>INE0O3901029</t>
  </si>
  <si>
    <t>TREL</t>
  </si>
  <si>
    <t>TRANSINDIA REAL ESTATE L</t>
  </si>
  <si>
    <t>INE687A01016</t>
  </si>
  <si>
    <t>TRANSPEK</t>
  </si>
  <si>
    <t>TRANSPEK INDUSTRIES LTD</t>
  </si>
  <si>
    <t>INE688A01022</t>
  </si>
  <si>
    <t>TCI</t>
  </si>
  <si>
    <t>TRANSPORT CORPN OF INDIA</t>
  </si>
  <si>
    <t>INE454P01035</t>
  </si>
  <si>
    <t>TRANSRAILL</t>
  </si>
  <si>
    <t>TRANSRAIL LIGHTING LTD</t>
  </si>
  <si>
    <t>INE0NVI01020</t>
  </si>
  <si>
    <t>TRANSTEEL</t>
  </si>
  <si>
    <t>TRANSTEEL SEATING TECH L</t>
  </si>
  <si>
    <t>INE804H01012</t>
  </si>
  <si>
    <t>TFL</t>
  </si>
  <si>
    <t>TRANSWARRANTY FIN. LTD.</t>
  </si>
  <si>
    <t>INE757B01015</t>
  </si>
  <si>
    <t>TRANSWORLD</t>
  </si>
  <si>
    <t>TRANSWORLD SHIP LINES LTD</t>
  </si>
  <si>
    <t>INE103V01028</t>
  </si>
  <si>
    <t>TRAVELFOOD</t>
  </si>
  <si>
    <t>TRAVEL FOOD SERVICES LTD</t>
  </si>
  <si>
    <t>INE040M01013</t>
  </si>
  <si>
    <t>TREEHOUSE</t>
  </si>
  <si>
    <t>TREE HOUSE EDU LTD</t>
  </si>
  <si>
    <t>INE00CA01015</t>
  </si>
  <si>
    <t>TREJHARA</t>
  </si>
  <si>
    <t>TREJHARA SOLUTIONS LTD</t>
  </si>
  <si>
    <t>INE849A01020</t>
  </si>
  <si>
    <t>TRENT</t>
  </si>
  <si>
    <t>TRENT LTD</t>
  </si>
  <si>
    <t>INE391D01019</t>
  </si>
  <si>
    <t>TRF</t>
  </si>
  <si>
    <t>TRF LIMITED</t>
  </si>
  <si>
    <t>INE760L01018</t>
  </si>
  <si>
    <t>TBZ</t>
  </si>
  <si>
    <t>TRIB BHIMJI ZAVERI LTD</t>
  </si>
  <si>
    <t>INE064C01022</t>
  </si>
  <si>
    <t>TRIDENT</t>
  </si>
  <si>
    <t>TRIDENT LIMITED</t>
  </si>
  <si>
    <t>INE0QD201012</t>
  </si>
  <si>
    <t>TECHLABS</t>
  </si>
  <si>
    <t>TRIDENT TECHLABS LIMITED</t>
  </si>
  <si>
    <t>INE0LWY01029</t>
  </si>
  <si>
    <t>TRIDHYA</t>
  </si>
  <si>
    <t>TRIDHYA TECH LIMITED</t>
  </si>
  <si>
    <t>INE948A01012</t>
  </si>
  <si>
    <t>TRIGYN</t>
  </si>
  <si>
    <t>TRIGYN TECHNOLOGIES LTD</t>
  </si>
  <si>
    <t>INE440G01017</t>
  </si>
  <si>
    <t>TRITONV</t>
  </si>
  <si>
    <t>TRITON VALVES LTD.</t>
  </si>
  <si>
    <t>INE256C01024</t>
  </si>
  <si>
    <t>TRIVENI</t>
  </si>
  <si>
    <t>TRIVENI ENGG. &amp; INDS. LTD</t>
  </si>
  <si>
    <t>INE152M01016</t>
  </si>
  <si>
    <t>TRITURBINE</t>
  </si>
  <si>
    <t>TRIVENI TURBINE LIMITED</t>
  </si>
  <si>
    <t>INE0SYV01018</t>
  </si>
  <si>
    <t>TROM</t>
  </si>
  <si>
    <t>TROM INDUSTRIES LIMITED</t>
  </si>
  <si>
    <t>INE0MWH01014</t>
  </si>
  <si>
    <t>TRUALT</t>
  </si>
  <si>
    <t>TRUALT BIOENERGY LIMITED</t>
  </si>
  <si>
    <t>INE615R01029</t>
  </si>
  <si>
    <t>TRU</t>
  </si>
  <si>
    <t>TRUCAP FINANCE LIMITED</t>
  </si>
  <si>
    <t>INE0SWN01019</t>
  </si>
  <si>
    <t>TRUST</t>
  </si>
  <si>
    <t>TRUST FINTECH LIMITED</t>
  </si>
  <si>
    <t>INE16VK01010</t>
  </si>
  <si>
    <t>TSC</t>
  </si>
  <si>
    <t>TSC INDIA LIMITED</t>
  </si>
  <si>
    <t>INE202Z01029</t>
  </si>
  <si>
    <t>TSFINV</t>
  </si>
  <si>
    <t>TSF INVESTMENTS LIMITED</t>
  </si>
  <si>
    <t>INE1C3207065</t>
  </si>
  <si>
    <t>935TSI30</t>
  </si>
  <si>
    <t>TSI 9.35% 30 SR I-D</t>
  </si>
  <si>
    <t>INE1C3207081</t>
  </si>
  <si>
    <t>935TSIIC28</t>
  </si>
  <si>
    <t>TSIIC 9.35% 2028 SR I- B</t>
  </si>
  <si>
    <t>INE910C01018</t>
  </si>
  <si>
    <t>TTKHLTCARE</t>
  </si>
  <si>
    <t>TTK HEALTHCARE LIMITED</t>
  </si>
  <si>
    <t>INE690A01028</t>
  </si>
  <si>
    <t>TTKPRESTIG</t>
  </si>
  <si>
    <t>TTK PRESTIGE LTD</t>
  </si>
  <si>
    <t>INE974X01010</t>
  </si>
  <si>
    <t>TUBE INVEST OF INDIA LTD</t>
  </si>
  <si>
    <t>INE0OXV01027</t>
  </si>
  <si>
    <t>TUNWAL</t>
  </si>
  <si>
    <t>TUNWAL E-MOTORS LIMITED</t>
  </si>
  <si>
    <t>INE0OC301013</t>
  </si>
  <si>
    <t>TURTLEMINT</t>
  </si>
  <si>
    <t>TURTLEMINT FINTECH SOLS L</t>
  </si>
  <si>
    <t>INE400A01014</t>
  </si>
  <si>
    <t>TUTIALKA</t>
  </si>
  <si>
    <t>TUTICORIN ALKAL CH &amp; FE L</t>
  </si>
  <si>
    <t>INE038F01029</t>
  </si>
  <si>
    <t>TVTODAY</t>
  </si>
  <si>
    <t>TV TODAY NETWORK LTD</t>
  </si>
  <si>
    <t>INE871L01013</t>
  </si>
  <si>
    <t>TVVISION</t>
  </si>
  <si>
    <t>TV VISION LIMITED</t>
  </si>
  <si>
    <t>INE236G01019</t>
  </si>
  <si>
    <t>TVSELECT</t>
  </si>
  <si>
    <t>TVS ELECTRONICS LTD</t>
  </si>
  <si>
    <t>INE105A01035</t>
  </si>
  <si>
    <t>TVSHLTD</t>
  </si>
  <si>
    <t>TVS HOLDINGS LIMITED</t>
  </si>
  <si>
    <t>INE494B01023</t>
  </si>
  <si>
    <t>TVSMOTOR</t>
  </si>
  <si>
    <t>TVS MOTOR COMPANY  LTD</t>
  </si>
  <si>
    <t>INE421C01016</t>
  </si>
  <si>
    <t>TVSSRICHAK</t>
  </si>
  <si>
    <t>TVS SRICHAKRA LIMITED</t>
  </si>
  <si>
    <t>INE395N01027</t>
  </si>
  <si>
    <t>TVSSCS</t>
  </si>
  <si>
    <t>TVS SUPPLY CHAIN SOL L</t>
  </si>
  <si>
    <t>INE388G01026</t>
  </si>
  <si>
    <t>TICL</t>
  </si>
  <si>
    <t>TWAMEV CONS AND INFRA LTD</t>
  </si>
  <si>
    <t>INE726E01014</t>
  </si>
  <si>
    <t>UPHOT</t>
  </si>
  <si>
    <t>U P HOTELS LTD.</t>
  </si>
  <si>
    <t>INE152C01025</t>
  </si>
  <si>
    <t>UYFINCORP</t>
  </si>
  <si>
    <t>U. Y. FINCORP LIMITED</t>
  </si>
  <si>
    <t>INE139B01016</t>
  </si>
  <si>
    <t>UCAL</t>
  </si>
  <si>
    <t>UCAL LIMITED</t>
  </si>
  <si>
    <t>INE583D07588</t>
  </si>
  <si>
    <t>1025UCL27A</t>
  </si>
  <si>
    <t>UCL 10.25% SR IV</t>
  </si>
  <si>
    <t>INE583D07596</t>
  </si>
  <si>
    <t>1050UCL28</t>
  </si>
  <si>
    <t>UCL 10.50% SR V</t>
  </si>
  <si>
    <t>INE691A01018</t>
  </si>
  <si>
    <t>UCOBANK</t>
  </si>
  <si>
    <t>UCO BANK</t>
  </si>
  <si>
    <t>INE551B01012</t>
  </si>
  <si>
    <t>UDAYJEW</t>
  </si>
  <si>
    <t>UDAY JEWELLERY INDS. LTD.</t>
  </si>
  <si>
    <t>INE0N0Y01013</t>
  </si>
  <si>
    <t>USK</t>
  </si>
  <si>
    <t>UDAYSHIVAKUMAR INFRA LTD</t>
  </si>
  <si>
    <t>INE516A01017</t>
  </si>
  <si>
    <t>UFLEX</t>
  </si>
  <si>
    <t>UFLEX LIMITED</t>
  </si>
  <si>
    <t>INE527H01019</t>
  </si>
  <si>
    <t>UFO</t>
  </si>
  <si>
    <t>UFO MOVIEZ INDIA LTD.</t>
  </si>
  <si>
    <t>INE583D01011</t>
  </si>
  <si>
    <t>UGROCAP</t>
  </si>
  <si>
    <t>UGRO CAPITAL LIMITED</t>
  </si>
  <si>
    <t>INE899L01030</t>
  </si>
  <si>
    <t>UEL</t>
  </si>
  <si>
    <t>UJAAS ENERGY LIMITED</t>
  </si>
  <si>
    <t>INE551W01018</t>
  </si>
  <si>
    <t>UJJIVANSFB</t>
  </si>
  <si>
    <t>UJJIVAN SMALL FINANC BANK</t>
  </si>
  <si>
    <t>INE00F301010</t>
  </si>
  <si>
    <t>UWCSL</t>
  </si>
  <si>
    <t>ULTRA WIRING CONN SYS LTD</t>
  </si>
  <si>
    <t>INE405A01021</t>
  </si>
  <si>
    <t>ULTRAMAR</t>
  </si>
  <si>
    <t>ULTRAMARINE &amp; PIGMENTS L</t>
  </si>
  <si>
    <t>INE481G01011</t>
  </si>
  <si>
    <t>ULTRACEMCO</t>
  </si>
  <si>
    <t>ULTRATECH CEMENT LIMITED</t>
  </si>
  <si>
    <t>INE067901012</t>
  </si>
  <si>
    <t>UMA</t>
  </si>
  <si>
    <t>UMA CONVERTER LIMITED</t>
  </si>
  <si>
    <t>INE0GIU01018</t>
  </si>
  <si>
    <t>UMAEXPORTS</t>
  </si>
  <si>
    <t>UMA EXPORTS LIMITED</t>
  </si>
  <si>
    <t>INE398B01018</t>
  </si>
  <si>
    <t>UMIYA-MRO</t>
  </si>
  <si>
    <t>UMIYA BUILDCON LIMITED</t>
  </si>
  <si>
    <t>INE033L08270</t>
  </si>
  <si>
    <t>TCHF30</t>
  </si>
  <si>
    <t>UN SE RE NCD 8.55% SR.VI</t>
  </si>
  <si>
    <t>INE351A01035</t>
  </si>
  <si>
    <t>UNICHEMLAB</t>
  </si>
  <si>
    <t>UNICHEM LABORATORIES LTD</t>
  </si>
  <si>
    <t>INE00U401027</t>
  </si>
  <si>
    <t>UNIECOM</t>
  </si>
  <si>
    <t>UNICOMMERCE ESOLUTIONS L</t>
  </si>
  <si>
    <t>INE0PRF01011</t>
  </si>
  <si>
    <t>UNIHEALTH</t>
  </si>
  <si>
    <t>UNIHEALTH HOSPITALS LTD</t>
  </si>
  <si>
    <t>INE481Z01011</t>
  </si>
  <si>
    <t>UNIINFO</t>
  </si>
  <si>
    <t>UNIINFO TELECOM SERVI LTD</t>
  </si>
  <si>
    <t>INE0U3I01011</t>
  </si>
  <si>
    <t>UNIMECH</t>
  </si>
  <si>
    <t>UNIMECH AEROSPACE N MFG L</t>
  </si>
  <si>
    <t>INE692A01016</t>
  </si>
  <si>
    <t>UNIONBANK</t>
  </si>
  <si>
    <t>UNION BANK OF INDIA</t>
  </si>
  <si>
    <t>INF582M01KS4</t>
  </si>
  <si>
    <t>UNIONGOLD</t>
  </si>
  <si>
    <t>UNIONAMC - UNIONGOLD</t>
  </si>
  <si>
    <t>INE244O01017</t>
  </si>
  <si>
    <t>UNIPARTS</t>
  </si>
  <si>
    <t>UNIPARTS INDIA LIMITED</t>
  </si>
  <si>
    <t>INE037A01022</t>
  </si>
  <si>
    <t>UNIENTER</t>
  </si>
  <si>
    <t>UNIPHOS ENTERPRISES LTD</t>
  </si>
  <si>
    <t>INE694A01020</t>
  </si>
  <si>
    <t>UNITECH</t>
  </si>
  <si>
    <t>UNITECH LTD</t>
  </si>
  <si>
    <t>INE686F01025</t>
  </si>
  <si>
    <t>UBL</t>
  </si>
  <si>
    <t>UNITED BREWERIES LTD</t>
  </si>
  <si>
    <t>INE961D01019</t>
  </si>
  <si>
    <t>UNIDT</t>
  </si>
  <si>
    <t>UNITED DRILLING TOOLS LTD</t>
  </si>
  <si>
    <t>INE382M01027</t>
  </si>
  <si>
    <t>UFBL</t>
  </si>
  <si>
    <t>UNITED FOODBRANDS LIMITED</t>
  </si>
  <si>
    <t>INE0SMR01011</t>
  </si>
  <si>
    <t>UHTL</t>
  </si>
  <si>
    <t>UNITED HEAT TRANSFER LTD</t>
  </si>
  <si>
    <t>INE458F01011</t>
  </si>
  <si>
    <t>UNITEDTEA</t>
  </si>
  <si>
    <t>UNITED NILGIRI TEA LTD</t>
  </si>
  <si>
    <t>INE368U01029</t>
  </si>
  <si>
    <t>UNITEDPOLY</t>
  </si>
  <si>
    <t>UNITED POLYFAB GUJ. LTD.</t>
  </si>
  <si>
    <t>INE854D01024</t>
  </si>
  <si>
    <t>UNITDSPR</t>
  </si>
  <si>
    <t>UNITED SPIRITS LIMITED</t>
  </si>
  <si>
    <t>INE562X01013</t>
  </si>
  <si>
    <t>UNIVASTU</t>
  </si>
  <si>
    <t>UNIVASTU INDIA LIMITED</t>
  </si>
  <si>
    <t>INE279A01012</t>
  </si>
  <si>
    <t>UNIVCABLES</t>
  </si>
  <si>
    <t>UNIVERSAL CABLES LTD</t>
  </si>
  <si>
    <t>INE03V001013</t>
  </si>
  <si>
    <t>UNIVPHOTO</t>
  </si>
  <si>
    <t>UNIVERSUS IMAGINGS LTD</t>
  </si>
  <si>
    <t>INE405E01023</t>
  </si>
  <si>
    <t>UNOMINDA</t>
  </si>
  <si>
    <t>UNO MINDA LIMITED</t>
  </si>
  <si>
    <t>INE148I08256</t>
  </si>
  <si>
    <t>915SCL26</t>
  </si>
  <si>
    <t>UNS RED NCD 9.15% SR.IX</t>
  </si>
  <si>
    <t>INE530B08110</t>
  </si>
  <si>
    <t>IIFLZC28</t>
  </si>
  <si>
    <t>UNSE RE NCD 0% SR.III</t>
  </si>
  <si>
    <t>INE530B08102</t>
  </si>
  <si>
    <t>96IIFL28A</t>
  </si>
  <si>
    <t>UNSE RE NCD 9.6% SR.II</t>
  </si>
  <si>
    <t>INE148I08322</t>
  </si>
  <si>
    <t>889SCL28</t>
  </si>
  <si>
    <t>NU</t>
  </si>
  <si>
    <t>UNSE RE NCD 9.75% SR.IX</t>
  </si>
  <si>
    <t>INE477L08162</t>
  </si>
  <si>
    <t>IIFLZC28C</t>
  </si>
  <si>
    <t>UNSEC RE NCD 0% SR.III</t>
  </si>
  <si>
    <t>INE477L08147</t>
  </si>
  <si>
    <t>10IIFL28</t>
  </si>
  <si>
    <t>UNSEC RE NCD 10% SR.I</t>
  </si>
  <si>
    <t>INE477L08154</t>
  </si>
  <si>
    <t>96IIFL28</t>
  </si>
  <si>
    <t>UNSEC RE NCD 9.60% SR.II</t>
  </si>
  <si>
    <t>INE866I08295</t>
  </si>
  <si>
    <t>105IIFL29</t>
  </si>
  <si>
    <t>UNSEC RED NCD 10.5% SR.VI</t>
  </si>
  <si>
    <t>INE306N08284</t>
  </si>
  <si>
    <t>9TCAP28</t>
  </si>
  <si>
    <t>UNSERENCD9.00%SRIIICI&amp;II</t>
  </si>
  <si>
    <t>INE306N08292</t>
  </si>
  <si>
    <t>910TCAP28</t>
  </si>
  <si>
    <t>UNSERENCD9.1%SRIIICIII&amp;IV</t>
  </si>
  <si>
    <t>INE851I01011</t>
  </si>
  <si>
    <t>UDS</t>
  </si>
  <si>
    <t>UPDATER SERVICES LIMITED</t>
  </si>
  <si>
    <t>INE628A01036</t>
  </si>
  <si>
    <t>UPL</t>
  </si>
  <si>
    <t>UPL LIMITED</t>
  </si>
  <si>
    <t>INE0CBM01019</t>
  </si>
  <si>
    <t>USASEEDS</t>
  </si>
  <si>
    <t>UPSURGE SEEDS OF AGRI LTD</t>
  </si>
  <si>
    <t>INE568Z01015</t>
  </si>
  <si>
    <t>URAVIDEF</t>
  </si>
  <si>
    <t>URAVI DEFENCE &amp;TECH LTD</t>
  </si>
  <si>
    <t>INE0CAZ01013</t>
  </si>
  <si>
    <t>URBANCO</t>
  </si>
  <si>
    <t>URBAN COMPANY LIMITED</t>
  </si>
  <si>
    <t>INE0O0201019</t>
  </si>
  <si>
    <t>URBAN</t>
  </si>
  <si>
    <t>URBAN ENVIRO WASTE MGMT L</t>
  </si>
  <si>
    <t>INE550C01020</t>
  </si>
  <si>
    <t>URJA</t>
  </si>
  <si>
    <t>URJA GLOBAL LIMITED</t>
  </si>
  <si>
    <t>INE0LS001014</t>
  </si>
  <si>
    <t>USHAFIN</t>
  </si>
  <si>
    <t>USHA FINANCIAL SERVICES L</t>
  </si>
  <si>
    <t>INE240C01028</t>
  </si>
  <si>
    <t>UMESLTD</t>
  </si>
  <si>
    <t>USHA MARTIN EDU &amp; SOL LTD</t>
  </si>
  <si>
    <t>INE228A01035</t>
  </si>
  <si>
    <t>USHAMART</t>
  </si>
  <si>
    <t>USHA MARTIN LTD.</t>
  </si>
  <si>
    <t>INE00NI01015</t>
  </si>
  <si>
    <t>UCL</t>
  </si>
  <si>
    <t>USHANTI COLOUR CHEM LTD</t>
  </si>
  <si>
    <t>INE094J01016</t>
  </si>
  <si>
    <t>UTIAMC</t>
  </si>
  <si>
    <t>UTI ASSET MNGMT CO LTD</t>
  </si>
  <si>
    <t>INF789F1AG68</t>
  </si>
  <si>
    <t>LIQUIDBETA</t>
  </si>
  <si>
    <t>UTIAMC - LIQUIDBETA</t>
  </si>
  <si>
    <t>INF789F1AG76</t>
  </si>
  <si>
    <t>NIF500BETA</t>
  </si>
  <si>
    <t>UTIAMC - NIF500BETA</t>
  </si>
  <si>
    <t>INF789F1AUV1</t>
  </si>
  <si>
    <t>BANKBETA</t>
  </si>
  <si>
    <t>UTIAMC-BANKBETA</t>
  </si>
  <si>
    <t>INF789F1AZF3</t>
  </si>
  <si>
    <t>GILT10BETA</t>
  </si>
  <si>
    <t>UTIAMC-GILT10BETA</t>
  </si>
  <si>
    <t>INF789F1AZE6</t>
  </si>
  <si>
    <t>GILT5BETA</t>
  </si>
  <si>
    <t>UTIAMC-GILT5BETA</t>
  </si>
  <si>
    <t>INF789F1AZD8</t>
  </si>
  <si>
    <t>ITBETA</t>
  </si>
  <si>
    <t>UTIAMC-ITBETA</t>
  </si>
  <si>
    <t>INF789F1AYX9</t>
  </si>
  <si>
    <t>MIDCAPBETA</t>
  </si>
  <si>
    <t>UTIAMC-MIDCAPBETA</t>
  </si>
  <si>
    <t>INF789F1AUW9</t>
  </si>
  <si>
    <t>NEXT50BETA</t>
  </si>
  <si>
    <t>UTIAMC-NEXT50BETA</t>
  </si>
  <si>
    <t>INF789F1AZC0</t>
  </si>
  <si>
    <t>NIFTYBETA</t>
  </si>
  <si>
    <t>UTIAMC-NIFTYBETA</t>
  </si>
  <si>
    <t>INF789FB1X58</t>
  </si>
  <si>
    <t>SENSEXBETA</t>
  </si>
  <si>
    <t>UTIAMC-SENSEXBETA</t>
  </si>
  <si>
    <t>INF789F1AYK6</t>
  </si>
  <si>
    <t>SILVERBETA</t>
  </si>
  <si>
    <t>UTIAMC-SILVERBETA</t>
  </si>
  <si>
    <t>INF789F1AUU3</t>
  </si>
  <si>
    <t>SNXT50BETA</t>
  </si>
  <si>
    <t>UTIAMC-SNXT50BETA</t>
  </si>
  <si>
    <t>INF789F1AUX7</t>
  </si>
  <si>
    <t>GOLDBETA</t>
  </si>
  <si>
    <t>UTIAMC-UTIGOLDBETA</t>
  </si>
  <si>
    <t>INE1V1R01014</t>
  </si>
  <si>
    <t>UTKAL</t>
  </si>
  <si>
    <t>UTKAL SPEC INDUS INDIA L</t>
  </si>
  <si>
    <t>INE735W01017</t>
  </si>
  <si>
    <t>UTKARSHBNK</t>
  </si>
  <si>
    <t>UTKARSH SMALL FIN BANK L</t>
  </si>
  <si>
    <t>INE06IJ01010</t>
  </si>
  <si>
    <t>UTSSAV</t>
  </si>
  <si>
    <t>UTSSAV CZ GOLD JEWELS LTD</t>
  </si>
  <si>
    <t>INE786F01031</t>
  </si>
  <si>
    <t>UTTAMSUGAR</t>
  </si>
  <si>
    <t>UTTAM SUGAR MILLS LTD.</t>
  </si>
  <si>
    <t>INE0GXK01018</t>
  </si>
  <si>
    <t>VMARCIND</t>
  </si>
  <si>
    <t>V MARC INDIA LIMITED</t>
  </si>
  <si>
    <t>INE0QQM01017</t>
  </si>
  <si>
    <t>VR</t>
  </si>
  <si>
    <t>V R INFRASPACE LIMITED</t>
  </si>
  <si>
    <t>INE222F01029</t>
  </si>
  <si>
    <t>VTMLTD</t>
  </si>
  <si>
    <t>V T M LTD.</t>
  </si>
  <si>
    <t>INE951I01027</t>
  </si>
  <si>
    <t>VGUARD</t>
  </si>
  <si>
    <t>V-GUARD IND LTD.</t>
  </si>
  <si>
    <t>INE0QXL01015</t>
  </si>
  <si>
    <t>VLINFRA</t>
  </si>
  <si>
    <t>V.L.INFRAPROJECTS LIMITED</t>
  </si>
  <si>
    <t>INE945H01021</t>
  </si>
  <si>
    <t>V2RETAIL</t>
  </si>
  <si>
    <t>V2 RETAIL LIMITED</t>
  </si>
  <si>
    <t>INE956G01038</t>
  </si>
  <si>
    <t>WABAG</t>
  </si>
  <si>
    <t>VA TECH WABAG LTD</t>
  </si>
  <si>
    <t>INE693D01018</t>
  </si>
  <si>
    <t>VADILENT</t>
  </si>
  <si>
    <t>VADILAL ENTERPRISES LTD.</t>
  </si>
  <si>
    <t>INE694D01016</t>
  </si>
  <si>
    <t>VADILAL INDUSTRIES LTD</t>
  </si>
  <si>
    <t>INE884A01027</t>
  </si>
  <si>
    <t>VAIBHAVGBL</t>
  </si>
  <si>
    <t>VAIBHAV GLOBAL LIMITED</t>
  </si>
  <si>
    <t>INE0JR301013</t>
  </si>
  <si>
    <t>MADHAVBAUG</t>
  </si>
  <si>
    <t>VAIDYA SANE AYUR LAB LTD</t>
  </si>
  <si>
    <t>INE972X01022</t>
  </si>
  <si>
    <t>VAISHALI</t>
  </si>
  <si>
    <t>VAISHALI PHARMA LIMITED</t>
  </si>
  <si>
    <t>INE051B01021</t>
  </si>
  <si>
    <t>VAKRANGEE</t>
  </si>
  <si>
    <t>VAKRANGEE LIMITED</t>
  </si>
  <si>
    <t>INE0JWS01017</t>
  </si>
  <si>
    <t>VALIANTLAB</t>
  </si>
  <si>
    <t>VALIANT LABORATORIES LTD</t>
  </si>
  <si>
    <t>INE565V01010</t>
  </si>
  <si>
    <t>VALIANTORG</t>
  </si>
  <si>
    <t>VALIANT ORGANICS LIMITED</t>
  </si>
  <si>
    <t>INE879I01012</t>
  </si>
  <si>
    <t>DBREALTY</t>
  </si>
  <si>
    <t>VALOR ESTATE LIMITED</t>
  </si>
  <si>
    <t>INE1E7Y01018</t>
  </si>
  <si>
    <t>VALUE360</t>
  </si>
  <si>
    <t>VALUE 360 COMMUNICATION L</t>
  </si>
  <si>
    <t>INE116G01013</t>
  </si>
  <si>
    <t>VARDHACRLC</t>
  </si>
  <si>
    <t>VARDHAMAN ACRYLICS LTD</t>
  </si>
  <si>
    <t>INE701A01023</t>
  </si>
  <si>
    <t>VHL</t>
  </si>
  <si>
    <t>VARDHMAN HOLDINGS LIMITED</t>
  </si>
  <si>
    <t>INE835A01029</t>
  </si>
  <si>
    <t>VARDMNPOLY</t>
  </si>
  <si>
    <t>VARDHMAN POLYTEX LTD.</t>
  </si>
  <si>
    <t>INE050M01012</t>
  </si>
  <si>
    <t>VSSL</t>
  </si>
  <si>
    <t>VARDHMAN SPC STEEL LTD</t>
  </si>
  <si>
    <t>INE825A01020</t>
  </si>
  <si>
    <t>VTL</t>
  </si>
  <si>
    <t>VARDHMAN TEXTILES LIMITED</t>
  </si>
  <si>
    <t>INE665L01035</t>
  </si>
  <si>
    <t>VARROC</t>
  </si>
  <si>
    <t>VARROC ENGINEERING LTD.</t>
  </si>
  <si>
    <t>INE200M01039</t>
  </si>
  <si>
    <t>VBL</t>
  </si>
  <si>
    <t>VARUN BEVERAGES LIMITED</t>
  </si>
  <si>
    <t>INE273D01027</t>
  </si>
  <si>
    <t>VGL</t>
  </si>
  <si>
    <t>VARVEE GLOBAL LIMITED</t>
  </si>
  <si>
    <t>INE0N5801013</t>
  </si>
  <si>
    <t>DENTALKART</t>
  </si>
  <si>
    <t>VASA DENTICITY LIMITED</t>
  </si>
  <si>
    <t>INE068Z01016</t>
  </si>
  <si>
    <t>VASA</t>
  </si>
  <si>
    <t>VASA RETAIL &amp; OVERSEA LTD</t>
  </si>
  <si>
    <t>INE893I01013</t>
  </si>
  <si>
    <t>VASCONEQ</t>
  </si>
  <si>
    <t>VASCON ENGINEERS LTD</t>
  </si>
  <si>
    <t>INE590L01019</t>
  </si>
  <si>
    <t>VASWANI</t>
  </si>
  <si>
    <t>VASWANI IND LTD</t>
  </si>
  <si>
    <t>INE098201036</t>
  </si>
  <si>
    <t>VCL</t>
  </si>
  <si>
    <t>VAXTEX COTFAB LIMITED</t>
  </si>
  <si>
    <t>INE04HY07229</t>
  </si>
  <si>
    <t>12VCCL29B</t>
  </si>
  <si>
    <t>VCCL 12% 2029</t>
  </si>
  <si>
    <t>INE04HY08011</t>
  </si>
  <si>
    <t>125VCCL31</t>
  </si>
  <si>
    <t>VCCL 12.5% 2031</t>
  </si>
  <si>
    <t>INE04HY07401</t>
  </si>
  <si>
    <t>115VCCL31A</t>
  </si>
  <si>
    <t>VCCL31A 11.5% 2031</t>
  </si>
  <si>
    <t>INE0U2M01015</t>
  </si>
  <si>
    <t>VDEAL</t>
  </si>
  <si>
    <t>VDEAL SYSTEM LIMITED</t>
  </si>
  <si>
    <t>INE825V01034</t>
  </si>
  <si>
    <t>MANYAVAR</t>
  </si>
  <si>
    <t>VEDANT FASHIONS LIMITED</t>
  </si>
  <si>
    <t>INE1CDF01017</t>
  </si>
  <si>
    <t>VAML</t>
  </si>
  <si>
    <t>VEDANTA ALUMINIUM METAL L</t>
  </si>
  <si>
    <t>INE1CLE01013</t>
  </si>
  <si>
    <t>VISL</t>
  </si>
  <si>
    <t>VEDANTA IRON AND STEEL L</t>
  </si>
  <si>
    <t>INE205A01025</t>
  </si>
  <si>
    <t>VEDL</t>
  </si>
  <si>
    <t>VEDANTA LIMITED</t>
  </si>
  <si>
    <t>INE704J01044</t>
  </si>
  <si>
    <t>VOGL</t>
  </si>
  <si>
    <t>VEDANTA OIL AND GAS LTD</t>
  </si>
  <si>
    <t>INE694L01019</t>
  </si>
  <si>
    <t>VEDPOWER</t>
  </si>
  <si>
    <t>VEDANTA POWER LIMITED</t>
  </si>
  <si>
    <t>INE359B01010</t>
  </si>
  <si>
    <t>VEDAVAAG</t>
  </si>
  <si>
    <t>VEDAVAAG SYSTEMS LTD.</t>
  </si>
  <si>
    <t>INE484C01030</t>
  </si>
  <si>
    <t>VEEDOL</t>
  </si>
  <si>
    <t>VEEDOL CORPORATION LTD</t>
  </si>
  <si>
    <t>INE0KTW01013</t>
  </si>
  <si>
    <t>VEEKAYEM</t>
  </si>
  <si>
    <t>VEEKAYEM FASH &amp; APP LTD</t>
  </si>
  <si>
    <t>INE232E01013</t>
  </si>
  <si>
    <t>VELJAN</t>
  </si>
  <si>
    <t>VELJAN DENISON LTD.</t>
  </si>
  <si>
    <t>INE398A01010</t>
  </si>
  <si>
    <t>VENKEYS</t>
  </si>
  <si>
    <t>VENKY S (INDIA) LIMITED</t>
  </si>
  <si>
    <t>INE781S01027</t>
  </si>
  <si>
    <t>VENTIVE</t>
  </si>
  <si>
    <t>VENTIVE HOSPITALITY LTD</t>
  </si>
  <si>
    <t>INE0JA001018</t>
  </si>
  <si>
    <t>VENUSPIPES</t>
  </si>
  <si>
    <t>VENUS PIPES &amp; TUBES LTD</t>
  </si>
  <si>
    <t>INE411B01019</t>
  </si>
  <si>
    <t>VENUSREM</t>
  </si>
  <si>
    <t>VENUS REMEDIES LIMITED</t>
  </si>
  <si>
    <t>INE0IQ001011</t>
  </si>
  <si>
    <t>VERANDA</t>
  </si>
  <si>
    <t>VERANDA LEARNING SOL LTD</t>
  </si>
  <si>
    <t>INE0NLB01018</t>
  </si>
  <si>
    <t>VERTEXPLUS</t>
  </si>
  <si>
    <t>VERTEXPLUS TECHNOLOGIES L</t>
  </si>
  <si>
    <t>INE0KXY23015</t>
  </si>
  <si>
    <t>VERTIS</t>
  </si>
  <si>
    <t>VERTIS INFRASTRUCTURE TST</t>
  </si>
  <si>
    <t>INE188Y01031</t>
  </si>
  <si>
    <t>VERTOZ</t>
  </si>
  <si>
    <t>VERTOZ LIMITED</t>
  </si>
  <si>
    <t>INE386A01023</t>
  </si>
  <si>
    <t>VESUVIUS</t>
  </si>
  <si>
    <t>VESUVIUS INDIA LTD</t>
  </si>
  <si>
    <t>INE918N01018</t>
  </si>
  <si>
    <t>VETO</t>
  </si>
  <si>
    <t>VETO SWITCHGEAR CABLE LTD</t>
  </si>
  <si>
    <t>INE0MO401019</t>
  </si>
  <si>
    <t>VIAZ</t>
  </si>
  <si>
    <t>VIAZ TYRES LIMITED</t>
  </si>
  <si>
    <t>INE0QTF01015</t>
  </si>
  <si>
    <t>VSTL</t>
  </si>
  <si>
    <t>VIBHOR STEEL TUBES LTD</t>
  </si>
  <si>
    <t>INE761Q01015</t>
  </si>
  <si>
    <t>VGCL</t>
  </si>
  <si>
    <t>VIBRANT GLOBAL CAPITAL L</t>
  </si>
  <si>
    <t>INE048C01025</t>
  </si>
  <si>
    <t>VHLTD</t>
  </si>
  <si>
    <t>VICEROY HOTELS LIMITED</t>
  </si>
  <si>
    <t>INE0F8901022</t>
  </si>
  <si>
    <t>VICTORYEV</t>
  </si>
  <si>
    <t>VICTORY ELEC VEHICL INT L</t>
  </si>
  <si>
    <t>INE632C01026</t>
  </si>
  <si>
    <t>VIDHIING</t>
  </si>
  <si>
    <t>VIDHI SPCLTY F INGRDNTS L</t>
  </si>
  <si>
    <t>INE14UN01029</t>
  </si>
  <si>
    <t>VIDYAWIRES</t>
  </si>
  <si>
    <t>VIDYA WIRES LIMITED</t>
  </si>
  <si>
    <t>INE1DM601016</t>
  </si>
  <si>
    <t>VIGOR</t>
  </si>
  <si>
    <t>VIGOR PLAST INDIA LIMITED</t>
  </si>
  <si>
    <t>INE362D01010</t>
  </si>
  <si>
    <t>VIJSOLX</t>
  </si>
  <si>
    <t>VIJAY SOLVEX LTD.</t>
  </si>
  <si>
    <t>INE043W01024</t>
  </si>
  <si>
    <t>VIJAYA</t>
  </si>
  <si>
    <t>VIJAYA DIAGNOSTIC CEN LTD</t>
  </si>
  <si>
    <t>INE0WL901019</t>
  </si>
  <si>
    <t>VIJAYPD</t>
  </si>
  <si>
    <t>VIJAYPD CEUTICAL LIMITED</t>
  </si>
  <si>
    <t>INE159N01027</t>
  </si>
  <si>
    <t>VIJIFIN</t>
  </si>
  <si>
    <t>VIJI FINANCE LIMITED</t>
  </si>
  <si>
    <t>INE806A01020</t>
  </si>
  <si>
    <t>VIKASECO</t>
  </si>
  <si>
    <t>VIKAS ECOTECH LIMITED</t>
  </si>
  <si>
    <t>INE161L01027</t>
  </si>
  <si>
    <t>VIKASLIFE</t>
  </si>
  <si>
    <t>VIKAS LIFECARE LIMITED</t>
  </si>
  <si>
    <t>INE078V01014</t>
  </si>
  <si>
    <t>VIKRAMSOLR</t>
  </si>
  <si>
    <t>VIKRAM SOLAR LIMITED</t>
  </si>
  <si>
    <t>INE01R501028</t>
  </si>
  <si>
    <t>VIKRAN</t>
  </si>
  <si>
    <t>VIKRAN ENGINEERING LTD</t>
  </si>
  <si>
    <t>INE0AZY01017</t>
  </si>
  <si>
    <t>VILAS</t>
  </si>
  <si>
    <t>VILAS TRANSCORE LIMITED</t>
  </si>
  <si>
    <t>INE0L4V01013</t>
  </si>
  <si>
    <t>VILINBIO</t>
  </si>
  <si>
    <t>VILIN BIO MED LIMITED</t>
  </si>
  <si>
    <t>INE579C01029</t>
  </si>
  <si>
    <t>VIMTALABS</t>
  </si>
  <si>
    <t>VIMTA LABS LIMITED</t>
  </si>
  <si>
    <t>INE410B01037</t>
  </si>
  <si>
    <t>VINATIORGA</t>
  </si>
  <si>
    <t>VINATI ORGANICS LTD</t>
  </si>
  <si>
    <t>INE707A01012</t>
  </si>
  <si>
    <t>VINDHYATEL</t>
  </si>
  <si>
    <t>VINDHYA TELELINKS LTD</t>
  </si>
  <si>
    <t>INE505Y01010</t>
  </si>
  <si>
    <t>VINEETLAB</t>
  </si>
  <si>
    <t>VINEET LABORATORIES LTD</t>
  </si>
  <si>
    <t>INE27V201011</t>
  </si>
  <si>
    <t>VMOBILE</t>
  </si>
  <si>
    <t>VINIT MOBILE LIMITED</t>
  </si>
  <si>
    <t>INE01KI01027</t>
  </si>
  <si>
    <t>VINNY</t>
  </si>
  <si>
    <t>VINNY OVERSEAS LIMITED</t>
  </si>
  <si>
    <t>INE0OSJ01014</t>
  </si>
  <si>
    <t>VINSYS</t>
  </si>
  <si>
    <t>VINSYS IT SERVICES IND LT</t>
  </si>
  <si>
    <t>INE498Q01014</t>
  </si>
  <si>
    <t>VINCOFE</t>
  </si>
  <si>
    <t>VINTAGE COFFEE N BVRGS L</t>
  </si>
  <si>
    <t>INE0OLS01010</t>
  </si>
  <si>
    <t>VINYAS</t>
  </si>
  <si>
    <t>VINYAS INNOVATIVE TECH L</t>
  </si>
  <si>
    <t>INE250B01029</t>
  </si>
  <si>
    <t>VINYLINDIA</t>
  </si>
  <si>
    <t>VINYL CHEMICALS (I) LTD.</t>
  </si>
  <si>
    <t>INE450G01024</t>
  </si>
  <si>
    <t>VIPCLOTHNG</t>
  </si>
  <si>
    <t>VIP CLOTHING LIMITED</t>
  </si>
  <si>
    <t>INE054A01027</t>
  </si>
  <si>
    <t>VIPIND</t>
  </si>
  <si>
    <t>VIP INDUSTRIES LTD</t>
  </si>
  <si>
    <t>INE946H01037</t>
  </si>
  <si>
    <t>VIPULLTD</t>
  </si>
  <si>
    <t>VIPUL LIMITED</t>
  </si>
  <si>
    <t>INE467D01017</t>
  </si>
  <si>
    <t>VIRAT</t>
  </si>
  <si>
    <t>VIRAT INDUSTRIES LTD.</t>
  </si>
  <si>
    <t>INE539B01017</t>
  </si>
  <si>
    <t>VIRINCHI</t>
  </si>
  <si>
    <t>VIRINCHI LIMITED</t>
  </si>
  <si>
    <t>INE0VRH01015</t>
  </si>
  <si>
    <t>VGINFOTECH</t>
  </si>
  <si>
    <t>VIRTUAL GALAXY INFOTECH L</t>
  </si>
  <si>
    <t>INE247C01023</t>
  </si>
  <si>
    <t>VIRTUALG</t>
  </si>
  <si>
    <t>VIRTUAL GLOBAL EDU LTD</t>
  </si>
  <si>
    <t>INE0I0T01010</t>
  </si>
  <si>
    <t>VOEPL</t>
  </si>
  <si>
    <t>VIRTUOSO OPTOELECTRONIC L</t>
  </si>
  <si>
    <t>INE286H01012</t>
  </si>
  <si>
    <t>VISACHROME</t>
  </si>
  <si>
    <t>VISA CHROME LIMITED</t>
  </si>
  <si>
    <t>INE370E01029</t>
  </si>
  <si>
    <t>VIVIDHA</t>
  </si>
  <si>
    <t>VISAGAR POLYTEX LTD</t>
  </si>
  <si>
    <t>INE392A01021</t>
  </si>
  <si>
    <t>VISAKAIND</t>
  </si>
  <si>
    <t>VISAKA INDUSTRIES LIMITED</t>
  </si>
  <si>
    <t>INE0BHK01012</t>
  </si>
  <si>
    <t>VISAMAN</t>
  </si>
  <si>
    <t>VISAMAN GLOBAL SALES LTD</t>
  </si>
  <si>
    <t>INE0OWX01025</t>
  </si>
  <si>
    <t>VISDEM</t>
  </si>
  <si>
    <t>VISDEM TECHNOSYS LIMITED</t>
  </si>
  <si>
    <t>INE755Q01025</t>
  </si>
  <si>
    <t>VISHAL</t>
  </si>
  <si>
    <t>VISHAL FABRICS LTD.</t>
  </si>
  <si>
    <t>INE01EA01019</t>
  </si>
  <si>
    <t>VMM</t>
  </si>
  <si>
    <t>VISHAL MEGA MART LIMITED</t>
  </si>
  <si>
    <t>INE270I01022</t>
  </si>
  <si>
    <t>VISHNU</t>
  </si>
  <si>
    <t>VISHNU CHEMICALS LIMITED</t>
  </si>
  <si>
    <t>INE0AE001013</t>
  </si>
  <si>
    <t>VPRPL</t>
  </si>
  <si>
    <t>VISHNU PRAKASH R PUNGLI L</t>
  </si>
  <si>
    <t>INE0PQ001012</t>
  </si>
  <si>
    <t>VISHNUINFR</t>
  </si>
  <si>
    <t>VISHNUSURYA PROJ N INFR L</t>
  </si>
  <si>
    <t>INE430N01022</t>
  </si>
  <si>
    <t>VISHWARAJ</t>
  </si>
  <si>
    <t>VISHWARAJ SUGAR IND LTD</t>
  </si>
  <si>
    <t>INE0TR001017</t>
  </si>
  <si>
    <t>VIESL</t>
  </si>
  <si>
    <t>VISION INFRA EQUIP SOL L</t>
  </si>
  <si>
    <t>INE0L4K01016</t>
  </si>
  <si>
    <t>VITAL</t>
  </si>
  <si>
    <t>VITAL CHEMTECH LIMITED</t>
  </si>
  <si>
    <t>INE0MEG01014</t>
  </si>
  <si>
    <t>VIVIANA</t>
  </si>
  <si>
    <t>VIVIANA POWER TECH LTD</t>
  </si>
  <si>
    <t>INE24H301028</t>
  </si>
  <si>
    <t>VIVIDEL</t>
  </si>
  <si>
    <t>VIVID ELECTROMECH LIMITED</t>
  </si>
  <si>
    <t>INE526G01021</t>
  </si>
  <si>
    <t>VIVIMEDLAB</t>
  </si>
  <si>
    <t>VIVIMED LABS LIMITED</t>
  </si>
  <si>
    <t>INE380K01017</t>
  </si>
  <si>
    <t>VIVOBIOT</t>
  </si>
  <si>
    <t>VIVO BIO TECH LTD.</t>
  </si>
  <si>
    <t>INE807F01027</t>
  </si>
  <si>
    <t>VIYASH</t>
  </si>
  <si>
    <t>VIYASH SCIENTIFIC LIMITED</t>
  </si>
  <si>
    <t>INE03HW01020</t>
  </si>
  <si>
    <t>VLEGOV</t>
  </si>
  <si>
    <t>VL E GOV AND IT SOL LTD</t>
  </si>
  <si>
    <t>INE709A01018</t>
  </si>
  <si>
    <t>VLSFINANCE</t>
  </si>
  <si>
    <t>VLS FINANCE LTD</t>
  </si>
  <si>
    <t>INE665J01013</t>
  </si>
  <si>
    <t>VMART</t>
  </si>
  <si>
    <t>VMART RETAIL LTD</t>
  </si>
  <si>
    <t>INE0SJA01013</t>
  </si>
  <si>
    <t>VMSTMT</t>
  </si>
  <si>
    <t>VMS TMT LIMITED</t>
  </si>
  <si>
    <t>INE669E01016</t>
  </si>
  <si>
    <t>IDEA</t>
  </si>
  <si>
    <t>VODAFONE IDEA LIMITED</t>
  </si>
  <si>
    <t>INE285C01015</t>
  </si>
  <si>
    <t>VOITHPAPR</t>
  </si>
  <si>
    <t>VOITH PAPER FABRICS IND L</t>
  </si>
  <si>
    <t>INE241X01014</t>
  </si>
  <si>
    <t>VOLERCAR</t>
  </si>
  <si>
    <t>VOLER CAR LIMITED</t>
  </si>
  <si>
    <t>INE540H01012</t>
  </si>
  <si>
    <t>VOLTAMP</t>
  </si>
  <si>
    <t>VOLTAMP TRANSFORMERS LTD</t>
  </si>
  <si>
    <t>INE226A01021</t>
  </si>
  <si>
    <t>VOLTAS</t>
  </si>
  <si>
    <t>VOLTAS LTD</t>
  </si>
  <si>
    <t>INE0MEG07029</t>
  </si>
  <si>
    <t>12VPT28</t>
  </si>
  <si>
    <t>VPT 12% 2028</t>
  </si>
  <si>
    <t>INE0S2V01010</t>
  </si>
  <si>
    <t>VRAJ</t>
  </si>
  <si>
    <t>VRAJ IRON AND STEEL LTD</t>
  </si>
  <si>
    <t>INE366I01010</t>
  </si>
  <si>
    <t>VRL LOGISTICS LIMITED</t>
  </si>
  <si>
    <t>INE710A01016</t>
  </si>
  <si>
    <t>VSTIND</t>
  </si>
  <si>
    <t>VST INDUSTRIES LTD</t>
  </si>
  <si>
    <t>INE764D01017</t>
  </si>
  <si>
    <t>VSTTILLERS</t>
  </si>
  <si>
    <t>VST TILLERS TRACTORS LTD</t>
  </si>
  <si>
    <t>INE855A01019</t>
  </si>
  <si>
    <t>WHBRADY</t>
  </si>
  <si>
    <t>W H BRADY &amp; CO. LTD.</t>
  </si>
  <si>
    <t>INE765D01022</t>
  </si>
  <si>
    <t>WPIL</t>
  </si>
  <si>
    <t>W P I L LTD.</t>
  </si>
  <si>
    <t>INE100D01014</t>
  </si>
  <si>
    <t>WSI</t>
  </si>
  <si>
    <t>W.S.INDUSTRIES (I) LTD.</t>
  </si>
  <si>
    <t>INE377N01017</t>
  </si>
  <si>
    <t>WAAREEENER</t>
  </si>
  <si>
    <t>WAAREE ENERGIES LIMITED</t>
  </si>
  <si>
    <t>INE299N01021</t>
  </si>
  <si>
    <t>WAAREERTL</t>
  </si>
  <si>
    <t>WAAREE RENEWABLE TECH LTD</t>
  </si>
  <si>
    <t>INE0E7301029</t>
  </si>
  <si>
    <t>WAKEFIT</t>
  </si>
  <si>
    <t>WAKEFIT INNOVATIONS LTD</t>
  </si>
  <si>
    <t>INE711A01022</t>
  </si>
  <si>
    <t>WALCHANNAG</t>
  </si>
  <si>
    <t>WALCHANDNAGAR INDUSTRIES</t>
  </si>
  <si>
    <t>INE107F01022</t>
  </si>
  <si>
    <t>WANBURY</t>
  </si>
  <si>
    <t>WANBURY LIMITED</t>
  </si>
  <si>
    <t>INE945P01024</t>
  </si>
  <si>
    <t>WARDINMOBI</t>
  </si>
  <si>
    <t>WARDWIZARD INNO &amp; MOB L</t>
  </si>
  <si>
    <t>INE054C01015</t>
  </si>
  <si>
    <t>WATERBASE</t>
  </si>
  <si>
    <t>WATERBASE LTD.</t>
  </si>
  <si>
    <t>INE0LZF01039</t>
  </si>
  <si>
    <t>CORDELIA</t>
  </si>
  <si>
    <t>WATERWAYS LEISURE TOUR L</t>
  </si>
  <si>
    <t>INE0A3007065</t>
  </si>
  <si>
    <t>1075WCA28</t>
  </si>
  <si>
    <t>WCAPL 10.75% 2028</t>
  </si>
  <si>
    <t>INE082W01014</t>
  </si>
  <si>
    <t>WEWIN</t>
  </si>
  <si>
    <t>WE WIN LIMITED</t>
  </si>
  <si>
    <t>INF2F0001370</t>
  </si>
  <si>
    <t>TWCGOLDETF</t>
  </si>
  <si>
    <t>WEALTH - TWCGOLDETF</t>
  </si>
  <si>
    <t>INE658T01017</t>
  </si>
  <si>
    <t>WEALTH</t>
  </si>
  <si>
    <t>WEALTH FRST PORT. MG. LTD</t>
  </si>
  <si>
    <t>INE855C01023</t>
  </si>
  <si>
    <t>WEBELSOLAR</t>
  </si>
  <si>
    <t>WEBSOL ENERGY SYSTEM LTD</t>
  </si>
  <si>
    <t>INE080A01014</t>
  </si>
  <si>
    <t>WEIZMANIND</t>
  </si>
  <si>
    <t>WEIZMANN LTD</t>
  </si>
  <si>
    <t>INE191B01025</t>
  </si>
  <si>
    <t>WELCORP</t>
  </si>
  <si>
    <t>WELSPUN CORP LIMITED</t>
  </si>
  <si>
    <t>INE625G01013</t>
  </si>
  <si>
    <t>WELSPUN ENTERPRISES LTD.</t>
  </si>
  <si>
    <t>INE389K01018</t>
  </si>
  <si>
    <t>WELINV</t>
  </si>
  <si>
    <t>WELSPUN INV &amp; COMM LTD</t>
  </si>
  <si>
    <t>INE192B01031</t>
  </si>
  <si>
    <t>WELSPUNLIV</t>
  </si>
  <si>
    <t>WELSPUN LIVING LIMITED</t>
  </si>
  <si>
    <t>INE731F01037</t>
  </si>
  <si>
    <t>WELSPLSOL</t>
  </si>
  <si>
    <t>WELSPUN SPECIALTY SOL L</t>
  </si>
  <si>
    <t>INE274C01019</t>
  </si>
  <si>
    <t>WENDT</t>
  </si>
  <si>
    <t>WENDT (INDIA) LIMITED</t>
  </si>
  <si>
    <t>INE976A01021</t>
  </si>
  <si>
    <t>WSTCSTPAPR</t>
  </si>
  <si>
    <t>WEST COAST PAPER MILLS LT</t>
  </si>
  <si>
    <t>INE0CJF01024</t>
  </si>
  <si>
    <t>WCIL</t>
  </si>
  <si>
    <t>WESTERN CARRIERS (IND) L</t>
  </si>
  <si>
    <t>INE274F01020</t>
  </si>
  <si>
    <t>WESTLIFE</t>
  </si>
  <si>
    <t>WESTLIFE FOODWORLD LTD</t>
  </si>
  <si>
    <t>INE085001019</t>
  </si>
  <si>
    <t>WEWORK</t>
  </si>
  <si>
    <t>WEWORK INDIA MANAGEMENT L</t>
  </si>
  <si>
    <t>INE715A01015</t>
  </si>
  <si>
    <t>WHEELS</t>
  </si>
  <si>
    <t>WHEELS INDIA LTD</t>
  </si>
  <si>
    <t>INE716A01013</t>
  </si>
  <si>
    <t>WHIRLPOOL</t>
  </si>
  <si>
    <t>WHIRLPOOL OF INDIA LTD</t>
  </si>
  <si>
    <t>INE210A01017</t>
  </si>
  <si>
    <t>WILLAMAGOR</t>
  </si>
  <si>
    <t>WILLIAMSON MAGOR</t>
  </si>
  <si>
    <t>INE0H5O01029</t>
  </si>
  <si>
    <t>WINDLAS</t>
  </si>
  <si>
    <t>WINDLAS BIOTECH LIMITED</t>
  </si>
  <si>
    <t>INE052A01021</t>
  </si>
  <si>
    <t>WINDMACHIN</t>
  </si>
  <si>
    <t>WINDSOR MACHINES LIMITED</t>
  </si>
  <si>
    <t>INE0S9101013</t>
  </si>
  <si>
    <t>WINNY</t>
  </si>
  <si>
    <t>WINNY IMMIGRA &amp; EDU SER L</t>
  </si>
  <si>
    <t>INE0S3D01016</t>
  </si>
  <si>
    <t>WINSOL</t>
  </si>
  <si>
    <t>WINSOL ENGINEERS LIMITED</t>
  </si>
  <si>
    <t>INE075A01022</t>
  </si>
  <si>
    <t>WIPRO</t>
  </si>
  <si>
    <t>WIPRO LTD</t>
  </si>
  <si>
    <t>INE623Y01011</t>
  </si>
  <si>
    <t>WTICAB</t>
  </si>
  <si>
    <t>WISE TRAVEL INDIA LIMITED</t>
  </si>
  <si>
    <t>INE049B01025</t>
  </si>
  <si>
    <t>WOCKPHARMA</t>
  </si>
  <si>
    <t>WOCKHARDT LIMITED</t>
  </si>
  <si>
    <t>INE0OO201011</t>
  </si>
  <si>
    <t>WOL3D</t>
  </si>
  <si>
    <t>WOL 3D INDIA LIMITED</t>
  </si>
  <si>
    <t>INE0Q9601016</t>
  </si>
  <si>
    <t>WOMANCART</t>
  </si>
  <si>
    <t>WOMANCART LIMITED</t>
  </si>
  <si>
    <t>INE02WG01024</t>
  </si>
  <si>
    <t>WEL</t>
  </si>
  <si>
    <t>WONDER ELECTRICALS LTD</t>
  </si>
  <si>
    <t>INE066O01014</t>
  </si>
  <si>
    <t>WONDERLA</t>
  </si>
  <si>
    <t>WONDERLA HOLIDAYS LTD.</t>
  </si>
  <si>
    <t>INE196Y01018</t>
  </si>
  <si>
    <t>WORTHPERI</t>
  </si>
  <si>
    <t>WORTH PERIPHERALS LIMITED</t>
  </si>
  <si>
    <t>INE692G01013</t>
  </si>
  <si>
    <t>XCHANGING</t>
  </si>
  <si>
    <t>XCHANGING SOLUTIONS LTD</t>
  </si>
  <si>
    <t>INE01P501012</t>
  </si>
  <si>
    <t>XELPMOC</t>
  </si>
  <si>
    <t>XELPMOC DESIGN &amp; TECH LTD</t>
  </si>
  <si>
    <t>INE445C01015</t>
  </si>
  <si>
    <t>XPROINDIA</t>
  </si>
  <si>
    <t>XPRO INDIA LIMITED</t>
  </si>
  <si>
    <t>INE547B01028</t>
  </si>
  <si>
    <t>XTGLOBAL</t>
  </si>
  <si>
    <t>XTGLOBAL INFOTECH LIMITED</t>
  </si>
  <si>
    <t>INE0NG701011</t>
  </si>
  <si>
    <t>XTRANET</t>
  </si>
  <si>
    <t>XTRANET TECHNOLOGIES LTD</t>
  </si>
  <si>
    <t>INE0U0J01015</t>
  </si>
  <si>
    <t>YAAP</t>
  </si>
  <si>
    <t>YAAP DIGITAL LIMITED</t>
  </si>
  <si>
    <t>INE0TO601017</t>
  </si>
  <si>
    <t>YASHOPTICS</t>
  </si>
  <si>
    <t>YASH OPTICS &amp; LENS LTD</t>
  </si>
  <si>
    <t>INE616Z01012</t>
  </si>
  <si>
    <t>YASHO</t>
  </si>
  <si>
    <t>YASHO INDUSTRIES LIMITED</t>
  </si>
  <si>
    <t>INE08S201019</t>
  </si>
  <si>
    <t>YCCL</t>
  </si>
  <si>
    <t>YASONS CHEMEX CARE LTD</t>
  </si>
  <si>
    <t>INE0JO301016</t>
  </si>
  <si>
    <t>YATHARTH</t>
  </si>
  <si>
    <t>YATHARTH HOSP &amp; TRA C S L</t>
  </si>
  <si>
    <t>INE0JR601024</t>
  </si>
  <si>
    <t>YATRA</t>
  </si>
  <si>
    <t>YATRA ONLINE LIMITED</t>
  </si>
  <si>
    <t>INE528G01035</t>
  </si>
  <si>
    <t>YESBANK</t>
  </si>
  <si>
    <t>YES BANK LIMITED</t>
  </si>
  <si>
    <t>INE290E01011</t>
  </si>
  <si>
    <t>YOGI</t>
  </si>
  <si>
    <t>YOGI LTD.</t>
  </si>
  <si>
    <t>INE09FA01019</t>
  </si>
  <si>
    <t>YUDIZ</t>
  </si>
  <si>
    <t>YUDIZ SOLUTIONS LIMITED</t>
  </si>
  <si>
    <t>INE384C01016</t>
  </si>
  <si>
    <t>YUKEN</t>
  </si>
  <si>
    <t>YUKEN INDIA LIMITED</t>
  </si>
  <si>
    <t>INE116C01012</t>
  </si>
  <si>
    <t>ZFSTEERING</t>
  </si>
  <si>
    <t>Z F STEERING GEAR (I) LTD</t>
  </si>
  <si>
    <t>INE0ISZ01012</t>
  </si>
  <si>
    <t>ZTECH</t>
  </si>
  <si>
    <t>Z-TECH (INDIA) LIMITED</t>
  </si>
  <si>
    <t>INE07K301024</t>
  </si>
  <si>
    <t>ZAGGLE</t>
  </si>
  <si>
    <t>ZAGGLE PREPA OCEAN SER L</t>
  </si>
  <si>
    <t>INE0PPS01018</t>
  </si>
  <si>
    <t>ZEAL</t>
  </si>
  <si>
    <t>ZEAL GLOBAL SERVICES LTD</t>
  </si>
  <si>
    <t>INE256A01028</t>
  </si>
  <si>
    <t>ZEEL</t>
  </si>
  <si>
    <t>ZEE ENTERTAINMENT ENT LTD</t>
  </si>
  <si>
    <t>INE565L01011</t>
  </si>
  <si>
    <t>ZEELEARN</t>
  </si>
  <si>
    <t>ZEE LEARN LIMITED</t>
  </si>
  <si>
    <t>INE966H01019</t>
  </si>
  <si>
    <t>ZEEMEDIA</t>
  </si>
  <si>
    <t>ZEE MEDIA CORPORATION LTD</t>
  </si>
  <si>
    <t>INE251B01027</t>
  </si>
  <si>
    <t>ZEN TECHNOLOGIES LIMITED</t>
  </si>
  <si>
    <t>INE0QWN01013</t>
  </si>
  <si>
    <t>ZENITHDRUG</t>
  </si>
  <si>
    <t>ZENITH DRUGS LIMITED</t>
  </si>
  <si>
    <t>INE058B01018</t>
  </si>
  <si>
    <t>ZENITHEXPO</t>
  </si>
  <si>
    <t>ZENITH EXPORTS LTD</t>
  </si>
  <si>
    <t>INE318D01020</t>
  </si>
  <si>
    <t>ZENITHSTL</t>
  </si>
  <si>
    <t>ZENITH STEEL PIP IND LTD</t>
  </si>
  <si>
    <t>INE520A01027</t>
  </si>
  <si>
    <t>ZENSARTECH</t>
  </si>
  <si>
    <t>ZENSAR TECHNOLOGIES  LTD</t>
  </si>
  <si>
    <t>INF0R8F01042</t>
  </si>
  <si>
    <t>GOLDCASE</t>
  </si>
  <si>
    <t>ZERODHAAMC - GOLDCASE</t>
  </si>
  <si>
    <t>INF0R8F01034</t>
  </si>
  <si>
    <t>ZERODHAAMC - LIQUIDCASE</t>
  </si>
  <si>
    <t>INF0R8F01133</t>
  </si>
  <si>
    <t>LTGILTCASE</t>
  </si>
  <si>
    <t>ZERODHAAMC - LTGILTCASE</t>
  </si>
  <si>
    <t>INF0R8F01059</t>
  </si>
  <si>
    <t>MID150CASE</t>
  </si>
  <si>
    <t>ZERODHAAMC - MID150CASE</t>
  </si>
  <si>
    <t>INF0R8F01166</t>
  </si>
  <si>
    <t>NIFTYCASE</t>
  </si>
  <si>
    <t>ZERODHAAMC - NIFTYCASE</t>
  </si>
  <si>
    <t>INF0R8F01091</t>
  </si>
  <si>
    <t>SILVERCASE</t>
  </si>
  <si>
    <t>ZERODHAAMC - SILVERCASE</t>
  </si>
  <si>
    <t>INF0R8F01141</t>
  </si>
  <si>
    <t>SML100CASE</t>
  </si>
  <si>
    <t>ZERODHAAMC - SML100CASE</t>
  </si>
  <si>
    <t>INF0R8F01067</t>
  </si>
  <si>
    <t>TOP100CASE</t>
  </si>
  <si>
    <t>ZERODHAAMC - TOP100CASE</t>
  </si>
  <si>
    <t>INE342J01019</t>
  </si>
  <si>
    <t>ZFCVINDIA</t>
  </si>
  <si>
    <t>ZF COM VE CTR SYS IND LTD</t>
  </si>
  <si>
    <t>INE518E01015</t>
  </si>
  <si>
    <t>ZIMLAB</t>
  </si>
  <si>
    <t>ZIM LABORATORIES LIMITED</t>
  </si>
  <si>
    <t>INE206B01013</t>
  </si>
  <si>
    <t>ZODIACLOTH</t>
  </si>
  <si>
    <t>ZODIAC CLOTHING CO. LTD.</t>
  </si>
  <si>
    <t>INE761Y01019</t>
  </si>
  <si>
    <t>ZODIAC</t>
  </si>
  <si>
    <t>ZODIAC ENERGY LIMITED</t>
  </si>
  <si>
    <t>INE358U01012</t>
  </si>
  <si>
    <t>ZOTA</t>
  </si>
  <si>
    <t>ZOTA HEALTH CARE LIMITED</t>
  </si>
  <si>
    <t>INE840M01016</t>
  </si>
  <si>
    <t>ZUARI</t>
  </si>
  <si>
    <t>ZUARI AGRO CHEMICALS LTD</t>
  </si>
  <si>
    <t>INE217A01012</t>
  </si>
  <si>
    <t>ZUARIIND</t>
  </si>
  <si>
    <t>ZUARI INDUSTRIES LIMITED</t>
  </si>
  <si>
    <t>INE010B01027</t>
  </si>
  <si>
    <t>ZYDUSLIFE</t>
  </si>
  <si>
    <t>ZYDUS LIFESCIENCES LTD</t>
  </si>
  <si>
    <t>INE768C01028</t>
  </si>
  <si>
    <t>ZYDUSWELL</t>
  </si>
  <si>
    <t>ZYDUS WELLNESS LIMITED</t>
  </si>
  <si>
    <t>SYMBOL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</si>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</sst>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u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5" fillId="0" borderId="0" xfId="0" applyFont="1"/>
    <xf numFmtId="2" fontId="6" fillId="0" borderId="0" xfId="0" applyNumberFormat="1" applyFont="1"/>
    <xf numFmtId="0" fontId="6" fillId="0" borderId="0" xfId="0" applyFont="1"/>
    <xf numFmtId="0" fontId="0" fillId="0" borderId="1" xfId="0" applyBorder="1"/>
    <xf numFmtId="0" fontId="0" fillId="2" borderId="1" xfId="0" applyFill="1" applyBorder="1"/>
    <xf numFmtId="0" fontId="8" fillId="0" borderId="1" xfId="0" applyFont="1" applyBorder="1"/>
    <xf numFmtId="0" fontId="7" fillId="0" borderId="1" xfId="0" applyFont="1" applyBorder="1"/>
    <xf numFmtId="2" fontId="0" fillId="2" borderId="1" xfId="0" applyNumberFormat="1" applyFill="1" applyBorder="1"/>
    <xf numFmtId="10" fontId="0" fillId="0" borderId="1" xfId="0" applyNumberFormat="1" applyBorder="1"/>
    <xf numFmtId="0" fontId="9" fillId="0" borderId="1" xfId="0" applyFont="1" applyBorder="1"/>
    <xf numFmtId="2" fontId="0" fillId="0" borderId="1" xfId="0" applyNumberFormat="1" applyBorder="1"/>
    <xf numFmtId="0" fontId="1" fillId="0" borderId="1" xfId="0" applyFont="1" applyBorder="1"/>
    <xf numFmtId="10" fontId="2" fillId="0" borderId="1" xfId="0" applyNumberFormat="1" applyFont="1" applyBorder="1"/>
    <xf numFmtId="0" fontId="3" fillId="0" borderId="1" xfId="0" applyFont="1" applyBorder="1"/>
    <xf numFmtId="2" fontId="4" fillId="0" borderId="1" xfId="0" applyNumberFormat="1" applyFont="1" applyBorder="1"/>
    <xf numFmtId="2" fontId="3" fillId="0" borderId="1" xfId="0" applyNumberFormat="1" applyFont="1" applyBorder="1"/>
    <xf numFmtId="2" fontId="11" fillId="0" borderId="1" xfId="0" applyNumberFormat="1" applyFont="1" applyBorder="1"/>
    <xf numFmtId="2" fontId="10" fillId="2" borderId="1" xfId="0" applyNumberFormat="1" applyFont="1" applyFill="1" applyBorder="1"/>
    <xf numFmtId="0" fontId="10" fillId="0" borderId="1" xfId="0" applyFont="1" applyBorder="1"/>
    <xf numFmtId="2" fontId="10" fillId="0" borderId="1" xfId="0" applyNumberFormat="1" applyFont="1" applyBorder="1"/>
    <xf numFmtId="2" fontId="12" fillId="2" borderId="1" xfId="0" applyNumberFormat="1" applyFont="1" applyFill="1" applyBorder="1"/>
    <xf numFmtId="2" fontId="1" fillId="2" borderId="1" xfId="0" applyNumberFormat="1" applyFont="1" applyFill="1" applyBorder="1"/>
    <xf numFmtId="0" fontId="10" fillId="2" borderId="1" xfId="0" applyFont="1" applyFill="1" applyBorder="1"/>
    <xf numFmtId="10" fontId="12" fillId="0" borderId="1" xfId="0" applyNumberFormat="1" applyFont="1" applyBorder="1"/>
    <xf numFmtId="0" fontId="2" fillId="2" borderId="1" xfId="0" applyFont="1" applyFill="1" applyBorder="1"/>
    <xf numFmtId="0" fontId="0" fillId="0" borderId="1" xfId="0" applyBorder="1" applyAlignment="1">
      <alignment horizontal="right"/>
    </xf>
    <xf numFmtId="0" fontId="13" fillId="2" borderId="1" xfId="0" applyFont="1" applyFill="1" applyBorder="1"/>
    <xf numFmtId="0" fontId="10" fillId="0" borderId="1" xfId="0" applyFont="1" applyBorder="1" applyAlignment="1">
      <alignment horizontal="right"/>
    </xf>
    <xf numFmtId="10" fontId="9" fillId="0" borderId="1" xfId="0" applyNumberFormat="1" applyFont="1" applyBorder="1"/>
    <xf numFmtId="10" fontId="1" fillId="0" borderId="1" xfId="0" applyNumberFormat="1" applyFont="1" applyBorder="1"/>
    <xf numFmtId="0" fontId="14" fillId="0" borderId="1" xfId="0" applyFont="1" applyBorder="1"/>
    <xf numFmtId="0" fontId="13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82"/>
  <sheetViews>
    <sheetView workbookViewId="0">
      <selection activeCell="E10" sqref="E10"/>
    </sheetView>
  </sheetViews>
  <sheetFormatPr defaultColWidth="11.33203125" defaultRowHeight="14.4" x14ac:dyDescent="0.3"/>
  <cols>
    <col min="1" max="2" width="10.5546875" style="5" bestFit="1" customWidth="1"/>
    <col min="3" max="3" width="5" style="5" bestFit="1" customWidth="1"/>
    <col min="4" max="4" width="11.33203125" style="5" customWidth="1"/>
    <col min="5" max="5" width="10.5546875" style="5" bestFit="1" customWidth="1"/>
    <col min="6" max="6" width="10.109375" style="5" bestFit="1" customWidth="1"/>
    <col min="7" max="7" width="11.33203125" style="5" customWidth="1"/>
    <col min="8" max="8" width="15.109375" style="5" bestFit="1" customWidth="1"/>
    <col min="9" max="9" width="6.6640625" style="5" bestFit="1" customWidth="1"/>
    <col min="10" max="10" width="6.44140625" style="5" bestFit="1" customWidth="1"/>
    <col min="11" max="11" width="17.21875" style="5" bestFit="1" customWidth="1"/>
    <col min="12" max="12" width="7.109375" style="5" bestFit="1" customWidth="1"/>
    <col min="13" max="13" width="7" style="5" bestFit="1" customWidth="1"/>
    <col min="14" max="14" width="29" style="5" bestFit="1" customWidth="1"/>
    <col min="15" max="19" width="10" style="5" bestFit="1" customWidth="1"/>
    <col min="20" max="20" width="10.5546875" style="5" bestFit="1" customWidth="1"/>
    <col min="21" max="21" width="10.21875" style="5" bestFit="1" customWidth="1"/>
    <col min="22" max="22" width="10" style="5" bestFit="1" customWidth="1"/>
    <col min="23" max="23" width="8.6640625" style="5" bestFit="1" customWidth="1"/>
    <col min="24" max="24" width="14.33203125" style="5" bestFit="1" customWidth="1"/>
    <col min="25" max="25" width="10.33203125" style="5" bestFit="1" customWidth="1"/>
    <col min="26" max="26" width="12" style="5" bestFit="1" customWidth="1"/>
    <col min="27" max="27" width="14.6640625" style="5" bestFit="1" customWidth="1"/>
    <col min="28" max="28" width="5.21875" style="5" bestFit="1" customWidth="1"/>
    <col min="29" max="29" width="13.21875" style="5" bestFit="1" customWidth="1"/>
    <col min="30" max="30" width="5.33203125" style="5" bestFit="1" customWidth="1"/>
    <col min="31" max="34" width="5.77734375" style="5" bestFit="1" customWidth="1"/>
    <col min="35" max="35" width="11.33203125" style="5" customWidth="1"/>
    <col min="36" max="16384" width="11.33203125" style="5"/>
  </cols>
  <sheetData>
    <row r="1" spans="1:34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  <c r="R1" s="5" t="s">
        <v>61</v>
      </c>
      <c r="S1" s="5" t="s">
        <v>62</v>
      </c>
      <c r="T1" s="5" t="s">
        <v>63</v>
      </c>
      <c r="U1" s="5" t="s">
        <v>64</v>
      </c>
      <c r="V1" s="5" t="s">
        <v>65</v>
      </c>
      <c r="W1" s="5" t="s">
        <v>66</v>
      </c>
      <c r="X1" s="5" t="s">
        <v>67</v>
      </c>
      <c r="Y1" s="5" t="s">
        <v>68</v>
      </c>
      <c r="Z1" s="5" t="s">
        <v>69</v>
      </c>
      <c r="AA1" s="5" t="s">
        <v>70</v>
      </c>
      <c r="AB1" s="5" t="s">
        <v>71</v>
      </c>
      <c r="AC1" s="5" t="s">
        <v>72</v>
      </c>
      <c r="AD1" s="5" t="s">
        <v>73</v>
      </c>
      <c r="AE1" s="5" t="s">
        <v>74</v>
      </c>
      <c r="AF1" s="5" t="s">
        <v>75</v>
      </c>
      <c r="AG1" s="5" t="s">
        <v>76</v>
      </c>
      <c r="AH1" s="5" t="s">
        <v>77</v>
      </c>
    </row>
    <row r="2" spans="1:34" x14ac:dyDescent="0.3">
      <c r="A2" s="34">
        <v>46274</v>
      </c>
      <c r="B2" s="34">
        <v>46274</v>
      </c>
      <c r="C2" s="5" t="s">
        <v>78</v>
      </c>
      <c r="D2" s="5" t="s">
        <v>79</v>
      </c>
      <c r="E2" s="5" t="s">
        <v>80</v>
      </c>
      <c r="F2" s="5">
        <v>19078</v>
      </c>
      <c r="G2" s="5" t="s">
        <v>81</v>
      </c>
      <c r="H2" s="5" t="s">
        <v>82</v>
      </c>
      <c r="I2" s="5" t="s">
        <v>83</v>
      </c>
      <c r="N2" s="5" t="s">
        <v>84</v>
      </c>
      <c r="O2" s="5">
        <v>14955.11</v>
      </c>
      <c r="P2" s="5">
        <v>15222</v>
      </c>
      <c r="Q2" s="5">
        <v>14955.11</v>
      </c>
      <c r="R2" s="5">
        <v>15143.33</v>
      </c>
      <c r="S2" s="5">
        <v>15150</v>
      </c>
      <c r="T2" s="5">
        <v>15070</v>
      </c>
      <c r="V2" s="5">
        <v>15143.33</v>
      </c>
      <c r="Y2" s="5">
        <v>120</v>
      </c>
      <c r="Z2" s="5">
        <v>1817718.3</v>
      </c>
      <c r="AA2" s="5">
        <v>17</v>
      </c>
      <c r="AB2" s="5" t="s">
        <v>85</v>
      </c>
      <c r="AC2" s="5">
        <v>1</v>
      </c>
    </row>
    <row r="3" spans="1:34" x14ac:dyDescent="0.3">
      <c r="A3" s="34">
        <v>46274</v>
      </c>
      <c r="B3" s="34">
        <v>46274</v>
      </c>
      <c r="C3" s="5" t="s">
        <v>78</v>
      </c>
      <c r="D3" s="5" t="s">
        <v>79</v>
      </c>
      <c r="E3" s="5" t="s">
        <v>80</v>
      </c>
      <c r="F3" s="5">
        <v>1342</v>
      </c>
      <c r="G3" s="5" t="s">
        <v>86</v>
      </c>
      <c r="H3" s="5" t="s">
        <v>87</v>
      </c>
      <c r="I3" s="5" t="s">
        <v>83</v>
      </c>
      <c r="N3" s="5" t="s">
        <v>88</v>
      </c>
      <c r="O3" s="5">
        <v>15021</v>
      </c>
      <c r="P3" s="5">
        <v>15244</v>
      </c>
      <c r="Q3" s="5">
        <v>15021</v>
      </c>
      <c r="R3" s="5">
        <v>15200</v>
      </c>
      <c r="S3" s="5">
        <v>15200</v>
      </c>
      <c r="T3" s="5">
        <v>15124.99</v>
      </c>
      <c r="V3" s="5">
        <v>15200</v>
      </c>
      <c r="Y3" s="5">
        <v>77</v>
      </c>
      <c r="Z3" s="5">
        <v>1169553.02</v>
      </c>
      <c r="AA3" s="5">
        <v>19</v>
      </c>
      <c r="AB3" s="5" t="s">
        <v>85</v>
      </c>
      <c r="AC3" s="5">
        <v>1</v>
      </c>
    </row>
    <row r="4" spans="1:34" x14ac:dyDescent="0.3">
      <c r="A4" s="34">
        <v>46274</v>
      </c>
      <c r="B4" s="34">
        <v>46274</v>
      </c>
      <c r="C4" s="5" t="s">
        <v>78</v>
      </c>
      <c r="D4" s="5" t="s">
        <v>79</v>
      </c>
      <c r="E4" s="5" t="s">
        <v>80</v>
      </c>
      <c r="F4" s="5">
        <v>3742</v>
      </c>
      <c r="G4" s="5" t="s">
        <v>89</v>
      </c>
      <c r="H4" s="5" t="s">
        <v>90</v>
      </c>
      <c r="I4" s="5" t="s">
        <v>83</v>
      </c>
      <c r="N4" s="5" t="s">
        <v>91</v>
      </c>
      <c r="O4" s="5">
        <v>15180</v>
      </c>
      <c r="P4" s="5">
        <v>15250</v>
      </c>
      <c r="Q4" s="5">
        <v>15011</v>
      </c>
      <c r="R4" s="5">
        <v>15199.98</v>
      </c>
      <c r="S4" s="5">
        <v>15200</v>
      </c>
      <c r="T4" s="5">
        <v>15139.28</v>
      </c>
      <c r="V4" s="5">
        <v>15199.08</v>
      </c>
      <c r="Y4" s="5">
        <v>467</v>
      </c>
      <c r="Z4" s="5">
        <v>7081114.8899999997</v>
      </c>
      <c r="AA4" s="5">
        <v>103</v>
      </c>
      <c r="AB4" s="5" t="s">
        <v>85</v>
      </c>
      <c r="AC4" s="5">
        <v>1</v>
      </c>
    </row>
    <row r="5" spans="1:34" x14ac:dyDescent="0.3">
      <c r="A5" s="34">
        <v>46274</v>
      </c>
      <c r="B5" s="34">
        <v>46274</v>
      </c>
      <c r="C5" s="5" t="s">
        <v>78</v>
      </c>
      <c r="D5" s="5" t="s">
        <v>79</v>
      </c>
      <c r="E5" s="5" t="s">
        <v>80</v>
      </c>
      <c r="F5" s="5">
        <v>3743</v>
      </c>
      <c r="G5" s="5" t="s">
        <v>92</v>
      </c>
      <c r="H5" s="5" t="s">
        <v>93</v>
      </c>
      <c r="I5" s="5" t="s">
        <v>83</v>
      </c>
      <c r="N5" s="5" t="s">
        <v>94</v>
      </c>
      <c r="O5" s="5">
        <v>15000</v>
      </c>
      <c r="P5" s="5">
        <v>15190</v>
      </c>
      <c r="Q5" s="5">
        <v>15000</v>
      </c>
      <c r="R5" s="5">
        <v>15179.5</v>
      </c>
      <c r="S5" s="5">
        <v>15187</v>
      </c>
      <c r="T5" s="5">
        <v>15068.84</v>
      </c>
      <c r="V5" s="5">
        <v>15179.5</v>
      </c>
      <c r="Y5" s="5">
        <v>95</v>
      </c>
      <c r="Z5" s="5">
        <v>1435910.84</v>
      </c>
      <c r="AA5" s="5">
        <v>24</v>
      </c>
      <c r="AB5" s="5" t="s">
        <v>85</v>
      </c>
      <c r="AC5" s="5">
        <v>1</v>
      </c>
    </row>
    <row r="6" spans="1:34" x14ac:dyDescent="0.3">
      <c r="A6" s="34">
        <v>46274</v>
      </c>
      <c r="B6" s="34">
        <v>46274</v>
      </c>
      <c r="C6" s="5" t="s">
        <v>78</v>
      </c>
      <c r="D6" s="5" t="s">
        <v>79</v>
      </c>
      <c r="E6" s="5" t="s">
        <v>80</v>
      </c>
      <c r="F6" s="5">
        <v>3800</v>
      </c>
      <c r="G6" s="5" t="s">
        <v>95</v>
      </c>
      <c r="H6" s="5" t="s">
        <v>96</v>
      </c>
      <c r="I6" s="5" t="s">
        <v>83</v>
      </c>
      <c r="N6" s="5" t="s">
        <v>97</v>
      </c>
      <c r="O6" s="5">
        <v>14962</v>
      </c>
      <c r="P6" s="5">
        <v>15200.01</v>
      </c>
      <c r="Q6" s="5">
        <v>14961.8</v>
      </c>
      <c r="R6" s="5">
        <v>15168.97</v>
      </c>
      <c r="S6" s="5">
        <v>15180</v>
      </c>
      <c r="T6" s="5">
        <v>15067.37</v>
      </c>
      <c r="V6" s="5">
        <v>15168.97</v>
      </c>
      <c r="Y6" s="5">
        <v>75</v>
      </c>
      <c r="Z6" s="5">
        <v>1134697.92</v>
      </c>
      <c r="AA6" s="5">
        <v>29</v>
      </c>
      <c r="AB6" s="5" t="s">
        <v>85</v>
      </c>
      <c r="AC6" s="5">
        <v>1</v>
      </c>
    </row>
    <row r="7" spans="1:34" x14ac:dyDescent="0.3">
      <c r="A7" s="34">
        <v>46274</v>
      </c>
      <c r="B7" s="34">
        <v>46274</v>
      </c>
      <c r="C7" s="5" t="s">
        <v>78</v>
      </c>
      <c r="D7" s="5" t="s">
        <v>79</v>
      </c>
      <c r="E7" s="5" t="s">
        <v>80</v>
      </c>
      <c r="F7" s="5">
        <v>5575</v>
      </c>
      <c r="G7" s="5" t="s">
        <v>98</v>
      </c>
      <c r="H7" s="5" t="s">
        <v>99</v>
      </c>
      <c r="I7" s="5" t="s">
        <v>83</v>
      </c>
      <c r="N7" s="5" t="s">
        <v>100</v>
      </c>
      <c r="O7" s="5">
        <v>15052.16</v>
      </c>
      <c r="P7" s="5">
        <v>15200</v>
      </c>
      <c r="Q7" s="5">
        <v>14971.01</v>
      </c>
      <c r="R7" s="5">
        <v>15100.15</v>
      </c>
      <c r="S7" s="5">
        <v>15100</v>
      </c>
      <c r="T7" s="5">
        <v>15052.16</v>
      </c>
      <c r="V7" s="5">
        <v>15100.15</v>
      </c>
      <c r="Y7" s="5">
        <v>463</v>
      </c>
      <c r="Z7" s="5">
        <v>7001154.5800000001</v>
      </c>
      <c r="AA7" s="5">
        <v>88</v>
      </c>
      <c r="AB7" s="5" t="s">
        <v>85</v>
      </c>
      <c r="AC7" s="5">
        <v>1</v>
      </c>
    </row>
    <row r="8" spans="1:34" x14ac:dyDescent="0.3">
      <c r="A8" s="34">
        <v>46274</v>
      </c>
      <c r="B8" s="34">
        <v>46274</v>
      </c>
      <c r="C8" s="5" t="s">
        <v>78</v>
      </c>
      <c r="D8" s="5" t="s">
        <v>79</v>
      </c>
      <c r="E8" s="5" t="s">
        <v>80</v>
      </c>
      <c r="F8" s="5">
        <v>6518</v>
      </c>
      <c r="G8" s="5" t="s">
        <v>101</v>
      </c>
      <c r="H8" s="5" t="s">
        <v>102</v>
      </c>
      <c r="I8" s="5" t="s">
        <v>83</v>
      </c>
      <c r="N8" s="5" t="s">
        <v>103</v>
      </c>
      <c r="O8" s="5">
        <v>15118.29</v>
      </c>
      <c r="P8" s="5">
        <v>15251</v>
      </c>
      <c r="Q8" s="5">
        <v>15061</v>
      </c>
      <c r="R8" s="5">
        <v>15200</v>
      </c>
      <c r="S8" s="5">
        <v>15200</v>
      </c>
      <c r="T8" s="5">
        <v>15118.29</v>
      </c>
      <c r="V8" s="5">
        <v>15200</v>
      </c>
      <c r="Y8" s="5">
        <v>83</v>
      </c>
      <c r="Z8" s="5">
        <v>1258624.23</v>
      </c>
      <c r="AA8" s="5">
        <v>27</v>
      </c>
      <c r="AB8" s="5" t="s">
        <v>85</v>
      </c>
      <c r="AC8" s="5">
        <v>1</v>
      </c>
    </row>
    <row r="9" spans="1:34" x14ac:dyDescent="0.3">
      <c r="A9" s="34">
        <v>46274</v>
      </c>
      <c r="B9" s="34">
        <v>46274</v>
      </c>
      <c r="C9" s="5" t="s">
        <v>78</v>
      </c>
      <c r="D9" s="5" t="s">
        <v>79</v>
      </c>
      <c r="E9" s="5" t="s">
        <v>80</v>
      </c>
      <c r="F9" s="5">
        <v>6355</v>
      </c>
      <c r="G9" s="5" t="s">
        <v>104</v>
      </c>
      <c r="H9" s="5" t="s">
        <v>105</v>
      </c>
      <c r="I9" s="5" t="s">
        <v>83</v>
      </c>
      <c r="N9" s="5" t="s">
        <v>106</v>
      </c>
      <c r="O9" s="5">
        <v>15069</v>
      </c>
      <c r="P9" s="5">
        <v>15190</v>
      </c>
      <c r="Q9" s="5">
        <v>15069</v>
      </c>
      <c r="R9" s="5">
        <v>15190</v>
      </c>
      <c r="S9" s="5">
        <v>15190</v>
      </c>
      <c r="T9" s="5">
        <v>15069</v>
      </c>
      <c r="V9" s="5">
        <v>15190</v>
      </c>
      <c r="Y9" s="5">
        <v>26</v>
      </c>
      <c r="Z9" s="5">
        <v>393730</v>
      </c>
      <c r="AA9" s="5">
        <v>2</v>
      </c>
      <c r="AB9" s="5" t="s">
        <v>85</v>
      </c>
      <c r="AC9" s="5">
        <v>1</v>
      </c>
    </row>
    <row r="10" spans="1:34" x14ac:dyDescent="0.3">
      <c r="A10" s="34">
        <v>46274</v>
      </c>
      <c r="B10" s="34">
        <v>46274</v>
      </c>
      <c r="C10" s="5" t="s">
        <v>78</v>
      </c>
      <c r="D10" s="5" t="s">
        <v>79</v>
      </c>
      <c r="E10" s="5" t="s">
        <v>80</v>
      </c>
      <c r="F10" s="5">
        <v>10261</v>
      </c>
      <c r="G10" s="5" t="s">
        <v>107</v>
      </c>
      <c r="H10" s="5" t="s">
        <v>108</v>
      </c>
      <c r="I10" s="5" t="s">
        <v>83</v>
      </c>
      <c r="N10" s="5" t="s">
        <v>109</v>
      </c>
      <c r="O10" s="5">
        <v>15100</v>
      </c>
      <c r="P10" s="5">
        <v>15160</v>
      </c>
      <c r="Q10" s="5">
        <v>15050</v>
      </c>
      <c r="R10" s="5">
        <v>15153.84</v>
      </c>
      <c r="S10" s="5">
        <v>15160</v>
      </c>
      <c r="T10" s="5">
        <v>15056.83</v>
      </c>
      <c r="V10" s="5">
        <v>15153.84</v>
      </c>
      <c r="Y10" s="5">
        <v>191</v>
      </c>
      <c r="Z10" s="5">
        <v>2891557.91</v>
      </c>
      <c r="AA10" s="5">
        <v>22</v>
      </c>
      <c r="AB10" s="5" t="s">
        <v>85</v>
      </c>
      <c r="AC10" s="5">
        <v>1</v>
      </c>
    </row>
    <row r="11" spans="1:34" x14ac:dyDescent="0.3">
      <c r="A11" s="34">
        <v>46274</v>
      </c>
      <c r="B11" s="34">
        <v>46274</v>
      </c>
      <c r="C11" s="5" t="s">
        <v>78</v>
      </c>
      <c r="D11" s="5" t="s">
        <v>79</v>
      </c>
      <c r="E11" s="5" t="s">
        <v>80</v>
      </c>
      <c r="F11" s="5">
        <v>11154</v>
      </c>
      <c r="G11" s="5" t="s">
        <v>110</v>
      </c>
      <c r="H11" s="5" t="s">
        <v>111</v>
      </c>
      <c r="I11" s="5" t="s">
        <v>83</v>
      </c>
      <c r="N11" s="5" t="s">
        <v>112</v>
      </c>
      <c r="O11" s="5">
        <v>15424.93</v>
      </c>
      <c r="P11" s="5">
        <v>15424.93</v>
      </c>
      <c r="Q11" s="5">
        <v>15005</v>
      </c>
      <c r="R11" s="5">
        <v>15199.99</v>
      </c>
      <c r="S11" s="5">
        <v>15199.99</v>
      </c>
      <c r="T11" s="5">
        <v>15001</v>
      </c>
      <c r="V11" s="5">
        <v>15199.99</v>
      </c>
      <c r="Y11" s="5">
        <v>37</v>
      </c>
      <c r="Z11" s="5">
        <v>561184.26</v>
      </c>
      <c r="AA11" s="5">
        <v>9</v>
      </c>
      <c r="AB11" s="5" t="s">
        <v>85</v>
      </c>
      <c r="AC11" s="5">
        <v>1</v>
      </c>
    </row>
    <row r="12" spans="1:34" x14ac:dyDescent="0.3">
      <c r="A12" s="34">
        <v>46274</v>
      </c>
      <c r="B12" s="34">
        <v>46274</v>
      </c>
      <c r="C12" s="5" t="s">
        <v>78</v>
      </c>
      <c r="D12" s="5" t="s">
        <v>79</v>
      </c>
      <c r="E12" s="5" t="s">
        <v>80</v>
      </c>
      <c r="F12" s="5">
        <v>12904</v>
      </c>
      <c r="G12" s="5" t="s">
        <v>113</v>
      </c>
      <c r="H12" s="5" t="s">
        <v>114</v>
      </c>
      <c r="I12" s="5" t="s">
        <v>83</v>
      </c>
      <c r="N12" s="5" t="s">
        <v>115</v>
      </c>
      <c r="O12" s="5">
        <v>15100</v>
      </c>
      <c r="P12" s="5">
        <v>15196</v>
      </c>
      <c r="Q12" s="5">
        <v>15075</v>
      </c>
      <c r="R12" s="5">
        <v>15146.85</v>
      </c>
      <c r="S12" s="5">
        <v>15150</v>
      </c>
      <c r="T12" s="5">
        <v>15070.25</v>
      </c>
      <c r="V12" s="5">
        <v>15146.85</v>
      </c>
      <c r="Y12" s="5">
        <v>62</v>
      </c>
      <c r="Z12" s="5">
        <v>940267.64</v>
      </c>
      <c r="AA12" s="5">
        <v>16</v>
      </c>
      <c r="AB12" s="5" t="s">
        <v>85</v>
      </c>
      <c r="AC12" s="5">
        <v>1</v>
      </c>
    </row>
    <row r="13" spans="1:34" x14ac:dyDescent="0.3">
      <c r="A13" s="34">
        <v>46274</v>
      </c>
      <c r="B13" s="34">
        <v>46274</v>
      </c>
      <c r="C13" s="5" t="s">
        <v>78</v>
      </c>
      <c r="D13" s="5" t="s">
        <v>79</v>
      </c>
      <c r="E13" s="5" t="s">
        <v>80</v>
      </c>
      <c r="F13" s="5">
        <v>13209</v>
      </c>
      <c r="G13" s="5" t="s">
        <v>116</v>
      </c>
      <c r="H13" s="5" t="s">
        <v>117</v>
      </c>
      <c r="I13" s="5" t="s">
        <v>83</v>
      </c>
      <c r="N13" s="5" t="s">
        <v>118</v>
      </c>
      <c r="O13" s="5">
        <v>15000.01</v>
      </c>
      <c r="P13" s="5">
        <v>15099</v>
      </c>
      <c r="Q13" s="5">
        <v>15000</v>
      </c>
      <c r="R13" s="5">
        <v>15099</v>
      </c>
      <c r="S13" s="5">
        <v>15099</v>
      </c>
      <c r="T13" s="5">
        <v>15076</v>
      </c>
      <c r="V13" s="5">
        <v>15099</v>
      </c>
      <c r="Y13" s="5">
        <v>22</v>
      </c>
      <c r="Z13" s="5">
        <v>330792.08</v>
      </c>
      <c r="AA13" s="5">
        <v>3</v>
      </c>
      <c r="AB13" s="5" t="s">
        <v>85</v>
      </c>
      <c r="AC13" s="5">
        <v>1</v>
      </c>
    </row>
    <row r="14" spans="1:34" x14ac:dyDescent="0.3">
      <c r="A14" s="34">
        <v>46274</v>
      </c>
      <c r="B14" s="34">
        <v>46274</v>
      </c>
      <c r="C14" s="5" t="s">
        <v>78</v>
      </c>
      <c r="D14" s="5" t="s">
        <v>79</v>
      </c>
      <c r="E14" s="5" t="s">
        <v>80</v>
      </c>
      <c r="F14" s="5">
        <v>8308</v>
      </c>
      <c r="G14" s="5" t="s">
        <v>119</v>
      </c>
      <c r="H14" s="5" t="s">
        <v>120</v>
      </c>
      <c r="I14" s="5" t="s">
        <v>83</v>
      </c>
      <c r="N14" s="5" t="s">
        <v>121</v>
      </c>
      <c r="O14" s="5">
        <v>15150</v>
      </c>
      <c r="P14" s="5">
        <v>15168</v>
      </c>
      <c r="Q14" s="5">
        <v>15150</v>
      </c>
      <c r="R14" s="5">
        <v>15160.04</v>
      </c>
      <c r="S14" s="5">
        <v>15168</v>
      </c>
      <c r="T14" s="5">
        <v>15248</v>
      </c>
      <c r="V14" s="5">
        <v>15160.04</v>
      </c>
      <c r="Y14" s="5">
        <v>44</v>
      </c>
      <c r="Z14" s="5">
        <v>667042</v>
      </c>
      <c r="AA14" s="5">
        <v>4</v>
      </c>
      <c r="AB14" s="5" t="s">
        <v>85</v>
      </c>
      <c r="AC14" s="5">
        <v>1</v>
      </c>
    </row>
    <row r="15" spans="1:34" x14ac:dyDescent="0.3">
      <c r="A15" s="34">
        <v>46274</v>
      </c>
      <c r="B15" s="34">
        <v>46274</v>
      </c>
      <c r="C15" s="5" t="s">
        <v>78</v>
      </c>
      <c r="D15" s="5" t="s">
        <v>79</v>
      </c>
      <c r="E15" s="5" t="s">
        <v>80</v>
      </c>
      <c r="F15" s="5">
        <v>13981</v>
      </c>
      <c r="G15" s="5" t="s">
        <v>122</v>
      </c>
      <c r="H15" s="5" t="s">
        <v>123</v>
      </c>
      <c r="I15" s="5" t="s">
        <v>83</v>
      </c>
      <c r="N15" s="5" t="s">
        <v>121</v>
      </c>
      <c r="O15" s="5">
        <v>15100.01</v>
      </c>
      <c r="P15" s="5">
        <v>15100.01</v>
      </c>
      <c r="Q15" s="5">
        <v>15100.01</v>
      </c>
      <c r="R15" s="5">
        <v>15100.01</v>
      </c>
      <c r="S15" s="5">
        <v>15100.01</v>
      </c>
      <c r="T15" s="5">
        <v>15300</v>
      </c>
      <c r="V15" s="5">
        <v>15100.01</v>
      </c>
      <c r="Y15" s="5">
        <v>6</v>
      </c>
      <c r="Z15" s="5">
        <v>90600.06</v>
      </c>
      <c r="AA15" s="5">
        <v>1</v>
      </c>
      <c r="AB15" s="5" t="s">
        <v>85</v>
      </c>
      <c r="AC15" s="5">
        <v>1</v>
      </c>
    </row>
    <row r="16" spans="1:34" x14ac:dyDescent="0.3">
      <c r="A16" s="34">
        <v>46274</v>
      </c>
      <c r="B16" s="34">
        <v>46274</v>
      </c>
      <c r="C16" s="5" t="s">
        <v>78</v>
      </c>
      <c r="D16" s="5" t="s">
        <v>79</v>
      </c>
      <c r="E16" s="5" t="s">
        <v>80</v>
      </c>
      <c r="F16" s="5">
        <v>8766</v>
      </c>
      <c r="G16" s="5" t="s">
        <v>124</v>
      </c>
      <c r="H16" s="5" t="s">
        <v>125</v>
      </c>
      <c r="I16" s="5" t="s">
        <v>83</v>
      </c>
      <c r="N16" s="5" t="s">
        <v>126</v>
      </c>
      <c r="O16" s="5">
        <v>15100</v>
      </c>
      <c r="P16" s="5">
        <v>15149</v>
      </c>
      <c r="Q16" s="5">
        <v>15100</v>
      </c>
      <c r="R16" s="5">
        <v>15149</v>
      </c>
      <c r="S16" s="5">
        <v>15149</v>
      </c>
      <c r="T16" s="5">
        <v>15199.99</v>
      </c>
      <c r="V16" s="5">
        <v>15149</v>
      </c>
      <c r="Y16" s="5">
        <v>22</v>
      </c>
      <c r="Z16" s="5">
        <v>332592</v>
      </c>
      <c r="AA16" s="5">
        <v>9</v>
      </c>
      <c r="AB16" s="5" t="s">
        <v>85</v>
      </c>
      <c r="AC16" s="5">
        <v>1</v>
      </c>
    </row>
    <row r="17" spans="1:29" x14ac:dyDescent="0.3">
      <c r="A17" s="34">
        <v>46274</v>
      </c>
      <c r="B17" s="34">
        <v>46274</v>
      </c>
      <c r="C17" s="5" t="s">
        <v>78</v>
      </c>
      <c r="D17" s="5" t="s">
        <v>79</v>
      </c>
      <c r="E17" s="5" t="s">
        <v>80</v>
      </c>
      <c r="F17" s="5">
        <v>14252</v>
      </c>
      <c r="G17" s="5" t="s">
        <v>127</v>
      </c>
      <c r="H17" s="5" t="s">
        <v>128</v>
      </c>
      <c r="I17" s="5" t="s">
        <v>83</v>
      </c>
      <c r="N17" s="5" t="s">
        <v>126</v>
      </c>
      <c r="O17" s="5">
        <v>15100</v>
      </c>
      <c r="P17" s="5">
        <v>15150</v>
      </c>
      <c r="Q17" s="5">
        <v>15100</v>
      </c>
      <c r="R17" s="5">
        <v>15150</v>
      </c>
      <c r="S17" s="5">
        <v>15150</v>
      </c>
      <c r="T17" s="5">
        <v>15178.51</v>
      </c>
      <c r="V17" s="5">
        <v>15150</v>
      </c>
      <c r="Y17" s="5">
        <v>21</v>
      </c>
      <c r="Z17" s="5">
        <v>317200.09000000003</v>
      </c>
      <c r="AA17" s="5">
        <v>4</v>
      </c>
      <c r="AB17" s="5" t="s">
        <v>85</v>
      </c>
      <c r="AC17" s="5">
        <v>1</v>
      </c>
    </row>
    <row r="18" spans="1:29" x14ac:dyDescent="0.3">
      <c r="A18" s="34">
        <v>46274</v>
      </c>
      <c r="B18" s="34">
        <v>46274</v>
      </c>
      <c r="C18" s="5" t="s">
        <v>78</v>
      </c>
      <c r="D18" s="5" t="s">
        <v>79</v>
      </c>
      <c r="E18" s="5" t="s">
        <v>80</v>
      </c>
      <c r="F18" s="5">
        <v>15432</v>
      </c>
      <c r="G18" s="5" t="s">
        <v>129</v>
      </c>
      <c r="H18" s="5" t="s">
        <v>130</v>
      </c>
      <c r="I18" s="5" t="s">
        <v>83</v>
      </c>
      <c r="N18" s="5" t="s">
        <v>131</v>
      </c>
      <c r="O18" s="5">
        <v>15100</v>
      </c>
      <c r="P18" s="5">
        <v>15160</v>
      </c>
      <c r="Q18" s="5">
        <v>15100</v>
      </c>
      <c r="R18" s="5">
        <v>15140</v>
      </c>
      <c r="S18" s="5">
        <v>15140</v>
      </c>
      <c r="T18" s="5">
        <v>15100.11</v>
      </c>
      <c r="V18" s="5">
        <v>15140</v>
      </c>
      <c r="Y18" s="5">
        <v>25</v>
      </c>
      <c r="Z18" s="5">
        <v>378120</v>
      </c>
      <c r="AA18" s="5">
        <v>10</v>
      </c>
      <c r="AB18" s="5" t="s">
        <v>85</v>
      </c>
      <c r="AC18" s="5">
        <v>1</v>
      </c>
    </row>
    <row r="19" spans="1:29" x14ac:dyDescent="0.3">
      <c r="A19" s="34">
        <v>46274</v>
      </c>
      <c r="B19" s="34">
        <v>46274</v>
      </c>
      <c r="C19" s="5" t="s">
        <v>78</v>
      </c>
      <c r="D19" s="5" t="s">
        <v>79</v>
      </c>
      <c r="E19" s="5" t="s">
        <v>80</v>
      </c>
      <c r="F19" s="5">
        <v>18862</v>
      </c>
      <c r="G19" s="5" t="s">
        <v>132</v>
      </c>
      <c r="H19" s="5" t="s">
        <v>133</v>
      </c>
      <c r="I19" s="5" t="s">
        <v>83</v>
      </c>
      <c r="N19" s="5" t="s">
        <v>134</v>
      </c>
      <c r="O19" s="5">
        <v>15035</v>
      </c>
      <c r="P19" s="5">
        <v>15245</v>
      </c>
      <c r="Q19" s="5">
        <v>15035</v>
      </c>
      <c r="R19" s="5">
        <v>15244.09</v>
      </c>
      <c r="S19" s="5">
        <v>15245</v>
      </c>
      <c r="T19" s="5">
        <v>15121.4</v>
      </c>
      <c r="V19" s="5">
        <v>15244.09</v>
      </c>
      <c r="Y19" s="5">
        <v>216</v>
      </c>
      <c r="Z19" s="5">
        <v>3287859</v>
      </c>
      <c r="AA19" s="5">
        <v>24</v>
      </c>
      <c r="AB19" s="5" t="s">
        <v>85</v>
      </c>
      <c r="AC19" s="5">
        <v>1</v>
      </c>
    </row>
    <row r="20" spans="1:29" x14ac:dyDescent="0.3">
      <c r="A20" s="34">
        <v>46274</v>
      </c>
      <c r="B20" s="34">
        <v>46274</v>
      </c>
      <c r="C20" s="5" t="s">
        <v>78</v>
      </c>
      <c r="D20" s="5" t="s">
        <v>79</v>
      </c>
      <c r="E20" s="5" t="s">
        <v>80</v>
      </c>
      <c r="F20" s="5">
        <v>18972</v>
      </c>
      <c r="G20" s="5" t="s">
        <v>135</v>
      </c>
      <c r="H20" s="5" t="s">
        <v>136</v>
      </c>
      <c r="I20" s="5" t="s">
        <v>83</v>
      </c>
      <c r="N20" s="5" t="s">
        <v>137</v>
      </c>
      <c r="O20" s="5">
        <v>15011.5</v>
      </c>
      <c r="P20" s="5">
        <v>15250.92</v>
      </c>
      <c r="Q20" s="5">
        <v>15011.5</v>
      </c>
      <c r="R20" s="5">
        <v>15230.44</v>
      </c>
      <c r="S20" s="5">
        <v>15250.92</v>
      </c>
      <c r="T20" s="5">
        <v>15106.7</v>
      </c>
      <c r="V20" s="5">
        <v>15230.44</v>
      </c>
      <c r="Y20" s="5">
        <v>197</v>
      </c>
      <c r="Z20" s="5">
        <v>2994728.92</v>
      </c>
      <c r="AA20" s="5">
        <v>19</v>
      </c>
      <c r="AB20" s="5" t="s">
        <v>85</v>
      </c>
      <c r="AC20" s="5">
        <v>1</v>
      </c>
    </row>
    <row r="21" spans="1:29" x14ac:dyDescent="0.3">
      <c r="A21" s="34">
        <v>46274</v>
      </c>
      <c r="B21" s="34">
        <v>46274</v>
      </c>
      <c r="C21" s="5" t="s">
        <v>78</v>
      </c>
      <c r="D21" s="5" t="s">
        <v>79</v>
      </c>
      <c r="E21" s="5" t="s">
        <v>80</v>
      </c>
      <c r="F21" s="5">
        <v>22242</v>
      </c>
      <c r="G21" s="5" t="s">
        <v>138</v>
      </c>
      <c r="H21" s="5" t="s">
        <v>139</v>
      </c>
      <c r="I21" s="5" t="s">
        <v>83</v>
      </c>
      <c r="N21" s="5" t="s">
        <v>140</v>
      </c>
      <c r="O21" s="5">
        <v>14911.5</v>
      </c>
      <c r="P21" s="5">
        <v>15181.01</v>
      </c>
      <c r="Q21" s="5">
        <v>14911.01</v>
      </c>
      <c r="R21" s="5">
        <v>15121.75</v>
      </c>
      <c r="S21" s="5">
        <v>15129</v>
      </c>
      <c r="T21" s="5">
        <v>15040.99</v>
      </c>
      <c r="V21" s="5">
        <v>15123.67</v>
      </c>
      <c r="Y21" s="5">
        <v>387</v>
      </c>
      <c r="Z21" s="5">
        <v>5847794.9500000002</v>
      </c>
      <c r="AA21" s="5">
        <v>73</v>
      </c>
      <c r="AB21" s="5" t="s">
        <v>85</v>
      </c>
      <c r="AC21" s="5">
        <v>1</v>
      </c>
    </row>
    <row r="22" spans="1:29" x14ac:dyDescent="0.3">
      <c r="A22" s="34">
        <v>46274</v>
      </c>
      <c r="B22" s="34">
        <v>46274</v>
      </c>
      <c r="C22" s="5" t="s">
        <v>78</v>
      </c>
      <c r="D22" s="5" t="s">
        <v>79</v>
      </c>
      <c r="E22" s="5" t="s">
        <v>80</v>
      </c>
      <c r="F22" s="5">
        <v>17664</v>
      </c>
      <c r="G22" s="5" t="s">
        <v>141</v>
      </c>
      <c r="H22" s="5" t="s">
        <v>142</v>
      </c>
      <c r="I22" s="5" t="s">
        <v>83</v>
      </c>
      <c r="N22" s="5" t="s">
        <v>143</v>
      </c>
      <c r="O22" s="5">
        <v>15175.5</v>
      </c>
      <c r="P22" s="5">
        <v>15200</v>
      </c>
      <c r="Q22" s="5">
        <v>14956</v>
      </c>
      <c r="R22" s="5">
        <v>15164.99</v>
      </c>
      <c r="S22" s="5">
        <v>15164.99</v>
      </c>
      <c r="T22" s="5">
        <v>15100</v>
      </c>
      <c r="V22" s="5">
        <v>15165.25</v>
      </c>
      <c r="Y22" s="5">
        <v>150</v>
      </c>
      <c r="Z22" s="5">
        <v>2263146.63</v>
      </c>
      <c r="AA22" s="5">
        <v>24</v>
      </c>
      <c r="AB22" s="5" t="s">
        <v>85</v>
      </c>
      <c r="AC22" s="5">
        <v>1</v>
      </c>
    </row>
    <row r="23" spans="1:29" x14ac:dyDescent="0.3">
      <c r="A23" s="34">
        <v>46274</v>
      </c>
      <c r="B23" s="34">
        <v>46274</v>
      </c>
      <c r="C23" s="5" t="s">
        <v>78</v>
      </c>
      <c r="D23" s="5" t="s">
        <v>79</v>
      </c>
      <c r="E23" s="5" t="s">
        <v>80</v>
      </c>
      <c r="F23" s="5">
        <v>22385</v>
      </c>
      <c r="G23" s="5" t="s">
        <v>144</v>
      </c>
      <c r="H23" s="5" t="s">
        <v>145</v>
      </c>
      <c r="I23" s="5" t="s">
        <v>83</v>
      </c>
      <c r="N23" s="5" t="s">
        <v>146</v>
      </c>
      <c r="O23" s="5">
        <v>15071</v>
      </c>
      <c r="P23" s="5">
        <v>15179</v>
      </c>
      <c r="Q23" s="5">
        <v>15049</v>
      </c>
      <c r="R23" s="5">
        <v>15147.43</v>
      </c>
      <c r="S23" s="5">
        <v>15159</v>
      </c>
      <c r="T23" s="5">
        <v>15067.57</v>
      </c>
      <c r="V23" s="5">
        <v>15145.16</v>
      </c>
      <c r="Y23" s="5">
        <v>838</v>
      </c>
      <c r="Z23" s="5">
        <v>12660351.34</v>
      </c>
      <c r="AA23" s="5">
        <v>128</v>
      </c>
      <c r="AB23" s="5" t="s">
        <v>85</v>
      </c>
      <c r="AC23" s="5">
        <v>1</v>
      </c>
    </row>
    <row r="24" spans="1:29" x14ac:dyDescent="0.3">
      <c r="A24" s="34">
        <v>46274</v>
      </c>
      <c r="B24" s="34">
        <v>46274</v>
      </c>
      <c r="C24" s="5" t="s">
        <v>78</v>
      </c>
      <c r="D24" s="5" t="s">
        <v>79</v>
      </c>
      <c r="E24" s="5" t="s">
        <v>80</v>
      </c>
      <c r="F24" s="5">
        <v>149</v>
      </c>
      <c r="G24" s="5" t="s">
        <v>147</v>
      </c>
      <c r="H24" s="5" t="s">
        <v>148</v>
      </c>
      <c r="I24" s="5" t="s">
        <v>83</v>
      </c>
      <c r="N24" s="5" t="s">
        <v>149</v>
      </c>
      <c r="O24" s="5">
        <v>15050</v>
      </c>
      <c r="P24" s="5">
        <v>15149.99</v>
      </c>
      <c r="Q24" s="5">
        <v>15005</v>
      </c>
      <c r="R24" s="5">
        <v>15136.91</v>
      </c>
      <c r="S24" s="5">
        <v>15148</v>
      </c>
      <c r="T24" s="5">
        <v>15058.65</v>
      </c>
      <c r="V24" s="5">
        <v>15136.91</v>
      </c>
      <c r="Y24" s="5">
        <v>258</v>
      </c>
      <c r="Z24" s="5">
        <v>3898221.9</v>
      </c>
      <c r="AA24" s="5">
        <v>65</v>
      </c>
      <c r="AB24" s="5" t="s">
        <v>85</v>
      </c>
      <c r="AC24" s="5">
        <v>1</v>
      </c>
    </row>
    <row r="25" spans="1:29" x14ac:dyDescent="0.3">
      <c r="A25" s="34">
        <v>46274</v>
      </c>
      <c r="B25" s="34">
        <v>46274</v>
      </c>
      <c r="C25" s="5" t="s">
        <v>78</v>
      </c>
      <c r="D25" s="5" t="s">
        <v>79</v>
      </c>
      <c r="E25" s="5" t="s">
        <v>80</v>
      </c>
      <c r="F25" s="5">
        <v>834</v>
      </c>
      <c r="G25" s="5" t="s">
        <v>150</v>
      </c>
      <c r="H25" s="5" t="s">
        <v>151</v>
      </c>
      <c r="I25" s="5" t="s">
        <v>83</v>
      </c>
      <c r="N25" s="5" t="s">
        <v>152</v>
      </c>
      <c r="O25" s="5">
        <v>15120</v>
      </c>
      <c r="P25" s="5">
        <v>15250</v>
      </c>
      <c r="Q25" s="5">
        <v>15120</v>
      </c>
      <c r="R25" s="5">
        <v>15242.61</v>
      </c>
      <c r="S25" s="5">
        <v>15250</v>
      </c>
      <c r="T25" s="5">
        <v>15120</v>
      </c>
      <c r="V25" s="5">
        <v>15242.61</v>
      </c>
      <c r="Y25" s="5">
        <v>39</v>
      </c>
      <c r="Z25" s="5">
        <v>593133.68000000005</v>
      </c>
      <c r="AA25" s="5">
        <v>10</v>
      </c>
      <c r="AB25" s="5" t="s">
        <v>85</v>
      </c>
      <c r="AC25" s="5">
        <v>1</v>
      </c>
    </row>
    <row r="26" spans="1:29" x14ac:dyDescent="0.3">
      <c r="A26" s="34">
        <v>46274</v>
      </c>
      <c r="B26" s="34">
        <v>46274</v>
      </c>
      <c r="C26" s="5" t="s">
        <v>78</v>
      </c>
      <c r="D26" s="5" t="s">
        <v>79</v>
      </c>
      <c r="E26" s="5" t="s">
        <v>80</v>
      </c>
      <c r="F26" s="5">
        <v>17110</v>
      </c>
      <c r="G26" s="5" t="s">
        <v>153</v>
      </c>
      <c r="H26" s="5" t="s">
        <v>154</v>
      </c>
      <c r="I26" s="5" t="s">
        <v>83</v>
      </c>
      <c r="N26" s="5" t="s">
        <v>155</v>
      </c>
      <c r="O26" s="5">
        <v>15197.99</v>
      </c>
      <c r="P26" s="5">
        <v>15197.99</v>
      </c>
      <c r="Q26" s="5">
        <v>15030</v>
      </c>
      <c r="R26" s="5">
        <v>15030</v>
      </c>
      <c r="S26" s="5">
        <v>15030</v>
      </c>
      <c r="T26" s="5">
        <v>15299.99</v>
      </c>
      <c r="V26" s="5">
        <v>15030</v>
      </c>
      <c r="Y26" s="5">
        <v>3</v>
      </c>
      <c r="Z26" s="5">
        <v>45425.98</v>
      </c>
      <c r="AA26" s="5">
        <v>2</v>
      </c>
      <c r="AB26" s="5" t="s">
        <v>85</v>
      </c>
      <c r="AC26" s="5">
        <v>1</v>
      </c>
    </row>
    <row r="27" spans="1:29" x14ac:dyDescent="0.3">
      <c r="A27" s="34">
        <v>46274</v>
      </c>
      <c r="B27" s="34">
        <v>46274</v>
      </c>
      <c r="C27" s="5" t="s">
        <v>78</v>
      </c>
      <c r="D27" s="5" t="s">
        <v>79</v>
      </c>
      <c r="E27" s="5" t="s">
        <v>80</v>
      </c>
      <c r="F27" s="5">
        <v>18451</v>
      </c>
      <c r="G27" s="5" t="s">
        <v>156</v>
      </c>
      <c r="H27" s="5" t="s">
        <v>157</v>
      </c>
      <c r="I27" s="5" t="s">
        <v>83</v>
      </c>
      <c r="N27" s="5" t="s">
        <v>158</v>
      </c>
      <c r="O27" s="5">
        <v>15333.28</v>
      </c>
      <c r="P27" s="5">
        <v>15333.28</v>
      </c>
      <c r="Q27" s="5">
        <v>14914</v>
      </c>
      <c r="R27" s="5">
        <v>15200</v>
      </c>
      <c r="S27" s="5">
        <v>15200</v>
      </c>
      <c r="T27" s="5">
        <v>15257</v>
      </c>
      <c r="V27" s="5">
        <v>15251.64</v>
      </c>
      <c r="Y27" s="5">
        <v>36</v>
      </c>
      <c r="Z27" s="5">
        <v>547184.19999999995</v>
      </c>
      <c r="AA27" s="5">
        <v>12</v>
      </c>
      <c r="AB27" s="5" t="s">
        <v>85</v>
      </c>
      <c r="AC27" s="5">
        <v>1</v>
      </c>
    </row>
    <row r="28" spans="1:29" x14ac:dyDescent="0.3">
      <c r="A28" s="34">
        <v>46274</v>
      </c>
      <c r="B28" s="34">
        <v>46274</v>
      </c>
      <c r="C28" s="5" t="s">
        <v>78</v>
      </c>
      <c r="D28" s="5" t="s">
        <v>79</v>
      </c>
      <c r="E28" s="5" t="s">
        <v>80</v>
      </c>
      <c r="F28" s="5">
        <v>5113</v>
      </c>
      <c r="G28" s="5" t="s">
        <v>159</v>
      </c>
      <c r="H28" s="5" t="s">
        <v>160</v>
      </c>
      <c r="I28" s="5" t="s">
        <v>83</v>
      </c>
      <c r="N28" s="5" t="s">
        <v>161</v>
      </c>
      <c r="O28" s="5">
        <v>15001</v>
      </c>
      <c r="P28" s="5">
        <v>15190</v>
      </c>
      <c r="Q28" s="5">
        <v>15001</v>
      </c>
      <c r="R28" s="5">
        <v>15153.32</v>
      </c>
      <c r="S28" s="5">
        <v>15120</v>
      </c>
      <c r="T28" s="5">
        <v>15111</v>
      </c>
      <c r="V28" s="5">
        <v>15153.32</v>
      </c>
      <c r="Y28" s="5">
        <v>98</v>
      </c>
      <c r="Z28" s="5">
        <v>1481338.79</v>
      </c>
      <c r="AA28" s="5">
        <v>23</v>
      </c>
      <c r="AB28" s="5" t="s">
        <v>85</v>
      </c>
      <c r="AC28" s="5">
        <v>1</v>
      </c>
    </row>
    <row r="29" spans="1:29" x14ac:dyDescent="0.3">
      <c r="A29" s="34">
        <v>46274</v>
      </c>
      <c r="B29" s="34">
        <v>46274</v>
      </c>
      <c r="C29" s="5" t="s">
        <v>78</v>
      </c>
      <c r="D29" s="5" t="s">
        <v>79</v>
      </c>
      <c r="E29" s="5" t="s">
        <v>80</v>
      </c>
      <c r="F29" s="5">
        <v>1920</v>
      </c>
      <c r="G29" s="5" t="s">
        <v>162</v>
      </c>
      <c r="H29" s="5" t="s">
        <v>163</v>
      </c>
      <c r="I29" s="5" t="s">
        <v>83</v>
      </c>
      <c r="N29" s="5" t="s">
        <v>164</v>
      </c>
      <c r="O29" s="5">
        <v>15035.01</v>
      </c>
      <c r="P29" s="5">
        <v>15174.99</v>
      </c>
      <c r="Q29" s="5">
        <v>15035.01</v>
      </c>
      <c r="R29" s="5">
        <v>15110</v>
      </c>
      <c r="S29" s="5">
        <v>15110</v>
      </c>
      <c r="T29" s="5">
        <v>15076.94</v>
      </c>
      <c r="V29" s="5">
        <v>15110</v>
      </c>
      <c r="Y29" s="5">
        <v>286</v>
      </c>
      <c r="Z29" s="5">
        <v>4319042.09</v>
      </c>
      <c r="AA29" s="5">
        <v>48</v>
      </c>
      <c r="AB29" s="5" t="s">
        <v>85</v>
      </c>
      <c r="AC29" s="5">
        <v>1</v>
      </c>
    </row>
    <row r="30" spans="1:29" x14ac:dyDescent="0.3">
      <c r="A30" s="34">
        <v>46274</v>
      </c>
      <c r="B30" s="34">
        <v>46274</v>
      </c>
      <c r="C30" s="5" t="s">
        <v>78</v>
      </c>
      <c r="D30" s="5" t="s">
        <v>79</v>
      </c>
      <c r="E30" s="5" t="s">
        <v>80</v>
      </c>
      <c r="F30" s="5">
        <v>5455</v>
      </c>
      <c r="G30" s="5" t="s">
        <v>165</v>
      </c>
      <c r="H30" s="5" t="s">
        <v>166</v>
      </c>
      <c r="I30" s="5" t="s">
        <v>83</v>
      </c>
      <c r="N30" s="5" t="s">
        <v>167</v>
      </c>
      <c r="O30" s="5">
        <v>15106</v>
      </c>
      <c r="P30" s="5">
        <v>15390</v>
      </c>
      <c r="Q30" s="5">
        <v>15106</v>
      </c>
      <c r="R30" s="5">
        <v>15156.83</v>
      </c>
      <c r="S30" s="5">
        <v>15135</v>
      </c>
      <c r="T30" s="5">
        <v>15196</v>
      </c>
      <c r="V30" s="5">
        <v>15156.83</v>
      </c>
      <c r="Y30" s="5">
        <v>75</v>
      </c>
      <c r="Z30" s="5">
        <v>1137104.83</v>
      </c>
      <c r="AA30" s="5">
        <v>42</v>
      </c>
      <c r="AB30" s="5" t="s">
        <v>85</v>
      </c>
      <c r="AC30" s="5">
        <v>1</v>
      </c>
    </row>
    <row r="31" spans="1:29" x14ac:dyDescent="0.3">
      <c r="A31" s="34">
        <v>46274</v>
      </c>
      <c r="B31" s="34">
        <v>46274</v>
      </c>
      <c r="C31" s="5" t="s">
        <v>78</v>
      </c>
      <c r="D31" s="5" t="s">
        <v>79</v>
      </c>
      <c r="E31" s="5" t="s">
        <v>80</v>
      </c>
      <c r="F31" s="5">
        <v>7098</v>
      </c>
      <c r="G31" s="5" t="s">
        <v>168</v>
      </c>
      <c r="H31" s="5" t="s">
        <v>169</v>
      </c>
      <c r="I31" s="5" t="s">
        <v>83</v>
      </c>
      <c r="N31" s="5" t="s">
        <v>170</v>
      </c>
      <c r="O31" s="5">
        <v>15111</v>
      </c>
      <c r="P31" s="5">
        <v>15369.99</v>
      </c>
      <c r="Q31" s="5">
        <v>15100</v>
      </c>
      <c r="R31" s="5">
        <v>15211.11</v>
      </c>
      <c r="S31" s="5">
        <v>15175.01</v>
      </c>
      <c r="T31" s="5">
        <v>15202.5</v>
      </c>
      <c r="V31" s="5">
        <v>15211.11</v>
      </c>
      <c r="Y31" s="5">
        <v>86</v>
      </c>
      <c r="Z31" s="5">
        <v>1304911.97</v>
      </c>
      <c r="AA31" s="5">
        <v>34</v>
      </c>
      <c r="AB31" s="5" t="s">
        <v>85</v>
      </c>
      <c r="AC31" s="5">
        <v>1</v>
      </c>
    </row>
    <row r="32" spans="1:29" x14ac:dyDescent="0.3">
      <c r="A32" s="34">
        <v>46274</v>
      </c>
      <c r="B32" s="34">
        <v>46274</v>
      </c>
      <c r="C32" s="5" t="s">
        <v>78</v>
      </c>
      <c r="D32" s="5" t="s">
        <v>79</v>
      </c>
      <c r="E32" s="5" t="s">
        <v>80</v>
      </c>
      <c r="F32" s="5">
        <v>2003</v>
      </c>
      <c r="G32" s="5" t="s">
        <v>171</v>
      </c>
      <c r="H32" s="5" t="s">
        <v>172</v>
      </c>
      <c r="I32" s="5" t="s">
        <v>83</v>
      </c>
      <c r="N32" s="5" t="s">
        <v>173</v>
      </c>
      <c r="O32" s="5">
        <v>15070</v>
      </c>
      <c r="P32" s="5">
        <v>15200</v>
      </c>
      <c r="Q32" s="5">
        <v>15070</v>
      </c>
      <c r="R32" s="5">
        <v>15200</v>
      </c>
      <c r="S32" s="5">
        <v>15200</v>
      </c>
      <c r="T32" s="5">
        <v>15103.65</v>
      </c>
      <c r="V32" s="5">
        <v>15158.14</v>
      </c>
      <c r="Y32" s="5">
        <v>146</v>
      </c>
      <c r="Z32" s="5">
        <v>2214999.2000000002</v>
      </c>
      <c r="AA32" s="5">
        <v>29</v>
      </c>
      <c r="AB32" s="5" t="s">
        <v>85</v>
      </c>
      <c r="AC32" s="5">
        <v>1</v>
      </c>
    </row>
    <row r="33" spans="1:29" x14ac:dyDescent="0.3">
      <c r="A33" s="34">
        <v>46274</v>
      </c>
      <c r="B33" s="34">
        <v>46274</v>
      </c>
      <c r="C33" s="5" t="s">
        <v>78</v>
      </c>
      <c r="D33" s="5" t="s">
        <v>79</v>
      </c>
      <c r="E33" s="5" t="s">
        <v>80</v>
      </c>
      <c r="F33" s="5">
        <v>2200</v>
      </c>
      <c r="G33" s="5" t="s">
        <v>174</v>
      </c>
      <c r="H33" s="5" t="s">
        <v>175</v>
      </c>
      <c r="I33" s="5" t="s">
        <v>83</v>
      </c>
      <c r="N33" s="5" t="s">
        <v>176</v>
      </c>
      <c r="O33" s="5">
        <v>15100</v>
      </c>
      <c r="P33" s="5">
        <v>15300</v>
      </c>
      <c r="Q33" s="5">
        <v>15011.01</v>
      </c>
      <c r="R33" s="5">
        <v>15293.26</v>
      </c>
      <c r="S33" s="5">
        <v>15300</v>
      </c>
      <c r="T33" s="5">
        <v>15100</v>
      </c>
      <c r="V33" s="5">
        <v>15293.26</v>
      </c>
      <c r="Y33" s="5">
        <v>56</v>
      </c>
      <c r="Z33" s="5">
        <v>851771.21</v>
      </c>
      <c r="AA33" s="5">
        <v>14</v>
      </c>
      <c r="AB33" s="5" t="s">
        <v>85</v>
      </c>
      <c r="AC33" s="5">
        <v>1</v>
      </c>
    </row>
    <row r="34" spans="1:29" x14ac:dyDescent="0.3">
      <c r="A34" s="34">
        <v>46274</v>
      </c>
      <c r="B34" s="34">
        <v>46274</v>
      </c>
      <c r="C34" s="5" t="s">
        <v>78</v>
      </c>
      <c r="D34" s="5" t="s">
        <v>79</v>
      </c>
      <c r="E34" s="5" t="s">
        <v>80</v>
      </c>
      <c r="F34" s="5">
        <v>2810</v>
      </c>
      <c r="G34" s="5" t="s">
        <v>177</v>
      </c>
      <c r="H34" s="5" t="s">
        <v>178</v>
      </c>
      <c r="I34" s="5" t="s">
        <v>83</v>
      </c>
      <c r="N34" s="5" t="s">
        <v>179</v>
      </c>
      <c r="O34" s="5">
        <v>15100</v>
      </c>
      <c r="P34" s="5">
        <v>15170</v>
      </c>
      <c r="Q34" s="5">
        <v>14985.01</v>
      </c>
      <c r="R34" s="5">
        <v>15158.33</v>
      </c>
      <c r="S34" s="5">
        <v>15160</v>
      </c>
      <c r="T34" s="5">
        <v>15065.91</v>
      </c>
      <c r="V34" s="5">
        <v>15158.33</v>
      </c>
      <c r="Y34" s="5">
        <v>177</v>
      </c>
      <c r="Z34" s="5">
        <v>2673612.54</v>
      </c>
      <c r="AA34" s="5">
        <v>34</v>
      </c>
      <c r="AB34" s="5" t="s">
        <v>85</v>
      </c>
      <c r="AC34" s="5">
        <v>1</v>
      </c>
    </row>
    <row r="35" spans="1:29" x14ac:dyDescent="0.3">
      <c r="A35" s="34">
        <v>46274</v>
      </c>
      <c r="B35" s="34">
        <v>46274</v>
      </c>
      <c r="C35" s="5" t="s">
        <v>78</v>
      </c>
      <c r="D35" s="5" t="s">
        <v>79</v>
      </c>
      <c r="E35" s="5" t="s">
        <v>80</v>
      </c>
      <c r="F35" s="5">
        <v>10232</v>
      </c>
      <c r="G35" s="5" t="s">
        <v>180</v>
      </c>
      <c r="H35" s="5" t="s">
        <v>181</v>
      </c>
      <c r="I35" s="5" t="s">
        <v>83</v>
      </c>
      <c r="N35" s="5" t="s">
        <v>182</v>
      </c>
      <c r="O35" s="5">
        <v>15285</v>
      </c>
      <c r="P35" s="5">
        <v>15289</v>
      </c>
      <c r="Q35" s="5">
        <v>15150</v>
      </c>
      <c r="R35" s="5">
        <v>15288</v>
      </c>
      <c r="S35" s="5">
        <v>15288</v>
      </c>
      <c r="T35" s="5">
        <v>15221</v>
      </c>
      <c r="V35" s="5">
        <v>15261.98</v>
      </c>
      <c r="Y35" s="5">
        <v>51</v>
      </c>
      <c r="Z35" s="5">
        <v>778631.98</v>
      </c>
      <c r="AA35" s="5">
        <v>12</v>
      </c>
      <c r="AB35" s="5" t="s">
        <v>85</v>
      </c>
      <c r="AC35" s="5">
        <v>1</v>
      </c>
    </row>
    <row r="36" spans="1:29" x14ac:dyDescent="0.3">
      <c r="A36" s="34">
        <v>46274</v>
      </c>
      <c r="B36" s="34">
        <v>46274</v>
      </c>
      <c r="C36" s="5" t="s">
        <v>78</v>
      </c>
      <c r="D36" s="5" t="s">
        <v>79</v>
      </c>
      <c r="E36" s="5" t="s">
        <v>80</v>
      </c>
      <c r="F36" s="5">
        <v>11192</v>
      </c>
      <c r="G36" s="5" t="s">
        <v>183</v>
      </c>
      <c r="H36" s="5" t="s">
        <v>184</v>
      </c>
      <c r="I36" s="5" t="s">
        <v>83</v>
      </c>
      <c r="N36" s="5" t="s">
        <v>185</v>
      </c>
      <c r="O36" s="5">
        <v>15265.93</v>
      </c>
      <c r="P36" s="5">
        <v>15265.93</v>
      </c>
      <c r="Q36" s="5">
        <v>15155.01</v>
      </c>
      <c r="R36" s="5">
        <v>15235.78</v>
      </c>
      <c r="S36" s="5">
        <v>15200</v>
      </c>
      <c r="T36" s="5">
        <v>15265.93</v>
      </c>
      <c r="V36" s="5">
        <v>15238.74</v>
      </c>
      <c r="Y36" s="5">
        <v>104</v>
      </c>
      <c r="Z36" s="5">
        <v>1580760.98</v>
      </c>
      <c r="AA36" s="5">
        <v>33</v>
      </c>
      <c r="AB36" s="5" t="s">
        <v>85</v>
      </c>
      <c r="AC36" s="5">
        <v>1</v>
      </c>
    </row>
    <row r="37" spans="1:29" x14ac:dyDescent="0.3">
      <c r="A37" s="34">
        <v>46274</v>
      </c>
      <c r="B37" s="34">
        <v>46274</v>
      </c>
      <c r="C37" s="5" t="s">
        <v>78</v>
      </c>
      <c r="D37" s="5" t="s">
        <v>79</v>
      </c>
      <c r="E37" s="5" t="s">
        <v>80</v>
      </c>
      <c r="F37" s="5">
        <v>13642</v>
      </c>
      <c r="G37" s="5" t="s">
        <v>186</v>
      </c>
      <c r="H37" s="5" t="s">
        <v>187</v>
      </c>
      <c r="I37" s="5" t="s">
        <v>83</v>
      </c>
      <c r="N37" s="5" t="s">
        <v>188</v>
      </c>
      <c r="O37" s="5">
        <v>15279.98</v>
      </c>
      <c r="P37" s="5">
        <v>15350</v>
      </c>
      <c r="Q37" s="5">
        <v>15125.77</v>
      </c>
      <c r="R37" s="5">
        <v>15349.99</v>
      </c>
      <c r="S37" s="5">
        <v>15350</v>
      </c>
      <c r="T37" s="5">
        <v>15280.71</v>
      </c>
      <c r="V37" s="5">
        <v>15349.99</v>
      </c>
      <c r="Y37" s="5">
        <v>285</v>
      </c>
      <c r="Z37" s="5">
        <v>4358697.8</v>
      </c>
      <c r="AA37" s="5">
        <v>38</v>
      </c>
      <c r="AB37" s="5" t="s">
        <v>85</v>
      </c>
      <c r="AC37" s="5">
        <v>1</v>
      </c>
    </row>
    <row r="38" spans="1:29" x14ac:dyDescent="0.3">
      <c r="A38" s="34">
        <v>46274</v>
      </c>
      <c r="B38" s="34">
        <v>46274</v>
      </c>
      <c r="C38" s="5" t="s">
        <v>78</v>
      </c>
      <c r="D38" s="5" t="s">
        <v>79</v>
      </c>
      <c r="E38" s="5" t="s">
        <v>80</v>
      </c>
      <c r="F38" s="5">
        <v>7879</v>
      </c>
      <c r="G38" s="5" t="s">
        <v>189</v>
      </c>
      <c r="H38" s="5" t="s">
        <v>190</v>
      </c>
      <c r="I38" s="5" t="s">
        <v>83</v>
      </c>
      <c r="N38" s="5" t="s">
        <v>191</v>
      </c>
      <c r="O38" s="5">
        <v>15101</v>
      </c>
      <c r="P38" s="5">
        <v>15300.01</v>
      </c>
      <c r="Q38" s="5">
        <v>15002.01</v>
      </c>
      <c r="R38" s="5">
        <v>15203.62</v>
      </c>
      <c r="S38" s="5">
        <v>15203.02</v>
      </c>
      <c r="T38" s="5">
        <v>15150</v>
      </c>
      <c r="V38" s="5">
        <v>15203.62</v>
      </c>
      <c r="Y38" s="5">
        <v>219</v>
      </c>
      <c r="Z38" s="5">
        <v>3324447.8</v>
      </c>
      <c r="AA38" s="5">
        <v>44</v>
      </c>
      <c r="AB38" s="5" t="s">
        <v>85</v>
      </c>
      <c r="AC38" s="5">
        <v>1</v>
      </c>
    </row>
    <row r="39" spans="1:29" x14ac:dyDescent="0.3">
      <c r="A39" s="34">
        <v>46274</v>
      </c>
      <c r="B39" s="34">
        <v>46274</v>
      </c>
      <c r="C39" s="5" t="s">
        <v>78</v>
      </c>
      <c r="D39" s="5" t="s">
        <v>79</v>
      </c>
      <c r="E39" s="5" t="s">
        <v>80</v>
      </c>
      <c r="F39" s="5">
        <v>8401</v>
      </c>
      <c r="G39" s="5" t="s">
        <v>192</v>
      </c>
      <c r="H39" s="5" t="s">
        <v>193</v>
      </c>
      <c r="I39" s="5" t="s">
        <v>83</v>
      </c>
      <c r="N39" s="5" t="s">
        <v>194</v>
      </c>
      <c r="O39" s="5">
        <v>15150</v>
      </c>
      <c r="P39" s="5">
        <v>15375</v>
      </c>
      <c r="Q39" s="5">
        <v>15150</v>
      </c>
      <c r="R39" s="5">
        <v>15373.23</v>
      </c>
      <c r="S39" s="5">
        <v>15373.99</v>
      </c>
      <c r="T39" s="5">
        <v>15195</v>
      </c>
      <c r="V39" s="5">
        <v>15373.23</v>
      </c>
      <c r="Y39" s="5">
        <v>42</v>
      </c>
      <c r="Z39" s="5">
        <v>641436</v>
      </c>
      <c r="AA39" s="5">
        <v>12</v>
      </c>
      <c r="AB39" s="5" t="s">
        <v>85</v>
      </c>
      <c r="AC39" s="5">
        <v>1</v>
      </c>
    </row>
    <row r="40" spans="1:29" x14ac:dyDescent="0.3">
      <c r="A40" s="34">
        <v>46274</v>
      </c>
      <c r="B40" s="34">
        <v>46274</v>
      </c>
      <c r="C40" s="5" t="s">
        <v>78</v>
      </c>
      <c r="D40" s="5" t="s">
        <v>79</v>
      </c>
      <c r="E40" s="5" t="s">
        <v>80</v>
      </c>
      <c r="F40" s="5">
        <v>17202</v>
      </c>
      <c r="G40" s="5" t="s">
        <v>195</v>
      </c>
      <c r="H40" s="5" t="s">
        <v>196</v>
      </c>
      <c r="I40" s="5" t="s">
        <v>83</v>
      </c>
      <c r="N40" s="5" t="s">
        <v>197</v>
      </c>
      <c r="O40" s="5">
        <v>15399.95</v>
      </c>
      <c r="P40" s="5">
        <v>15494.99</v>
      </c>
      <c r="Q40" s="5">
        <v>14999.99</v>
      </c>
      <c r="R40" s="5">
        <v>15317.72</v>
      </c>
      <c r="S40" s="5">
        <v>15350</v>
      </c>
      <c r="T40" s="5">
        <v>15349.8</v>
      </c>
      <c r="V40" s="5">
        <v>15318.25</v>
      </c>
      <c r="Y40" s="5">
        <v>900</v>
      </c>
      <c r="Z40" s="5">
        <v>13759895.369999999</v>
      </c>
      <c r="AA40" s="5">
        <v>194</v>
      </c>
      <c r="AB40" s="5" t="s">
        <v>85</v>
      </c>
      <c r="AC40" s="5">
        <v>1</v>
      </c>
    </row>
    <row r="41" spans="1:29" x14ac:dyDescent="0.3">
      <c r="A41" s="34">
        <v>46274</v>
      </c>
      <c r="B41" s="34">
        <v>46274</v>
      </c>
      <c r="C41" s="5" t="s">
        <v>78</v>
      </c>
      <c r="D41" s="5" t="s">
        <v>79</v>
      </c>
      <c r="E41" s="5" t="s">
        <v>80</v>
      </c>
      <c r="F41" s="5">
        <v>19456</v>
      </c>
      <c r="G41" s="5" t="s">
        <v>198</v>
      </c>
      <c r="H41" s="5" t="s">
        <v>199</v>
      </c>
      <c r="I41" s="5" t="s">
        <v>83</v>
      </c>
      <c r="N41" s="5" t="s">
        <v>200</v>
      </c>
      <c r="O41" s="5">
        <v>15084.31</v>
      </c>
      <c r="P41" s="5">
        <v>15537.98</v>
      </c>
      <c r="Q41" s="5">
        <v>15084.31</v>
      </c>
      <c r="R41" s="5">
        <v>15471.36</v>
      </c>
      <c r="S41" s="5">
        <v>15465</v>
      </c>
      <c r="T41" s="5">
        <v>15471.09</v>
      </c>
      <c r="V41" s="5">
        <v>15470.29</v>
      </c>
      <c r="Y41" s="5">
        <v>718</v>
      </c>
      <c r="Z41" s="5">
        <v>11088071.789999999</v>
      </c>
      <c r="AA41" s="5">
        <v>135</v>
      </c>
      <c r="AB41" s="5" t="s">
        <v>85</v>
      </c>
      <c r="AC41" s="5">
        <v>1</v>
      </c>
    </row>
    <row r="42" spans="1:29" x14ac:dyDescent="0.3">
      <c r="A42" s="34">
        <v>46274</v>
      </c>
      <c r="B42" s="34">
        <v>46274</v>
      </c>
      <c r="C42" s="5" t="s">
        <v>78</v>
      </c>
      <c r="D42" s="5" t="s">
        <v>79</v>
      </c>
      <c r="E42" s="5" t="s">
        <v>80</v>
      </c>
      <c r="F42" s="5">
        <v>22476</v>
      </c>
      <c r="G42" s="5" t="s">
        <v>201</v>
      </c>
      <c r="H42" s="5" t="s">
        <v>202</v>
      </c>
      <c r="I42" s="5" t="s">
        <v>83</v>
      </c>
      <c r="N42" s="5" t="s">
        <v>203</v>
      </c>
      <c r="O42" s="5">
        <v>15500.01</v>
      </c>
      <c r="P42" s="5">
        <v>15750</v>
      </c>
      <c r="Q42" s="5">
        <v>15475</v>
      </c>
      <c r="R42" s="5">
        <v>15727.1</v>
      </c>
      <c r="S42" s="5">
        <v>15749.99</v>
      </c>
      <c r="T42" s="5">
        <v>15579.93</v>
      </c>
      <c r="V42" s="5">
        <v>15727.1</v>
      </c>
      <c r="Y42" s="5">
        <v>959</v>
      </c>
      <c r="Z42" s="5">
        <v>14974914.119999999</v>
      </c>
      <c r="AA42" s="5">
        <v>261</v>
      </c>
      <c r="AB42" s="5" t="s">
        <v>85</v>
      </c>
      <c r="AC42" s="5">
        <v>1</v>
      </c>
    </row>
    <row r="43" spans="1:29" x14ac:dyDescent="0.3">
      <c r="A43" s="34">
        <v>46274</v>
      </c>
      <c r="B43" s="34">
        <v>46274</v>
      </c>
      <c r="C43" s="5" t="s">
        <v>78</v>
      </c>
      <c r="D43" s="5" t="s">
        <v>79</v>
      </c>
      <c r="E43" s="5" t="s">
        <v>80</v>
      </c>
      <c r="F43" s="5">
        <v>14598</v>
      </c>
      <c r="G43" s="5" t="s">
        <v>204</v>
      </c>
      <c r="H43" s="5" t="s">
        <v>205</v>
      </c>
      <c r="I43" s="5" t="s">
        <v>83</v>
      </c>
      <c r="N43" s="5" t="s">
        <v>206</v>
      </c>
      <c r="O43" s="5">
        <v>15367.5</v>
      </c>
      <c r="P43" s="5">
        <v>15520</v>
      </c>
      <c r="Q43" s="5">
        <v>15300.01</v>
      </c>
      <c r="R43" s="5">
        <v>15440</v>
      </c>
      <c r="S43" s="5">
        <v>15440</v>
      </c>
      <c r="T43" s="5">
        <v>15367.5</v>
      </c>
      <c r="V43" s="5">
        <v>15440</v>
      </c>
      <c r="Y43" s="5">
        <v>136</v>
      </c>
      <c r="Z43" s="5">
        <v>2097569.84</v>
      </c>
      <c r="AA43" s="5">
        <v>37</v>
      </c>
      <c r="AB43" s="5" t="s">
        <v>85</v>
      </c>
      <c r="AC43" s="5">
        <v>1</v>
      </c>
    </row>
    <row r="44" spans="1:29" x14ac:dyDescent="0.3">
      <c r="A44" s="34">
        <v>46274</v>
      </c>
      <c r="B44" s="34">
        <v>46274</v>
      </c>
      <c r="C44" s="5" t="s">
        <v>78</v>
      </c>
      <c r="D44" s="5" t="s">
        <v>79</v>
      </c>
      <c r="E44" s="5" t="s">
        <v>80</v>
      </c>
      <c r="F44" s="5">
        <v>22886</v>
      </c>
      <c r="G44" s="5" t="s">
        <v>207</v>
      </c>
      <c r="H44" s="5" t="s">
        <v>208</v>
      </c>
      <c r="I44" s="5" t="s">
        <v>83</v>
      </c>
      <c r="N44" s="5" t="s">
        <v>209</v>
      </c>
      <c r="O44" s="5">
        <v>15800</v>
      </c>
      <c r="P44" s="5">
        <v>16035.97</v>
      </c>
      <c r="Q44" s="5">
        <v>15735</v>
      </c>
      <c r="R44" s="5">
        <v>15885.72</v>
      </c>
      <c r="S44" s="5">
        <v>15880</v>
      </c>
      <c r="T44" s="5">
        <v>15790.11</v>
      </c>
      <c r="V44" s="5">
        <v>15883.96</v>
      </c>
      <c r="Y44" s="5">
        <v>1659</v>
      </c>
      <c r="Z44" s="5">
        <v>26375063.43</v>
      </c>
      <c r="AA44" s="5">
        <v>358</v>
      </c>
      <c r="AB44" s="5" t="s">
        <v>85</v>
      </c>
      <c r="AC44" s="5">
        <v>1</v>
      </c>
    </row>
    <row r="45" spans="1:29" x14ac:dyDescent="0.3">
      <c r="A45" s="34">
        <v>46274</v>
      </c>
      <c r="B45" s="34">
        <v>46274</v>
      </c>
      <c r="C45" s="5" t="s">
        <v>78</v>
      </c>
      <c r="D45" s="5" t="s">
        <v>79</v>
      </c>
      <c r="E45" s="5" t="s">
        <v>80</v>
      </c>
      <c r="F45" s="5">
        <v>16921</v>
      </c>
      <c r="G45" s="5" t="s">
        <v>210</v>
      </c>
      <c r="H45" s="5" t="s">
        <v>211</v>
      </c>
      <c r="I45" s="5" t="s">
        <v>212</v>
      </c>
      <c r="N45" s="5" t="s">
        <v>213</v>
      </c>
      <c r="O45" s="5">
        <v>219</v>
      </c>
      <c r="P45" s="5">
        <v>220.99</v>
      </c>
      <c r="Q45" s="5">
        <v>216.75</v>
      </c>
      <c r="R45" s="5">
        <v>218.06</v>
      </c>
      <c r="S45" s="5">
        <v>217.11</v>
      </c>
      <c r="T45" s="5">
        <v>219.28</v>
      </c>
      <c r="V45" s="5">
        <v>218.05</v>
      </c>
      <c r="Y45" s="5">
        <v>78133</v>
      </c>
      <c r="Z45" s="5">
        <v>17080632.969999999</v>
      </c>
      <c r="AA45" s="5">
        <v>2651</v>
      </c>
      <c r="AB45" s="5" t="s">
        <v>85</v>
      </c>
      <c r="AC45" s="5">
        <v>1</v>
      </c>
    </row>
    <row r="46" spans="1:29" x14ac:dyDescent="0.3">
      <c r="A46" s="34">
        <v>46274</v>
      </c>
      <c r="B46" s="34">
        <v>46274</v>
      </c>
      <c r="C46" s="5" t="s">
        <v>78</v>
      </c>
      <c r="D46" s="5" t="s">
        <v>79</v>
      </c>
      <c r="E46" s="5" t="s">
        <v>80</v>
      </c>
      <c r="F46" s="5">
        <v>4</v>
      </c>
      <c r="G46" s="5" t="s">
        <v>214</v>
      </c>
      <c r="H46" s="5" t="s">
        <v>215</v>
      </c>
      <c r="I46" s="5" t="s">
        <v>212</v>
      </c>
      <c r="N46" s="5" t="s">
        <v>216</v>
      </c>
      <c r="O46" s="5">
        <v>38.979999999999997</v>
      </c>
      <c r="P46" s="5">
        <v>39.340000000000003</v>
      </c>
      <c r="Q46" s="5">
        <v>38.31</v>
      </c>
      <c r="R46" s="5">
        <v>38.799999999999997</v>
      </c>
      <c r="S46" s="5">
        <v>38.799999999999997</v>
      </c>
      <c r="T46" s="5">
        <v>38.590000000000003</v>
      </c>
      <c r="V46" s="5">
        <v>39.4</v>
      </c>
      <c r="Y46" s="5">
        <v>1472</v>
      </c>
      <c r="Z46" s="5">
        <v>57064.99</v>
      </c>
      <c r="AA46" s="5">
        <v>37</v>
      </c>
      <c r="AB46" s="5" t="s">
        <v>85</v>
      </c>
      <c r="AC46" s="5">
        <v>1</v>
      </c>
    </row>
    <row r="47" spans="1:29" x14ac:dyDescent="0.3">
      <c r="A47" s="34">
        <v>46274</v>
      </c>
      <c r="B47" s="34">
        <v>46274</v>
      </c>
      <c r="C47" s="5" t="s">
        <v>78</v>
      </c>
      <c r="D47" s="5" t="s">
        <v>79</v>
      </c>
      <c r="E47" s="5" t="s">
        <v>80</v>
      </c>
      <c r="F47" s="5">
        <v>13061</v>
      </c>
      <c r="G47" s="5" t="s">
        <v>217</v>
      </c>
      <c r="H47" s="5" t="s">
        <v>218</v>
      </c>
      <c r="I47" s="5" t="s">
        <v>212</v>
      </c>
      <c r="N47" s="5" t="s">
        <v>219</v>
      </c>
      <c r="O47" s="5">
        <v>1104.4000000000001</v>
      </c>
      <c r="P47" s="5">
        <v>1109.2</v>
      </c>
      <c r="Q47" s="5">
        <v>1087.4000000000001</v>
      </c>
      <c r="R47" s="5">
        <v>1087.4000000000001</v>
      </c>
      <c r="S47" s="5">
        <v>1087.4000000000001</v>
      </c>
      <c r="T47" s="5">
        <v>1110</v>
      </c>
      <c r="V47" s="5">
        <v>1087.4100000000001</v>
      </c>
      <c r="Y47" s="5">
        <v>869898</v>
      </c>
      <c r="Z47" s="5">
        <v>957181146.89999998</v>
      </c>
      <c r="AA47" s="5">
        <v>64089</v>
      </c>
      <c r="AB47" s="5" t="s">
        <v>85</v>
      </c>
      <c r="AC47" s="5">
        <v>1</v>
      </c>
    </row>
    <row r="48" spans="1:29" x14ac:dyDescent="0.3">
      <c r="A48" s="34">
        <v>46274</v>
      </c>
      <c r="B48" s="34">
        <v>46274</v>
      </c>
      <c r="C48" s="5" t="s">
        <v>78</v>
      </c>
      <c r="D48" s="5" t="s">
        <v>79</v>
      </c>
      <c r="E48" s="5" t="s">
        <v>80</v>
      </c>
      <c r="F48" s="5">
        <v>30105</v>
      </c>
      <c r="G48" s="5" t="s">
        <v>220</v>
      </c>
      <c r="H48" s="5" t="s">
        <v>221</v>
      </c>
      <c r="I48" s="5" t="s">
        <v>212</v>
      </c>
      <c r="N48" s="5" t="s">
        <v>222</v>
      </c>
      <c r="O48" s="5">
        <v>148.25</v>
      </c>
      <c r="P48" s="5">
        <v>148.94999999999999</v>
      </c>
      <c r="Q48" s="5">
        <v>147.4</v>
      </c>
      <c r="R48" s="5">
        <v>148.25</v>
      </c>
      <c r="S48" s="5">
        <v>148.05000000000001</v>
      </c>
      <c r="T48" s="5">
        <v>148.25</v>
      </c>
      <c r="V48" s="5">
        <v>148.25</v>
      </c>
      <c r="Y48" s="5">
        <v>90083</v>
      </c>
      <c r="Z48" s="5">
        <v>13378669.449999999</v>
      </c>
      <c r="AA48" s="5">
        <v>249</v>
      </c>
      <c r="AB48" s="5" t="s">
        <v>85</v>
      </c>
      <c r="AC48" s="5">
        <v>1</v>
      </c>
    </row>
    <row r="49" spans="1:29" x14ac:dyDescent="0.3">
      <c r="A49" s="34">
        <v>46274</v>
      </c>
      <c r="B49" s="34">
        <v>46274</v>
      </c>
      <c r="C49" s="5" t="s">
        <v>78</v>
      </c>
      <c r="D49" s="5" t="s">
        <v>79</v>
      </c>
      <c r="E49" s="5" t="s">
        <v>80</v>
      </c>
      <c r="F49" s="5">
        <v>763602</v>
      </c>
      <c r="G49" s="5" t="s">
        <v>223</v>
      </c>
      <c r="H49" s="5" t="s">
        <v>224</v>
      </c>
      <c r="I49" s="5" t="s">
        <v>212</v>
      </c>
      <c r="N49" s="5" t="s">
        <v>225</v>
      </c>
      <c r="O49" s="5">
        <v>10.07</v>
      </c>
      <c r="P49" s="5">
        <v>10.16</v>
      </c>
      <c r="Q49" s="5">
        <v>9.9499999999999993</v>
      </c>
      <c r="R49" s="5">
        <v>10.15</v>
      </c>
      <c r="S49" s="5">
        <v>10.16</v>
      </c>
      <c r="T49" s="5">
        <v>10.02</v>
      </c>
      <c r="V49" s="5">
        <v>10.15</v>
      </c>
      <c r="Y49" s="5">
        <v>1082</v>
      </c>
      <c r="Z49" s="5">
        <v>10811.44</v>
      </c>
      <c r="AA49" s="5">
        <v>32</v>
      </c>
      <c r="AB49" s="5" t="s">
        <v>85</v>
      </c>
      <c r="AC49" s="5">
        <v>1</v>
      </c>
    </row>
    <row r="50" spans="1:29" x14ac:dyDescent="0.3">
      <c r="A50" s="34">
        <v>46274</v>
      </c>
      <c r="B50" s="34">
        <v>46274</v>
      </c>
      <c r="C50" s="5" t="s">
        <v>78</v>
      </c>
      <c r="D50" s="5" t="s">
        <v>79</v>
      </c>
      <c r="E50" s="5" t="s">
        <v>80</v>
      </c>
      <c r="F50" s="5">
        <v>756150</v>
      </c>
      <c r="G50" s="5" t="s">
        <v>226</v>
      </c>
      <c r="H50" s="5" t="s">
        <v>227</v>
      </c>
      <c r="I50" s="5" t="s">
        <v>212</v>
      </c>
      <c r="N50" s="5" t="s">
        <v>228</v>
      </c>
      <c r="O50" s="5">
        <v>227.28</v>
      </c>
      <c r="P50" s="5">
        <v>229.99</v>
      </c>
      <c r="Q50" s="5">
        <v>226.15</v>
      </c>
      <c r="R50" s="5">
        <v>229.05</v>
      </c>
      <c r="S50" s="5">
        <v>229.07</v>
      </c>
      <c r="T50" s="5">
        <v>227.28</v>
      </c>
      <c r="V50" s="5">
        <v>229.07</v>
      </c>
      <c r="Y50" s="5">
        <v>25160</v>
      </c>
      <c r="Z50" s="5">
        <v>5757709.71</v>
      </c>
      <c r="AA50" s="5">
        <v>274</v>
      </c>
      <c r="AB50" s="5" t="s">
        <v>85</v>
      </c>
      <c r="AC50" s="5">
        <v>1</v>
      </c>
    </row>
    <row r="51" spans="1:29" x14ac:dyDescent="0.3">
      <c r="A51" s="34">
        <v>46274</v>
      </c>
      <c r="B51" s="34">
        <v>46274</v>
      </c>
      <c r="C51" s="5" t="s">
        <v>78</v>
      </c>
      <c r="D51" s="5" t="s">
        <v>79</v>
      </c>
      <c r="E51" s="5" t="s">
        <v>80</v>
      </c>
      <c r="F51" s="5">
        <v>762518</v>
      </c>
      <c r="G51" s="5" t="s">
        <v>229</v>
      </c>
      <c r="H51" s="5" t="s">
        <v>230</v>
      </c>
      <c r="I51" s="5" t="s">
        <v>212</v>
      </c>
      <c r="N51" s="5" t="s">
        <v>231</v>
      </c>
      <c r="O51" s="5">
        <v>1490</v>
      </c>
      <c r="P51" s="5">
        <v>1499</v>
      </c>
      <c r="Q51" s="5">
        <v>1448.1</v>
      </c>
      <c r="R51" s="5">
        <v>1476.1</v>
      </c>
      <c r="S51" s="5">
        <v>1471</v>
      </c>
      <c r="T51" s="5">
        <v>1455.3</v>
      </c>
      <c r="V51" s="5">
        <v>1475.81</v>
      </c>
      <c r="Y51" s="5">
        <v>9173</v>
      </c>
      <c r="Z51" s="5">
        <v>13512663.800000001</v>
      </c>
      <c r="AA51" s="5">
        <v>1267</v>
      </c>
      <c r="AB51" s="5" t="s">
        <v>85</v>
      </c>
      <c r="AC51" s="5">
        <v>1</v>
      </c>
    </row>
    <row r="52" spans="1:29" x14ac:dyDescent="0.3">
      <c r="A52" s="34">
        <v>46274</v>
      </c>
      <c r="B52" s="34">
        <v>46274</v>
      </c>
      <c r="C52" s="5" t="s">
        <v>78</v>
      </c>
      <c r="D52" s="5" t="s">
        <v>79</v>
      </c>
      <c r="E52" s="5" t="s">
        <v>80</v>
      </c>
      <c r="F52" s="5">
        <v>6240</v>
      </c>
      <c r="G52" s="5" t="s">
        <v>232</v>
      </c>
      <c r="H52" s="5" t="s">
        <v>233</v>
      </c>
      <c r="I52" s="5" t="s">
        <v>234</v>
      </c>
      <c r="N52" s="5" t="s">
        <v>235</v>
      </c>
      <c r="O52" s="5">
        <v>22.32</v>
      </c>
      <c r="P52" s="5">
        <v>22.58</v>
      </c>
      <c r="Q52" s="5">
        <v>22.1</v>
      </c>
      <c r="R52" s="5">
        <v>22.5</v>
      </c>
      <c r="S52" s="5">
        <v>22.49</v>
      </c>
      <c r="T52" s="5">
        <v>22.32</v>
      </c>
      <c r="V52" s="5">
        <v>22.5</v>
      </c>
      <c r="Y52" s="5">
        <v>150908</v>
      </c>
      <c r="Z52" s="5">
        <v>3393068.65</v>
      </c>
      <c r="AA52" s="5">
        <v>405</v>
      </c>
      <c r="AB52" s="5" t="s">
        <v>85</v>
      </c>
      <c r="AC52" s="5">
        <v>1</v>
      </c>
    </row>
    <row r="53" spans="1:29" x14ac:dyDescent="0.3">
      <c r="A53" s="34">
        <v>46274</v>
      </c>
      <c r="B53" s="34">
        <v>46274</v>
      </c>
      <c r="C53" s="5" t="s">
        <v>78</v>
      </c>
      <c r="D53" s="5" t="s">
        <v>79</v>
      </c>
      <c r="E53" s="5" t="s">
        <v>80</v>
      </c>
      <c r="F53" s="5">
        <v>474</v>
      </c>
      <c r="G53" s="5" t="s">
        <v>236</v>
      </c>
      <c r="H53" s="5" t="s">
        <v>237</v>
      </c>
      <c r="I53" s="5" t="s">
        <v>212</v>
      </c>
      <c r="N53" s="5" t="s">
        <v>238</v>
      </c>
      <c r="O53" s="5">
        <v>33145</v>
      </c>
      <c r="P53" s="5">
        <v>33145</v>
      </c>
      <c r="Q53" s="5">
        <v>32745</v>
      </c>
      <c r="R53" s="5">
        <v>33025</v>
      </c>
      <c r="S53" s="5">
        <v>33000</v>
      </c>
      <c r="T53" s="5">
        <v>33145</v>
      </c>
      <c r="V53" s="5">
        <v>33025.32</v>
      </c>
      <c r="Y53" s="5">
        <v>1275</v>
      </c>
      <c r="Z53" s="5">
        <v>41969285</v>
      </c>
      <c r="AA53" s="5">
        <v>805</v>
      </c>
      <c r="AB53" s="5" t="s">
        <v>85</v>
      </c>
      <c r="AC53" s="5">
        <v>1</v>
      </c>
    </row>
    <row r="54" spans="1:29" x14ac:dyDescent="0.3">
      <c r="A54" s="34">
        <v>46274</v>
      </c>
      <c r="B54" s="34">
        <v>46274</v>
      </c>
      <c r="C54" s="5" t="s">
        <v>78</v>
      </c>
      <c r="D54" s="5" t="s">
        <v>79</v>
      </c>
      <c r="E54" s="5" t="s">
        <v>80</v>
      </c>
      <c r="F54" s="5">
        <v>2595</v>
      </c>
      <c r="G54" s="5" t="s">
        <v>239</v>
      </c>
      <c r="H54" s="5" t="s">
        <v>240</v>
      </c>
      <c r="I54" s="5" t="s">
        <v>212</v>
      </c>
      <c r="N54" s="5" t="s">
        <v>241</v>
      </c>
      <c r="O54" s="5">
        <v>31.55</v>
      </c>
      <c r="P54" s="5">
        <v>32.51</v>
      </c>
      <c r="Q54" s="5">
        <v>31.55</v>
      </c>
      <c r="R54" s="5">
        <v>32.25</v>
      </c>
      <c r="S54" s="5">
        <v>32.25</v>
      </c>
      <c r="T54" s="5">
        <v>32.4</v>
      </c>
      <c r="V54" s="5">
        <v>32.18</v>
      </c>
      <c r="Y54" s="5">
        <v>1886</v>
      </c>
      <c r="Z54" s="5">
        <v>61093.599999999999</v>
      </c>
      <c r="AA54" s="5">
        <v>77</v>
      </c>
      <c r="AB54" s="5" t="s">
        <v>85</v>
      </c>
      <c r="AC54" s="5">
        <v>1</v>
      </c>
    </row>
    <row r="55" spans="1:29" x14ac:dyDescent="0.3">
      <c r="A55" s="34">
        <v>46274</v>
      </c>
      <c r="B55" s="34">
        <v>46274</v>
      </c>
      <c r="C55" s="5" t="s">
        <v>78</v>
      </c>
      <c r="D55" s="5" t="s">
        <v>79</v>
      </c>
      <c r="E55" s="5" t="s">
        <v>80</v>
      </c>
      <c r="F55" s="5">
        <v>445</v>
      </c>
      <c r="G55" s="5" t="s">
        <v>242</v>
      </c>
      <c r="H55" s="5" t="s">
        <v>243</v>
      </c>
      <c r="I55" s="5" t="s">
        <v>212</v>
      </c>
      <c r="N55" s="5" t="s">
        <v>244</v>
      </c>
      <c r="O55" s="5">
        <v>337.2</v>
      </c>
      <c r="P55" s="5">
        <v>338.95</v>
      </c>
      <c r="Q55" s="5">
        <v>327.55</v>
      </c>
      <c r="R55" s="5">
        <v>334.3</v>
      </c>
      <c r="S55" s="5">
        <v>334</v>
      </c>
      <c r="T55" s="5">
        <v>337.4</v>
      </c>
      <c r="V55" s="5">
        <v>334.3</v>
      </c>
      <c r="Y55" s="5">
        <v>55842</v>
      </c>
      <c r="Z55" s="5">
        <v>18632776.300000001</v>
      </c>
      <c r="AA55" s="5">
        <v>1977</v>
      </c>
      <c r="AB55" s="5" t="s">
        <v>85</v>
      </c>
      <c r="AC55" s="5">
        <v>1</v>
      </c>
    </row>
    <row r="56" spans="1:29" x14ac:dyDescent="0.3">
      <c r="A56" s="34">
        <v>46274</v>
      </c>
      <c r="B56" s="34">
        <v>46274</v>
      </c>
      <c r="C56" s="5" t="s">
        <v>78</v>
      </c>
      <c r="D56" s="5" t="s">
        <v>79</v>
      </c>
      <c r="E56" s="5" t="s">
        <v>80</v>
      </c>
      <c r="F56" s="5">
        <v>11868</v>
      </c>
      <c r="G56" s="5" t="s">
        <v>245</v>
      </c>
      <c r="H56" s="5" t="s">
        <v>246</v>
      </c>
      <c r="I56" s="5" t="s">
        <v>212</v>
      </c>
      <c r="N56" s="5" t="s">
        <v>247</v>
      </c>
      <c r="O56" s="5">
        <v>864</v>
      </c>
      <c r="P56" s="5">
        <v>883.35</v>
      </c>
      <c r="Q56" s="5">
        <v>845.2</v>
      </c>
      <c r="R56" s="5">
        <v>865.05</v>
      </c>
      <c r="S56" s="5">
        <v>879.5</v>
      </c>
      <c r="T56" s="5">
        <v>868.25</v>
      </c>
      <c r="V56" s="5">
        <v>865.09</v>
      </c>
      <c r="Y56" s="5">
        <v>645891</v>
      </c>
      <c r="Z56" s="5">
        <v>559437264.79999995</v>
      </c>
      <c r="AA56" s="5">
        <v>23314</v>
      </c>
      <c r="AB56" s="5" t="s">
        <v>85</v>
      </c>
      <c r="AC56" s="5">
        <v>1</v>
      </c>
    </row>
    <row r="57" spans="1:29" x14ac:dyDescent="0.3">
      <c r="A57" s="34">
        <v>46274</v>
      </c>
      <c r="B57" s="34">
        <v>46274</v>
      </c>
      <c r="C57" s="5" t="s">
        <v>78</v>
      </c>
      <c r="D57" s="5" t="s">
        <v>79</v>
      </c>
      <c r="E57" s="5" t="s">
        <v>80</v>
      </c>
      <c r="F57" s="5">
        <v>29323</v>
      </c>
      <c r="G57" s="5" t="s">
        <v>248</v>
      </c>
      <c r="H57" s="5" t="s">
        <v>249</v>
      </c>
      <c r="I57" s="5" t="s">
        <v>250</v>
      </c>
      <c r="N57" s="5" t="s">
        <v>251</v>
      </c>
      <c r="O57" s="5">
        <v>1089.05</v>
      </c>
      <c r="P57" s="5">
        <v>1089.05</v>
      </c>
      <c r="Q57" s="5">
        <v>1089</v>
      </c>
      <c r="R57" s="5">
        <v>1089</v>
      </c>
      <c r="S57" s="5">
        <v>1089</v>
      </c>
      <c r="T57" s="5">
        <v>1089</v>
      </c>
      <c r="V57" s="5">
        <v>1089</v>
      </c>
      <c r="Y57" s="5">
        <v>926</v>
      </c>
      <c r="Z57" s="5">
        <v>1008414.05</v>
      </c>
      <c r="AA57" s="5">
        <v>3</v>
      </c>
      <c r="AB57" s="5" t="s">
        <v>85</v>
      </c>
      <c r="AC57" s="5">
        <v>1</v>
      </c>
    </row>
    <row r="58" spans="1:29" x14ac:dyDescent="0.3">
      <c r="A58" s="34">
        <v>46274</v>
      </c>
      <c r="B58" s="34">
        <v>46274</v>
      </c>
      <c r="C58" s="5" t="s">
        <v>78</v>
      </c>
      <c r="D58" s="5" t="s">
        <v>79</v>
      </c>
      <c r="E58" s="5" t="s">
        <v>80</v>
      </c>
      <c r="F58" s="5">
        <v>29312</v>
      </c>
      <c r="G58" s="5" t="s">
        <v>252</v>
      </c>
      <c r="H58" s="5" t="s">
        <v>253</v>
      </c>
      <c r="I58" s="5" t="s">
        <v>254</v>
      </c>
      <c r="N58" s="5" t="s">
        <v>255</v>
      </c>
      <c r="O58" s="5">
        <v>1067</v>
      </c>
      <c r="P58" s="5">
        <v>1067</v>
      </c>
      <c r="Q58" s="5">
        <v>1067</v>
      </c>
      <c r="R58" s="5">
        <v>1067</v>
      </c>
      <c r="S58" s="5">
        <v>1067</v>
      </c>
      <c r="T58" s="5">
        <v>1066.01</v>
      </c>
      <c r="V58" s="5">
        <v>1067</v>
      </c>
      <c r="Y58" s="5">
        <v>250</v>
      </c>
      <c r="Z58" s="5">
        <v>266750</v>
      </c>
      <c r="AA58" s="5">
        <v>1</v>
      </c>
      <c r="AB58" s="5" t="s">
        <v>85</v>
      </c>
      <c r="AC58" s="5">
        <v>1</v>
      </c>
    </row>
    <row r="59" spans="1:29" x14ac:dyDescent="0.3">
      <c r="A59" s="34">
        <v>46274</v>
      </c>
      <c r="B59" s="34">
        <v>46274</v>
      </c>
      <c r="C59" s="5" t="s">
        <v>78</v>
      </c>
      <c r="D59" s="5" t="s">
        <v>79</v>
      </c>
      <c r="E59" s="5" t="s">
        <v>80</v>
      </c>
      <c r="F59" s="5">
        <v>20034</v>
      </c>
      <c r="G59" s="5" t="s">
        <v>256</v>
      </c>
      <c r="H59" s="5" t="s">
        <v>257</v>
      </c>
      <c r="I59" s="5" t="s">
        <v>258</v>
      </c>
      <c r="N59" s="5" t="s">
        <v>259</v>
      </c>
      <c r="O59" s="5">
        <v>1113.3</v>
      </c>
      <c r="P59" s="5">
        <v>1119</v>
      </c>
      <c r="Q59" s="5">
        <v>1112.25</v>
      </c>
      <c r="R59" s="5">
        <v>1118.77</v>
      </c>
      <c r="S59" s="5">
        <v>1118.77</v>
      </c>
      <c r="T59" s="5">
        <v>1115</v>
      </c>
      <c r="V59" s="5">
        <v>1118.77</v>
      </c>
      <c r="Y59" s="5">
        <v>1590</v>
      </c>
      <c r="Z59" s="5">
        <v>1772972.45</v>
      </c>
      <c r="AA59" s="5">
        <v>13</v>
      </c>
      <c r="AB59" s="5" t="s">
        <v>85</v>
      </c>
      <c r="AC59" s="5">
        <v>1</v>
      </c>
    </row>
    <row r="60" spans="1:29" x14ac:dyDescent="0.3">
      <c r="A60" s="34">
        <v>46274</v>
      </c>
      <c r="B60" s="34">
        <v>46274</v>
      </c>
      <c r="C60" s="5" t="s">
        <v>78</v>
      </c>
      <c r="D60" s="5" t="s">
        <v>79</v>
      </c>
      <c r="E60" s="5" t="s">
        <v>80</v>
      </c>
      <c r="F60" s="5">
        <v>19928</v>
      </c>
      <c r="G60" s="5" t="s">
        <v>260</v>
      </c>
      <c r="H60" s="5" t="s">
        <v>261</v>
      </c>
      <c r="I60" s="5" t="s">
        <v>262</v>
      </c>
      <c r="N60" s="5" t="s">
        <v>263</v>
      </c>
      <c r="O60" s="5">
        <v>1120</v>
      </c>
      <c r="P60" s="5">
        <v>1120</v>
      </c>
      <c r="Q60" s="5">
        <v>1118.1500000000001</v>
      </c>
      <c r="R60" s="5">
        <v>1118.1500000000001</v>
      </c>
      <c r="S60" s="5">
        <v>1118.1500000000001</v>
      </c>
      <c r="T60" s="5">
        <v>1124</v>
      </c>
      <c r="V60" s="5">
        <v>1118.1500000000001</v>
      </c>
      <c r="Y60" s="5">
        <v>8</v>
      </c>
      <c r="Z60" s="5">
        <v>8954.4500000000007</v>
      </c>
      <c r="AA60" s="5">
        <v>2</v>
      </c>
      <c r="AB60" s="5" t="s">
        <v>85</v>
      </c>
      <c r="AC60" s="5">
        <v>1</v>
      </c>
    </row>
    <row r="61" spans="1:29" x14ac:dyDescent="0.3">
      <c r="A61" s="34">
        <v>46274</v>
      </c>
      <c r="B61" s="34">
        <v>46274</v>
      </c>
      <c r="C61" s="5" t="s">
        <v>78</v>
      </c>
      <c r="D61" s="5" t="s">
        <v>79</v>
      </c>
      <c r="E61" s="5" t="s">
        <v>80</v>
      </c>
      <c r="F61" s="5">
        <v>19930</v>
      </c>
      <c r="G61" s="5" t="s">
        <v>264</v>
      </c>
      <c r="H61" s="5" t="s">
        <v>265</v>
      </c>
      <c r="I61" s="5" t="s">
        <v>266</v>
      </c>
      <c r="N61" s="5" t="s">
        <v>267</v>
      </c>
      <c r="O61" s="5">
        <v>1137.0999999999999</v>
      </c>
      <c r="P61" s="5">
        <v>1137.0999999999999</v>
      </c>
      <c r="Q61" s="5">
        <v>1131.5</v>
      </c>
      <c r="R61" s="5">
        <v>1134</v>
      </c>
      <c r="S61" s="5">
        <v>1134</v>
      </c>
      <c r="T61" s="5">
        <v>1137.1099999999999</v>
      </c>
      <c r="V61" s="5">
        <v>1134</v>
      </c>
      <c r="Y61" s="5">
        <v>993</v>
      </c>
      <c r="Z61" s="5">
        <v>1125448</v>
      </c>
      <c r="AA61" s="5">
        <v>5</v>
      </c>
      <c r="AB61" s="5" t="s">
        <v>85</v>
      </c>
      <c r="AC61" s="5">
        <v>1</v>
      </c>
    </row>
    <row r="62" spans="1:29" x14ac:dyDescent="0.3">
      <c r="A62" s="34">
        <v>46274</v>
      </c>
      <c r="B62" s="34">
        <v>46274</v>
      </c>
      <c r="C62" s="5" t="s">
        <v>78</v>
      </c>
      <c r="D62" s="5" t="s">
        <v>79</v>
      </c>
      <c r="E62" s="5" t="s">
        <v>80</v>
      </c>
      <c r="F62" s="5">
        <v>20030</v>
      </c>
      <c r="G62" s="5" t="s">
        <v>268</v>
      </c>
      <c r="H62" s="5" t="s">
        <v>269</v>
      </c>
      <c r="I62" s="5" t="s">
        <v>270</v>
      </c>
      <c r="N62" s="5" t="s">
        <v>271</v>
      </c>
      <c r="O62" s="5">
        <v>1128</v>
      </c>
      <c r="P62" s="5">
        <v>1128</v>
      </c>
      <c r="Q62" s="5">
        <v>1125</v>
      </c>
      <c r="R62" s="5">
        <v>1125</v>
      </c>
      <c r="S62" s="5">
        <v>1125</v>
      </c>
      <c r="T62" s="5">
        <v>1130.05</v>
      </c>
      <c r="V62" s="5">
        <v>1125</v>
      </c>
      <c r="Y62" s="5">
        <v>279</v>
      </c>
      <c r="Z62" s="5">
        <v>314120.5</v>
      </c>
      <c r="AA62" s="5">
        <v>7</v>
      </c>
      <c r="AB62" s="5" t="s">
        <v>85</v>
      </c>
      <c r="AC62" s="5">
        <v>1</v>
      </c>
    </row>
    <row r="63" spans="1:29" x14ac:dyDescent="0.3">
      <c r="A63" s="34">
        <v>46274</v>
      </c>
      <c r="B63" s="34">
        <v>46274</v>
      </c>
      <c r="C63" s="5" t="s">
        <v>78</v>
      </c>
      <c r="D63" s="5" t="s">
        <v>79</v>
      </c>
      <c r="E63" s="5" t="s">
        <v>80</v>
      </c>
      <c r="F63" s="5">
        <v>31240</v>
      </c>
      <c r="G63" s="5" t="s">
        <v>272</v>
      </c>
      <c r="H63" s="5" t="s">
        <v>273</v>
      </c>
      <c r="I63" s="5" t="s">
        <v>258</v>
      </c>
      <c r="N63" s="5" t="s">
        <v>274</v>
      </c>
      <c r="O63" s="5">
        <v>1058</v>
      </c>
      <c r="P63" s="5">
        <v>1058</v>
      </c>
      <c r="Q63" s="5">
        <v>1056.05</v>
      </c>
      <c r="R63" s="5">
        <v>1057.72</v>
      </c>
      <c r="S63" s="5">
        <v>1057.95</v>
      </c>
      <c r="T63" s="5">
        <v>1053.01</v>
      </c>
      <c r="V63" s="5">
        <v>1057.72</v>
      </c>
      <c r="Y63" s="5">
        <v>1500</v>
      </c>
      <c r="Z63" s="5">
        <v>1586713</v>
      </c>
      <c r="AA63" s="5">
        <v>7</v>
      </c>
      <c r="AB63" s="5" t="s">
        <v>85</v>
      </c>
      <c r="AC63" s="5">
        <v>1</v>
      </c>
    </row>
    <row r="64" spans="1:29" x14ac:dyDescent="0.3">
      <c r="A64" s="34">
        <v>46274</v>
      </c>
      <c r="B64" s="34">
        <v>46274</v>
      </c>
      <c r="C64" s="5" t="s">
        <v>78</v>
      </c>
      <c r="D64" s="5" t="s">
        <v>79</v>
      </c>
      <c r="E64" s="5" t="s">
        <v>80</v>
      </c>
      <c r="F64" s="5">
        <v>192</v>
      </c>
      <c r="G64" s="5" t="s">
        <v>275</v>
      </c>
      <c r="H64" s="5" t="s">
        <v>276</v>
      </c>
      <c r="I64" s="5" t="s">
        <v>277</v>
      </c>
      <c r="N64" s="5" t="s">
        <v>278</v>
      </c>
      <c r="O64" s="5">
        <v>1122</v>
      </c>
      <c r="P64" s="5">
        <v>1122</v>
      </c>
      <c r="Q64" s="5">
        <v>1115.21</v>
      </c>
      <c r="R64" s="5">
        <v>1115.21</v>
      </c>
      <c r="S64" s="5">
        <v>1115.21</v>
      </c>
      <c r="T64" s="5">
        <v>1120</v>
      </c>
      <c r="V64" s="5">
        <v>1115.21</v>
      </c>
      <c r="Y64" s="5">
        <v>819</v>
      </c>
      <c r="Z64" s="5">
        <v>918429.96</v>
      </c>
      <c r="AA64" s="5">
        <v>11</v>
      </c>
      <c r="AB64" s="5" t="s">
        <v>85</v>
      </c>
      <c r="AC64" s="5">
        <v>1</v>
      </c>
    </row>
    <row r="65" spans="1:29" x14ac:dyDescent="0.3">
      <c r="A65" s="34">
        <v>46274</v>
      </c>
      <c r="B65" s="34">
        <v>46274</v>
      </c>
      <c r="C65" s="5" t="s">
        <v>78</v>
      </c>
      <c r="D65" s="5" t="s">
        <v>79</v>
      </c>
      <c r="E65" s="5" t="s">
        <v>80</v>
      </c>
      <c r="F65" s="5">
        <v>19968</v>
      </c>
      <c r="G65" s="5" t="s">
        <v>279</v>
      </c>
      <c r="H65" s="5" t="s">
        <v>280</v>
      </c>
      <c r="I65" s="5" t="s">
        <v>281</v>
      </c>
      <c r="N65" s="5" t="s">
        <v>282</v>
      </c>
      <c r="O65" s="5">
        <v>1146.99</v>
      </c>
      <c r="P65" s="5">
        <v>1150</v>
      </c>
      <c r="Q65" s="5">
        <v>1137</v>
      </c>
      <c r="R65" s="5">
        <v>1137.1099999999999</v>
      </c>
      <c r="S65" s="5">
        <v>1137.1099999999999</v>
      </c>
      <c r="T65" s="5">
        <v>1134.5</v>
      </c>
      <c r="V65" s="5">
        <v>1137.95</v>
      </c>
      <c r="Y65" s="5">
        <v>1766</v>
      </c>
      <c r="Z65" s="5">
        <v>2023302.1</v>
      </c>
      <c r="AA65" s="5">
        <v>21</v>
      </c>
      <c r="AB65" s="5" t="s">
        <v>85</v>
      </c>
      <c r="AC65" s="5">
        <v>1</v>
      </c>
    </row>
    <row r="66" spans="1:29" x14ac:dyDescent="0.3">
      <c r="A66" s="34">
        <v>46274</v>
      </c>
      <c r="B66" s="34">
        <v>46274</v>
      </c>
      <c r="C66" s="5" t="s">
        <v>78</v>
      </c>
      <c r="D66" s="5" t="s">
        <v>79</v>
      </c>
      <c r="E66" s="5" t="s">
        <v>80</v>
      </c>
      <c r="F66" s="5">
        <v>20058</v>
      </c>
      <c r="G66" s="5" t="s">
        <v>283</v>
      </c>
      <c r="H66" s="5" t="s">
        <v>284</v>
      </c>
      <c r="I66" s="5" t="s">
        <v>250</v>
      </c>
      <c r="N66" s="5" t="s">
        <v>285</v>
      </c>
      <c r="O66" s="5">
        <v>1264.99</v>
      </c>
      <c r="P66" s="5">
        <v>1264.99</v>
      </c>
      <c r="Q66" s="5">
        <v>1264.99</v>
      </c>
      <c r="R66" s="5">
        <v>1264.99</v>
      </c>
      <c r="S66" s="5">
        <v>1264.99</v>
      </c>
      <c r="T66" s="5">
        <v>1269</v>
      </c>
      <c r="V66" s="5">
        <v>1264.99</v>
      </c>
      <c r="Y66" s="5">
        <v>50</v>
      </c>
      <c r="Z66" s="5">
        <v>63249.5</v>
      </c>
      <c r="AA66" s="5">
        <v>6</v>
      </c>
      <c r="AB66" s="5" t="s">
        <v>85</v>
      </c>
      <c r="AC66" s="5">
        <v>1</v>
      </c>
    </row>
    <row r="67" spans="1:29" x14ac:dyDescent="0.3">
      <c r="A67" s="34">
        <v>46274</v>
      </c>
      <c r="B67" s="34">
        <v>46274</v>
      </c>
      <c r="C67" s="5" t="s">
        <v>78</v>
      </c>
      <c r="D67" s="5" t="s">
        <v>79</v>
      </c>
      <c r="E67" s="5" t="s">
        <v>80</v>
      </c>
      <c r="F67" s="5">
        <v>31768</v>
      </c>
      <c r="G67" s="5" t="s">
        <v>286</v>
      </c>
      <c r="H67" s="5" t="s">
        <v>287</v>
      </c>
      <c r="I67" s="5" t="s">
        <v>277</v>
      </c>
      <c r="N67" s="5" t="s">
        <v>288</v>
      </c>
      <c r="O67" s="5">
        <v>1275.1500000000001</v>
      </c>
      <c r="P67" s="5">
        <v>1277</v>
      </c>
      <c r="Q67" s="5">
        <v>1275.1500000000001</v>
      </c>
      <c r="R67" s="5">
        <v>1277</v>
      </c>
      <c r="S67" s="5">
        <v>1277</v>
      </c>
      <c r="T67" s="5">
        <v>1275</v>
      </c>
      <c r="V67" s="5">
        <v>1277.07</v>
      </c>
      <c r="Y67" s="5">
        <v>845</v>
      </c>
      <c r="Z67" s="5">
        <v>1077845</v>
      </c>
      <c r="AA67" s="5">
        <v>9</v>
      </c>
      <c r="AB67" s="5" t="s">
        <v>85</v>
      </c>
      <c r="AC67" s="5">
        <v>1</v>
      </c>
    </row>
    <row r="68" spans="1:29" x14ac:dyDescent="0.3">
      <c r="A68" s="34">
        <v>46274</v>
      </c>
      <c r="B68" s="34">
        <v>46274</v>
      </c>
      <c r="C68" s="5" t="s">
        <v>78</v>
      </c>
      <c r="D68" s="5" t="s">
        <v>79</v>
      </c>
      <c r="E68" s="5" t="s">
        <v>80</v>
      </c>
      <c r="F68" s="5">
        <v>31487</v>
      </c>
      <c r="G68" s="5" t="s">
        <v>289</v>
      </c>
      <c r="H68" s="5" t="s">
        <v>290</v>
      </c>
      <c r="I68" s="5" t="s">
        <v>277</v>
      </c>
      <c r="N68" s="5" t="s">
        <v>291</v>
      </c>
      <c r="O68" s="5">
        <v>1263</v>
      </c>
      <c r="P68" s="5">
        <v>1263</v>
      </c>
      <c r="Q68" s="5">
        <v>1263</v>
      </c>
      <c r="R68" s="5">
        <v>1263</v>
      </c>
      <c r="S68" s="5">
        <v>1263</v>
      </c>
      <c r="T68" s="5">
        <v>1262</v>
      </c>
      <c r="V68" s="5">
        <v>1263</v>
      </c>
      <c r="Y68" s="5">
        <v>50</v>
      </c>
      <c r="Z68" s="5">
        <v>63150</v>
      </c>
      <c r="AA68" s="5">
        <v>1</v>
      </c>
      <c r="AB68" s="5" t="s">
        <v>85</v>
      </c>
      <c r="AC68" s="5">
        <v>1</v>
      </c>
    </row>
    <row r="69" spans="1:29" x14ac:dyDescent="0.3">
      <c r="A69" s="34">
        <v>46274</v>
      </c>
      <c r="B69" s="34">
        <v>46274</v>
      </c>
      <c r="C69" s="5" t="s">
        <v>78</v>
      </c>
      <c r="D69" s="5" t="s">
        <v>79</v>
      </c>
      <c r="E69" s="5" t="s">
        <v>80</v>
      </c>
      <c r="F69" s="5">
        <v>20028</v>
      </c>
      <c r="G69" s="5" t="s">
        <v>292</v>
      </c>
      <c r="H69" s="5" t="s">
        <v>293</v>
      </c>
      <c r="I69" s="5" t="s">
        <v>262</v>
      </c>
      <c r="N69" s="5" t="s">
        <v>294</v>
      </c>
      <c r="O69" s="5">
        <v>1279</v>
      </c>
      <c r="P69" s="5">
        <v>1294</v>
      </c>
      <c r="Q69" s="5">
        <v>1279</v>
      </c>
      <c r="R69" s="5">
        <v>1286</v>
      </c>
      <c r="S69" s="5">
        <v>1286</v>
      </c>
      <c r="T69" s="5">
        <v>1278</v>
      </c>
      <c r="V69" s="5">
        <v>1284.5</v>
      </c>
      <c r="Y69" s="5">
        <v>776</v>
      </c>
      <c r="Z69" s="5">
        <v>996174.4</v>
      </c>
      <c r="AA69" s="5">
        <v>10</v>
      </c>
      <c r="AB69" s="5" t="s">
        <v>85</v>
      </c>
      <c r="AC69" s="5">
        <v>1</v>
      </c>
    </row>
    <row r="70" spans="1:29" x14ac:dyDescent="0.3">
      <c r="A70" s="34">
        <v>46274</v>
      </c>
      <c r="B70" s="34">
        <v>46274</v>
      </c>
      <c r="C70" s="5" t="s">
        <v>78</v>
      </c>
      <c r="D70" s="5" t="s">
        <v>79</v>
      </c>
      <c r="E70" s="5" t="s">
        <v>80</v>
      </c>
      <c r="F70" s="5">
        <v>19970</v>
      </c>
      <c r="G70" s="5" t="s">
        <v>295</v>
      </c>
      <c r="H70" s="5" t="s">
        <v>296</v>
      </c>
      <c r="I70" s="5" t="s">
        <v>297</v>
      </c>
      <c r="N70" s="5" t="s">
        <v>298</v>
      </c>
      <c r="O70" s="5">
        <v>1288.99</v>
      </c>
      <c r="P70" s="5">
        <v>1288.99</v>
      </c>
      <c r="Q70" s="5">
        <v>1272</v>
      </c>
      <c r="R70" s="5">
        <v>1281</v>
      </c>
      <c r="S70" s="5">
        <v>1281</v>
      </c>
      <c r="T70" s="5">
        <v>1288.99</v>
      </c>
      <c r="V70" s="5">
        <v>1284.8</v>
      </c>
      <c r="Y70" s="5">
        <v>453</v>
      </c>
      <c r="Z70" s="5">
        <v>578666.34</v>
      </c>
      <c r="AA70" s="5">
        <v>29</v>
      </c>
      <c r="AB70" s="5" t="s">
        <v>85</v>
      </c>
      <c r="AC70" s="5">
        <v>1</v>
      </c>
    </row>
    <row r="71" spans="1:29" x14ac:dyDescent="0.3">
      <c r="A71" s="34">
        <v>46274</v>
      </c>
      <c r="B71" s="34">
        <v>46274</v>
      </c>
      <c r="C71" s="5" t="s">
        <v>78</v>
      </c>
      <c r="D71" s="5" t="s">
        <v>79</v>
      </c>
      <c r="E71" s="5" t="s">
        <v>80</v>
      </c>
      <c r="F71" s="5">
        <v>759130</v>
      </c>
      <c r="G71" s="5" t="s">
        <v>299</v>
      </c>
      <c r="H71" s="5" t="s">
        <v>300</v>
      </c>
      <c r="I71" s="5" t="s">
        <v>212</v>
      </c>
      <c r="N71" s="5" t="s">
        <v>301</v>
      </c>
      <c r="O71" s="5">
        <v>214.2</v>
      </c>
      <c r="P71" s="5">
        <v>214.2</v>
      </c>
      <c r="Q71" s="5">
        <v>204</v>
      </c>
      <c r="R71" s="5">
        <v>205.71</v>
      </c>
      <c r="S71" s="5">
        <v>207.69</v>
      </c>
      <c r="T71" s="5">
        <v>207.99</v>
      </c>
      <c r="V71" s="5">
        <v>205.71</v>
      </c>
      <c r="Y71" s="5">
        <v>1477</v>
      </c>
      <c r="Z71" s="5">
        <v>306103.39</v>
      </c>
      <c r="AA71" s="5">
        <v>88</v>
      </c>
      <c r="AB71" s="5" t="s">
        <v>85</v>
      </c>
      <c r="AC71" s="5">
        <v>1</v>
      </c>
    </row>
    <row r="72" spans="1:29" x14ac:dyDescent="0.3">
      <c r="A72" s="34">
        <v>46274</v>
      </c>
      <c r="B72" s="34">
        <v>46274</v>
      </c>
      <c r="C72" s="5" t="s">
        <v>78</v>
      </c>
      <c r="D72" s="5" t="s">
        <v>79</v>
      </c>
      <c r="E72" s="5" t="s">
        <v>80</v>
      </c>
      <c r="F72" s="5">
        <v>27016</v>
      </c>
      <c r="G72" s="5" t="s">
        <v>302</v>
      </c>
      <c r="H72" s="5" t="s">
        <v>303</v>
      </c>
      <c r="I72" s="5" t="s">
        <v>234</v>
      </c>
      <c r="N72" s="5" t="s">
        <v>304</v>
      </c>
      <c r="O72" s="5">
        <v>11.52</v>
      </c>
      <c r="P72" s="5">
        <v>11.7</v>
      </c>
      <c r="Q72" s="5">
        <v>11.15</v>
      </c>
      <c r="R72" s="5">
        <v>11.59</v>
      </c>
      <c r="S72" s="5">
        <v>11.5</v>
      </c>
      <c r="T72" s="5">
        <v>11.51</v>
      </c>
      <c r="V72" s="5">
        <v>11.6</v>
      </c>
      <c r="Y72" s="5">
        <v>156073</v>
      </c>
      <c r="Z72" s="5">
        <v>1784790.54</v>
      </c>
      <c r="AA72" s="5">
        <v>260</v>
      </c>
      <c r="AB72" s="5" t="s">
        <v>85</v>
      </c>
      <c r="AC72" s="5">
        <v>1</v>
      </c>
    </row>
    <row r="73" spans="1:29" x14ac:dyDescent="0.3">
      <c r="A73" s="34">
        <v>46274</v>
      </c>
      <c r="B73" s="34">
        <v>46274</v>
      </c>
      <c r="C73" s="5" t="s">
        <v>78</v>
      </c>
      <c r="D73" s="5" t="s">
        <v>79</v>
      </c>
      <c r="E73" s="5" t="s">
        <v>80</v>
      </c>
      <c r="F73" s="5">
        <v>762528</v>
      </c>
      <c r="G73" s="5" t="s">
        <v>305</v>
      </c>
      <c r="H73" s="5" t="s">
        <v>306</v>
      </c>
      <c r="I73" s="5" t="s">
        <v>212</v>
      </c>
      <c r="N73" s="5" t="s">
        <v>307</v>
      </c>
      <c r="O73" s="5">
        <v>187.13</v>
      </c>
      <c r="P73" s="5">
        <v>190.8</v>
      </c>
      <c r="Q73" s="5">
        <v>180</v>
      </c>
      <c r="R73" s="5">
        <v>180.73</v>
      </c>
      <c r="S73" s="5">
        <v>180.5</v>
      </c>
      <c r="T73" s="5">
        <v>187.13</v>
      </c>
      <c r="V73" s="5">
        <v>180.73</v>
      </c>
      <c r="Y73" s="5">
        <v>651</v>
      </c>
      <c r="Z73" s="5">
        <v>118748.78</v>
      </c>
      <c r="AA73" s="5">
        <v>27</v>
      </c>
      <c r="AB73" s="5" t="s">
        <v>85</v>
      </c>
      <c r="AC73" s="5">
        <v>1</v>
      </c>
    </row>
    <row r="74" spans="1:29" x14ac:dyDescent="0.3">
      <c r="A74" s="34">
        <v>46274</v>
      </c>
      <c r="B74" s="34">
        <v>46274</v>
      </c>
      <c r="C74" s="5" t="s">
        <v>78</v>
      </c>
      <c r="D74" s="5" t="s">
        <v>79</v>
      </c>
      <c r="E74" s="5" t="s">
        <v>80</v>
      </c>
      <c r="F74" s="5">
        <v>762536</v>
      </c>
      <c r="G74" s="5" t="s">
        <v>308</v>
      </c>
      <c r="H74" s="5" t="s">
        <v>309</v>
      </c>
      <c r="I74" s="5" t="s">
        <v>234</v>
      </c>
      <c r="N74" s="5" t="s">
        <v>310</v>
      </c>
      <c r="O74" s="5">
        <v>57.5</v>
      </c>
      <c r="P74" s="5">
        <v>59.99</v>
      </c>
      <c r="Q74" s="5">
        <v>57.5</v>
      </c>
      <c r="R74" s="5">
        <v>59.99</v>
      </c>
      <c r="S74" s="5">
        <v>59.99</v>
      </c>
      <c r="T74" s="5">
        <v>57.14</v>
      </c>
      <c r="V74" s="5">
        <v>60</v>
      </c>
      <c r="Y74" s="5">
        <v>654859</v>
      </c>
      <c r="Z74" s="5">
        <v>39007854.189999998</v>
      </c>
      <c r="AA74" s="5">
        <v>606</v>
      </c>
      <c r="AB74" s="5" t="s">
        <v>85</v>
      </c>
      <c r="AC74" s="5">
        <v>1</v>
      </c>
    </row>
    <row r="75" spans="1:29" x14ac:dyDescent="0.3">
      <c r="A75" s="34">
        <v>46274</v>
      </c>
      <c r="B75" s="34">
        <v>46274</v>
      </c>
      <c r="C75" s="5" t="s">
        <v>78</v>
      </c>
      <c r="D75" s="5" t="s">
        <v>79</v>
      </c>
      <c r="E75" s="5" t="s">
        <v>80</v>
      </c>
      <c r="F75" s="5">
        <v>15147</v>
      </c>
      <c r="G75" s="5" t="s">
        <v>311</v>
      </c>
      <c r="H75" s="5" t="s">
        <v>312</v>
      </c>
      <c r="I75" s="5" t="s">
        <v>313</v>
      </c>
      <c r="N75" s="5" t="s">
        <v>314</v>
      </c>
      <c r="O75" s="5">
        <v>45.75</v>
      </c>
      <c r="P75" s="5">
        <v>45.75</v>
      </c>
      <c r="Q75" s="5">
        <v>45.75</v>
      </c>
      <c r="R75" s="5">
        <v>45.75</v>
      </c>
      <c r="S75" s="5">
        <v>45.75</v>
      </c>
      <c r="T75" s="5">
        <v>48.15</v>
      </c>
      <c r="V75" s="5">
        <v>45.75</v>
      </c>
      <c r="Y75" s="5">
        <v>2000</v>
      </c>
      <c r="Z75" s="5">
        <v>91500</v>
      </c>
      <c r="AA75" s="5">
        <v>1</v>
      </c>
      <c r="AB75" s="5" t="s">
        <v>85</v>
      </c>
      <c r="AC75" s="5">
        <v>2000</v>
      </c>
    </row>
    <row r="76" spans="1:29" x14ac:dyDescent="0.3">
      <c r="A76" s="34">
        <v>46274</v>
      </c>
      <c r="B76" s="34">
        <v>46274</v>
      </c>
      <c r="C76" s="5" t="s">
        <v>78</v>
      </c>
      <c r="D76" s="5" t="s">
        <v>79</v>
      </c>
      <c r="E76" s="5" t="s">
        <v>80</v>
      </c>
      <c r="F76" s="5">
        <v>762538</v>
      </c>
      <c r="G76" s="5" t="s">
        <v>315</v>
      </c>
      <c r="H76" s="5" t="s">
        <v>316</v>
      </c>
      <c r="I76" s="5" t="s">
        <v>212</v>
      </c>
      <c r="N76" s="5" t="s">
        <v>317</v>
      </c>
      <c r="O76" s="5">
        <v>1747.6</v>
      </c>
      <c r="P76" s="5">
        <v>1750.2</v>
      </c>
      <c r="Q76" s="5">
        <v>1673.5</v>
      </c>
      <c r="R76" s="5">
        <v>1691.6</v>
      </c>
      <c r="S76" s="5">
        <v>1688</v>
      </c>
      <c r="T76" s="5">
        <v>1772.2</v>
      </c>
      <c r="V76" s="5">
        <v>1693.74</v>
      </c>
      <c r="Y76" s="5">
        <v>2791</v>
      </c>
      <c r="Z76" s="5">
        <v>4819724.2</v>
      </c>
      <c r="AA76" s="5">
        <v>350</v>
      </c>
      <c r="AB76" s="5" t="s">
        <v>85</v>
      </c>
      <c r="AC76" s="5">
        <v>1</v>
      </c>
    </row>
    <row r="77" spans="1:29" x14ac:dyDescent="0.3">
      <c r="A77" s="34">
        <v>46274</v>
      </c>
      <c r="B77" s="34">
        <v>46274</v>
      </c>
      <c r="C77" s="5" t="s">
        <v>78</v>
      </c>
      <c r="D77" s="5" t="s">
        <v>79</v>
      </c>
      <c r="E77" s="5" t="s">
        <v>80</v>
      </c>
      <c r="F77" s="5">
        <v>20906</v>
      </c>
      <c r="G77" s="5" t="s">
        <v>318</v>
      </c>
      <c r="H77" s="5" t="s">
        <v>319</v>
      </c>
      <c r="I77" s="5" t="s">
        <v>212</v>
      </c>
      <c r="N77" s="5" t="s">
        <v>320</v>
      </c>
      <c r="O77" s="5">
        <v>16.149999999999999</v>
      </c>
      <c r="P77" s="5">
        <v>16.149999999999999</v>
      </c>
      <c r="Q77" s="5">
        <v>15.2</v>
      </c>
      <c r="R77" s="5">
        <v>15.25</v>
      </c>
      <c r="S77" s="5">
        <v>15.2</v>
      </c>
      <c r="T77" s="5">
        <v>15.8</v>
      </c>
      <c r="V77" s="5">
        <v>15.25</v>
      </c>
      <c r="Y77" s="5">
        <v>425561</v>
      </c>
      <c r="Z77" s="5">
        <v>6545996.5599999996</v>
      </c>
      <c r="AA77" s="5">
        <v>700</v>
      </c>
      <c r="AB77" s="5" t="s">
        <v>85</v>
      </c>
      <c r="AC77" s="5">
        <v>1</v>
      </c>
    </row>
    <row r="78" spans="1:29" x14ac:dyDescent="0.3">
      <c r="A78" s="34">
        <v>46274</v>
      </c>
      <c r="B78" s="34">
        <v>46274</v>
      </c>
      <c r="C78" s="5" t="s">
        <v>78</v>
      </c>
      <c r="D78" s="5" t="s">
        <v>79</v>
      </c>
      <c r="E78" s="5" t="s">
        <v>80</v>
      </c>
      <c r="F78" s="5">
        <v>12533</v>
      </c>
      <c r="G78" s="5" t="s">
        <v>321</v>
      </c>
      <c r="H78" s="5" t="s">
        <v>322</v>
      </c>
      <c r="I78" s="5" t="s">
        <v>212</v>
      </c>
      <c r="N78" s="5" t="s">
        <v>323</v>
      </c>
      <c r="O78" s="5">
        <v>92.97</v>
      </c>
      <c r="P78" s="5">
        <v>92.97</v>
      </c>
      <c r="Q78" s="5">
        <v>91.51</v>
      </c>
      <c r="R78" s="5">
        <v>91.86</v>
      </c>
      <c r="S78" s="5">
        <v>91.86</v>
      </c>
      <c r="T78" s="5">
        <v>92.64</v>
      </c>
      <c r="V78" s="5">
        <v>91.86</v>
      </c>
      <c r="Y78" s="5">
        <v>7328</v>
      </c>
      <c r="Z78" s="5">
        <v>673867.9</v>
      </c>
      <c r="AA78" s="5">
        <v>161</v>
      </c>
      <c r="AB78" s="5" t="s">
        <v>85</v>
      </c>
      <c r="AC78" s="5">
        <v>1</v>
      </c>
    </row>
    <row r="79" spans="1:29" x14ac:dyDescent="0.3">
      <c r="A79" s="34">
        <v>46274</v>
      </c>
      <c r="B79" s="34">
        <v>46274</v>
      </c>
      <c r="C79" s="5" t="s">
        <v>78</v>
      </c>
      <c r="D79" s="5" t="s">
        <v>79</v>
      </c>
      <c r="E79" s="5" t="s">
        <v>80</v>
      </c>
      <c r="F79" s="5">
        <v>23729</v>
      </c>
      <c r="G79" s="5" t="s">
        <v>324</v>
      </c>
      <c r="H79" s="5" t="s">
        <v>325</v>
      </c>
      <c r="I79" s="5" t="s">
        <v>212</v>
      </c>
      <c r="N79" s="5" t="s">
        <v>326</v>
      </c>
      <c r="O79" s="5">
        <v>479.65</v>
      </c>
      <c r="P79" s="5">
        <v>481.65</v>
      </c>
      <c r="Q79" s="5">
        <v>470.05</v>
      </c>
      <c r="R79" s="5">
        <v>471.9</v>
      </c>
      <c r="S79" s="5">
        <v>471.9</v>
      </c>
      <c r="T79" s="5">
        <v>479.65</v>
      </c>
      <c r="V79" s="5">
        <v>471.9</v>
      </c>
      <c r="Y79" s="5">
        <v>230829</v>
      </c>
      <c r="Z79" s="5">
        <v>109393815.55</v>
      </c>
      <c r="AA79" s="5">
        <v>12183</v>
      </c>
      <c r="AB79" s="5" t="s">
        <v>85</v>
      </c>
      <c r="AC79" s="5">
        <v>1</v>
      </c>
    </row>
    <row r="80" spans="1:29" x14ac:dyDescent="0.3">
      <c r="A80" s="34">
        <v>46274</v>
      </c>
      <c r="B80" s="34">
        <v>46274</v>
      </c>
      <c r="C80" s="5" t="s">
        <v>78</v>
      </c>
      <c r="D80" s="5" t="s">
        <v>79</v>
      </c>
      <c r="E80" s="5" t="s">
        <v>80</v>
      </c>
      <c r="F80" s="5">
        <v>757579</v>
      </c>
      <c r="G80" s="5" t="s">
        <v>327</v>
      </c>
      <c r="H80" s="5" t="s">
        <v>328</v>
      </c>
      <c r="I80" s="5" t="s">
        <v>313</v>
      </c>
      <c r="N80" s="5" t="s">
        <v>329</v>
      </c>
      <c r="O80" s="5">
        <v>63</v>
      </c>
      <c r="P80" s="5">
        <v>63</v>
      </c>
      <c r="Q80" s="5">
        <v>63</v>
      </c>
      <c r="R80" s="5">
        <v>63</v>
      </c>
      <c r="S80" s="5">
        <v>63</v>
      </c>
      <c r="T80" s="5">
        <v>64.8</v>
      </c>
      <c r="V80" s="5">
        <v>63</v>
      </c>
      <c r="Y80" s="5">
        <v>3200</v>
      </c>
      <c r="Z80" s="5">
        <v>201600</v>
      </c>
      <c r="AA80" s="5">
        <v>2</v>
      </c>
      <c r="AB80" s="5" t="s">
        <v>85</v>
      </c>
      <c r="AC80" s="5">
        <v>1600</v>
      </c>
    </row>
    <row r="81" spans="1:29" x14ac:dyDescent="0.3">
      <c r="A81" s="34">
        <v>46274</v>
      </c>
      <c r="B81" s="34">
        <v>46274</v>
      </c>
      <c r="C81" s="5" t="s">
        <v>78</v>
      </c>
      <c r="D81" s="5" t="s">
        <v>79</v>
      </c>
      <c r="E81" s="5" t="s">
        <v>80</v>
      </c>
      <c r="F81" s="5">
        <v>235</v>
      </c>
      <c r="G81" s="5" t="s">
        <v>330</v>
      </c>
      <c r="H81" s="5" t="s">
        <v>331</v>
      </c>
      <c r="I81" s="5" t="s">
        <v>212</v>
      </c>
      <c r="N81" s="5" t="s">
        <v>332</v>
      </c>
      <c r="O81" s="5">
        <v>8.48</v>
      </c>
      <c r="P81" s="5">
        <v>8.6</v>
      </c>
      <c r="Q81" s="5">
        <v>8.27</v>
      </c>
      <c r="R81" s="5">
        <v>8.49</v>
      </c>
      <c r="S81" s="5">
        <v>8.5</v>
      </c>
      <c r="T81" s="5">
        <v>8.49</v>
      </c>
      <c r="V81" s="5">
        <v>8.49</v>
      </c>
      <c r="Y81" s="5">
        <v>81772</v>
      </c>
      <c r="Z81" s="5">
        <v>687708</v>
      </c>
      <c r="AA81" s="5">
        <v>382</v>
      </c>
      <c r="AB81" s="5" t="s">
        <v>85</v>
      </c>
      <c r="AC81" s="5">
        <v>1</v>
      </c>
    </row>
    <row r="82" spans="1:29" x14ac:dyDescent="0.3">
      <c r="A82" s="34">
        <v>46274</v>
      </c>
      <c r="B82" s="34">
        <v>46274</v>
      </c>
      <c r="C82" s="5" t="s">
        <v>78</v>
      </c>
      <c r="D82" s="5" t="s">
        <v>79</v>
      </c>
      <c r="E82" s="5" t="s">
        <v>80</v>
      </c>
      <c r="F82" s="5">
        <v>758120</v>
      </c>
      <c r="G82" s="5" t="s">
        <v>333</v>
      </c>
      <c r="H82" s="5" t="s">
        <v>334</v>
      </c>
      <c r="I82" s="5" t="s">
        <v>313</v>
      </c>
      <c r="N82" s="5" t="s">
        <v>335</v>
      </c>
      <c r="O82" s="5">
        <v>134.25</v>
      </c>
      <c r="P82" s="5">
        <v>134.25</v>
      </c>
      <c r="Q82" s="5">
        <v>127</v>
      </c>
      <c r="R82" s="5">
        <v>134.25</v>
      </c>
      <c r="S82" s="5">
        <v>134.25</v>
      </c>
      <c r="T82" s="5">
        <v>127.9</v>
      </c>
      <c r="V82" s="5">
        <v>134.25</v>
      </c>
      <c r="Y82" s="5">
        <v>130800</v>
      </c>
      <c r="Z82" s="5">
        <v>17515380</v>
      </c>
      <c r="AA82" s="5">
        <v>61</v>
      </c>
      <c r="AB82" s="5" t="s">
        <v>85</v>
      </c>
      <c r="AC82" s="5">
        <v>1200</v>
      </c>
    </row>
    <row r="83" spans="1:29" x14ac:dyDescent="0.3">
      <c r="A83" s="34">
        <v>46274</v>
      </c>
      <c r="B83" s="34">
        <v>46274</v>
      </c>
      <c r="C83" s="5" t="s">
        <v>78</v>
      </c>
      <c r="D83" s="5" t="s">
        <v>79</v>
      </c>
      <c r="E83" s="5" t="s">
        <v>80</v>
      </c>
      <c r="F83" s="5">
        <v>5245</v>
      </c>
      <c r="G83" s="5" t="s">
        <v>336</v>
      </c>
      <c r="H83" s="5" t="s">
        <v>337</v>
      </c>
      <c r="I83" s="5" t="s">
        <v>212</v>
      </c>
      <c r="N83" s="5" t="s">
        <v>338</v>
      </c>
      <c r="O83" s="5">
        <v>99.8</v>
      </c>
      <c r="P83" s="5">
        <v>100.4</v>
      </c>
      <c r="Q83" s="5">
        <v>98</v>
      </c>
      <c r="R83" s="5">
        <v>99.98</v>
      </c>
      <c r="S83" s="5">
        <v>99.21</v>
      </c>
      <c r="T83" s="5">
        <v>98.03</v>
      </c>
      <c r="V83" s="5">
        <v>99.97</v>
      </c>
      <c r="Y83" s="5">
        <v>230078</v>
      </c>
      <c r="Z83" s="5">
        <v>22873719.460000001</v>
      </c>
      <c r="AA83" s="5">
        <v>2250</v>
      </c>
      <c r="AB83" s="5" t="s">
        <v>85</v>
      </c>
      <c r="AC83" s="5">
        <v>1</v>
      </c>
    </row>
    <row r="84" spans="1:29" x14ac:dyDescent="0.3">
      <c r="A84" s="34">
        <v>46274</v>
      </c>
      <c r="B84" s="34">
        <v>46274</v>
      </c>
      <c r="C84" s="5" t="s">
        <v>78</v>
      </c>
      <c r="D84" s="5" t="s">
        <v>79</v>
      </c>
      <c r="E84" s="5" t="s">
        <v>80</v>
      </c>
      <c r="F84" s="5">
        <v>761824</v>
      </c>
      <c r="G84" s="5" t="s">
        <v>339</v>
      </c>
      <c r="H84" s="5" t="s">
        <v>340</v>
      </c>
      <c r="I84" s="5" t="s">
        <v>234</v>
      </c>
      <c r="N84" s="5" t="s">
        <v>341</v>
      </c>
      <c r="O84" s="5">
        <v>32.89</v>
      </c>
      <c r="P84" s="5">
        <v>32.89</v>
      </c>
      <c r="Q84" s="5">
        <v>30.02</v>
      </c>
      <c r="R84" s="5">
        <v>31.9</v>
      </c>
      <c r="S84" s="5">
        <v>31.9</v>
      </c>
      <c r="T84" s="5">
        <v>31.59</v>
      </c>
      <c r="V84" s="5">
        <v>31.85</v>
      </c>
      <c r="Y84" s="5">
        <v>14363</v>
      </c>
      <c r="Z84" s="5">
        <v>444318.01</v>
      </c>
      <c r="AA84" s="5">
        <v>58</v>
      </c>
      <c r="AB84" s="5" t="s">
        <v>85</v>
      </c>
      <c r="AC84" s="5">
        <v>1</v>
      </c>
    </row>
    <row r="85" spans="1:29" x14ac:dyDescent="0.3">
      <c r="A85" s="34">
        <v>46274</v>
      </c>
      <c r="B85" s="34">
        <v>46274</v>
      </c>
      <c r="C85" s="5" t="s">
        <v>78</v>
      </c>
      <c r="D85" s="5" t="s">
        <v>79</v>
      </c>
      <c r="E85" s="5" t="s">
        <v>80</v>
      </c>
      <c r="F85" s="5">
        <v>1030</v>
      </c>
      <c r="G85" s="5" t="s">
        <v>342</v>
      </c>
      <c r="H85" s="5" t="s">
        <v>343</v>
      </c>
      <c r="I85" s="5" t="s">
        <v>212</v>
      </c>
      <c r="N85" s="5" t="s">
        <v>344</v>
      </c>
      <c r="O85" s="5">
        <v>125</v>
      </c>
      <c r="P85" s="5">
        <v>141.99</v>
      </c>
      <c r="Q85" s="5">
        <v>123.65</v>
      </c>
      <c r="R85" s="5">
        <v>134.5</v>
      </c>
      <c r="S85" s="5">
        <v>134.5</v>
      </c>
      <c r="T85" s="5">
        <v>125.01</v>
      </c>
      <c r="V85" s="5">
        <v>134.5</v>
      </c>
      <c r="Y85" s="5">
        <v>25451</v>
      </c>
      <c r="Z85" s="5">
        <v>3374520.79</v>
      </c>
      <c r="AA85" s="5">
        <v>819</v>
      </c>
      <c r="AB85" s="5" t="s">
        <v>85</v>
      </c>
      <c r="AC85" s="5">
        <v>1</v>
      </c>
    </row>
    <row r="86" spans="1:29" x14ac:dyDescent="0.3">
      <c r="A86" s="34">
        <v>46274</v>
      </c>
      <c r="B86" s="34">
        <v>46274</v>
      </c>
      <c r="C86" s="5" t="s">
        <v>78</v>
      </c>
      <c r="D86" s="5" t="s">
        <v>79</v>
      </c>
      <c r="E86" s="5" t="s">
        <v>80</v>
      </c>
      <c r="F86" s="5">
        <v>17164</v>
      </c>
      <c r="G86" s="5" t="s">
        <v>345</v>
      </c>
      <c r="H86" s="5" t="s">
        <v>346</v>
      </c>
      <c r="I86" s="5" t="s">
        <v>234</v>
      </c>
      <c r="N86" s="5" t="s">
        <v>347</v>
      </c>
      <c r="O86" s="5">
        <v>51</v>
      </c>
      <c r="P86" s="5">
        <v>52.85</v>
      </c>
      <c r="Q86" s="5">
        <v>50.38</v>
      </c>
      <c r="R86" s="5">
        <v>52.5</v>
      </c>
      <c r="S86" s="5">
        <v>52.5</v>
      </c>
      <c r="T86" s="5">
        <v>51.38</v>
      </c>
      <c r="V86" s="5">
        <v>52.48</v>
      </c>
      <c r="Y86" s="5">
        <v>71037</v>
      </c>
      <c r="Z86" s="5">
        <v>3701598.97</v>
      </c>
      <c r="AA86" s="5">
        <v>241</v>
      </c>
      <c r="AB86" s="5" t="s">
        <v>85</v>
      </c>
      <c r="AC86" s="5">
        <v>1</v>
      </c>
    </row>
    <row r="87" spans="1:29" x14ac:dyDescent="0.3">
      <c r="A87" s="34">
        <v>46274</v>
      </c>
      <c r="B87" s="34">
        <v>46274</v>
      </c>
      <c r="C87" s="5" t="s">
        <v>78</v>
      </c>
      <c r="D87" s="5" t="s">
        <v>79</v>
      </c>
      <c r="E87" s="5" t="s">
        <v>80</v>
      </c>
      <c r="F87" s="5">
        <v>4481</v>
      </c>
      <c r="G87" s="5" t="s">
        <v>348</v>
      </c>
      <c r="H87" s="5" t="s">
        <v>349</v>
      </c>
      <c r="I87" s="5" t="s">
        <v>212</v>
      </c>
      <c r="N87" s="5" t="s">
        <v>350</v>
      </c>
      <c r="O87" s="5">
        <v>421.5</v>
      </c>
      <c r="P87" s="5">
        <v>430.95</v>
      </c>
      <c r="Q87" s="5">
        <v>421.5</v>
      </c>
      <c r="R87" s="5">
        <v>423.45</v>
      </c>
      <c r="S87" s="5">
        <v>421.5</v>
      </c>
      <c r="T87" s="5">
        <v>421.5</v>
      </c>
      <c r="V87" s="5">
        <v>423.48</v>
      </c>
      <c r="Y87" s="5">
        <v>108126</v>
      </c>
      <c r="Z87" s="5">
        <v>45953531.200000003</v>
      </c>
      <c r="AA87" s="5">
        <v>5100</v>
      </c>
      <c r="AB87" s="5" t="s">
        <v>85</v>
      </c>
      <c r="AC87" s="5">
        <v>1</v>
      </c>
    </row>
    <row r="88" spans="1:29" x14ac:dyDescent="0.3">
      <c r="A88" s="34">
        <v>46274</v>
      </c>
      <c r="B88" s="34">
        <v>46274</v>
      </c>
      <c r="C88" s="5" t="s">
        <v>78</v>
      </c>
      <c r="D88" s="5" t="s">
        <v>79</v>
      </c>
      <c r="E88" s="5" t="s">
        <v>80</v>
      </c>
      <c r="F88" s="5">
        <v>7</v>
      </c>
      <c r="G88" s="5" t="s">
        <v>351</v>
      </c>
      <c r="H88" s="5" t="s">
        <v>352</v>
      </c>
      <c r="I88" s="5" t="s">
        <v>212</v>
      </c>
      <c r="N88" s="5" t="s">
        <v>353</v>
      </c>
      <c r="O88" s="5">
        <v>503.7</v>
      </c>
      <c r="P88" s="5">
        <v>503.7</v>
      </c>
      <c r="Q88" s="5">
        <v>494.5</v>
      </c>
      <c r="R88" s="5">
        <v>496.2</v>
      </c>
      <c r="S88" s="5">
        <v>494.5</v>
      </c>
      <c r="T88" s="5">
        <v>503.7</v>
      </c>
      <c r="V88" s="5">
        <v>496.25</v>
      </c>
      <c r="Y88" s="5">
        <v>448671</v>
      </c>
      <c r="Z88" s="5">
        <v>223482460.84999999</v>
      </c>
      <c r="AA88" s="5">
        <v>20451</v>
      </c>
      <c r="AB88" s="5" t="s">
        <v>85</v>
      </c>
      <c r="AC88" s="5">
        <v>1</v>
      </c>
    </row>
    <row r="89" spans="1:29" x14ac:dyDescent="0.3">
      <c r="A89" s="34">
        <v>46274</v>
      </c>
      <c r="B89" s="34">
        <v>46274</v>
      </c>
      <c r="C89" s="5" t="s">
        <v>78</v>
      </c>
      <c r="D89" s="5" t="s">
        <v>79</v>
      </c>
      <c r="E89" s="5" t="s">
        <v>80</v>
      </c>
      <c r="F89" s="5">
        <v>13868</v>
      </c>
      <c r="G89" s="5" t="s">
        <v>354</v>
      </c>
      <c r="H89" s="5" t="s">
        <v>355</v>
      </c>
      <c r="I89" s="5" t="s">
        <v>212</v>
      </c>
      <c r="N89" s="5" t="s">
        <v>356</v>
      </c>
      <c r="O89" s="5">
        <v>866</v>
      </c>
      <c r="P89" s="5">
        <v>873</v>
      </c>
      <c r="Q89" s="5">
        <v>820.5</v>
      </c>
      <c r="R89" s="5">
        <v>829.65</v>
      </c>
      <c r="S89" s="5">
        <v>830</v>
      </c>
      <c r="T89" s="5">
        <v>867</v>
      </c>
      <c r="V89" s="5">
        <v>829.65</v>
      </c>
      <c r="Y89" s="5">
        <v>557734</v>
      </c>
      <c r="Z89" s="5">
        <v>466306804.19999999</v>
      </c>
      <c r="AA89" s="5">
        <v>31105</v>
      </c>
      <c r="AB89" s="5" t="s">
        <v>85</v>
      </c>
      <c r="AC89" s="5">
        <v>1</v>
      </c>
    </row>
    <row r="90" spans="1:29" x14ac:dyDescent="0.3">
      <c r="A90" s="34">
        <v>46274</v>
      </c>
      <c r="B90" s="34">
        <v>46274</v>
      </c>
      <c r="C90" s="5" t="s">
        <v>78</v>
      </c>
      <c r="D90" s="5" t="s">
        <v>79</v>
      </c>
      <c r="E90" s="5" t="s">
        <v>80</v>
      </c>
      <c r="F90" s="5">
        <v>19263</v>
      </c>
      <c r="G90" s="5" t="s">
        <v>357</v>
      </c>
      <c r="H90" s="5" t="s">
        <v>358</v>
      </c>
      <c r="I90" s="5" t="s">
        <v>234</v>
      </c>
      <c r="N90" s="5" t="s">
        <v>359</v>
      </c>
      <c r="O90" s="5">
        <v>536</v>
      </c>
      <c r="P90" s="5">
        <v>536</v>
      </c>
      <c r="Q90" s="5">
        <v>511.85</v>
      </c>
      <c r="R90" s="5">
        <v>512.6</v>
      </c>
      <c r="S90" s="5">
        <v>512</v>
      </c>
      <c r="T90" s="5">
        <v>538.75</v>
      </c>
      <c r="V90" s="5">
        <v>512.73</v>
      </c>
      <c r="Y90" s="5">
        <v>20036</v>
      </c>
      <c r="Z90" s="5">
        <v>10362309</v>
      </c>
      <c r="AA90" s="5">
        <v>540</v>
      </c>
      <c r="AB90" s="5" t="s">
        <v>85</v>
      </c>
      <c r="AC90" s="5">
        <v>1</v>
      </c>
    </row>
    <row r="91" spans="1:29" x14ac:dyDescent="0.3">
      <c r="A91" s="34">
        <v>46274</v>
      </c>
      <c r="B91" s="34">
        <v>46274</v>
      </c>
      <c r="C91" s="5" t="s">
        <v>78</v>
      </c>
      <c r="D91" s="5" t="s">
        <v>79</v>
      </c>
      <c r="E91" s="5" t="s">
        <v>80</v>
      </c>
      <c r="F91" s="5">
        <v>19073</v>
      </c>
      <c r="G91" s="5" t="s">
        <v>360</v>
      </c>
      <c r="H91" s="5" t="s">
        <v>361</v>
      </c>
      <c r="I91" s="5" t="s">
        <v>212</v>
      </c>
      <c r="N91" s="5" t="s">
        <v>362</v>
      </c>
      <c r="O91" s="5">
        <v>142</v>
      </c>
      <c r="P91" s="5">
        <v>143.38</v>
      </c>
      <c r="Q91" s="5">
        <v>141.65</v>
      </c>
      <c r="R91" s="5">
        <v>142.04</v>
      </c>
      <c r="S91" s="5">
        <v>143</v>
      </c>
      <c r="T91" s="5">
        <v>142.16</v>
      </c>
      <c r="V91" s="5">
        <v>142.04</v>
      </c>
      <c r="Y91" s="5">
        <v>7411</v>
      </c>
      <c r="Z91" s="5">
        <v>1053773.3400000001</v>
      </c>
      <c r="AA91" s="5">
        <v>189</v>
      </c>
      <c r="AB91" s="5" t="s">
        <v>85</v>
      </c>
      <c r="AC91" s="5">
        <v>1</v>
      </c>
    </row>
    <row r="92" spans="1:29" x14ac:dyDescent="0.3">
      <c r="A92" s="34">
        <v>46274</v>
      </c>
      <c r="B92" s="34">
        <v>46274</v>
      </c>
      <c r="C92" s="5" t="s">
        <v>78</v>
      </c>
      <c r="D92" s="5" t="s">
        <v>79</v>
      </c>
      <c r="E92" s="5" t="s">
        <v>80</v>
      </c>
      <c r="F92" s="5">
        <v>763800</v>
      </c>
      <c r="G92" s="5" t="s">
        <v>363</v>
      </c>
      <c r="H92" s="5" t="s">
        <v>364</v>
      </c>
      <c r="I92" s="5" t="s">
        <v>212</v>
      </c>
      <c r="N92" s="5" t="s">
        <v>365</v>
      </c>
      <c r="O92" s="5">
        <v>77.260000000000005</v>
      </c>
      <c r="P92" s="5">
        <v>83.88</v>
      </c>
      <c r="Q92" s="5">
        <v>75.099999999999994</v>
      </c>
      <c r="R92" s="5">
        <v>81.459999999999994</v>
      </c>
      <c r="S92" s="5">
        <v>81.19</v>
      </c>
      <c r="T92" s="5">
        <v>76.849999999999994</v>
      </c>
      <c r="V92" s="5">
        <v>81.459999999999994</v>
      </c>
      <c r="Y92" s="5">
        <v>2046144</v>
      </c>
      <c r="Z92" s="5">
        <v>165184380.97</v>
      </c>
      <c r="AA92" s="5">
        <v>8538</v>
      </c>
      <c r="AB92" s="5" t="s">
        <v>85</v>
      </c>
      <c r="AC92" s="5">
        <v>1</v>
      </c>
    </row>
    <row r="93" spans="1:29" x14ac:dyDescent="0.3">
      <c r="A93" s="34">
        <v>46274</v>
      </c>
      <c r="B93" s="34">
        <v>46274</v>
      </c>
      <c r="C93" s="5" t="s">
        <v>78</v>
      </c>
      <c r="D93" s="5" t="s">
        <v>79</v>
      </c>
      <c r="E93" s="5" t="s">
        <v>80</v>
      </c>
      <c r="F93" s="5">
        <v>16961</v>
      </c>
      <c r="G93" s="5" t="s">
        <v>366</v>
      </c>
      <c r="H93" s="5" t="s">
        <v>367</v>
      </c>
      <c r="I93" s="5" t="s">
        <v>313</v>
      </c>
      <c r="N93" s="5" t="s">
        <v>368</v>
      </c>
      <c r="O93" s="5">
        <v>19.7</v>
      </c>
      <c r="P93" s="5">
        <v>19.7</v>
      </c>
      <c r="Q93" s="5">
        <v>19.7</v>
      </c>
      <c r="R93" s="5">
        <v>19.7</v>
      </c>
      <c r="S93" s="5">
        <v>19.7</v>
      </c>
      <c r="T93" s="5">
        <v>19.7</v>
      </c>
      <c r="V93" s="5">
        <v>19.7</v>
      </c>
      <c r="Y93" s="5">
        <v>2000</v>
      </c>
      <c r="Z93" s="5">
        <v>39400</v>
      </c>
      <c r="AA93" s="5">
        <v>1</v>
      </c>
      <c r="AB93" s="5" t="s">
        <v>85</v>
      </c>
      <c r="AC93" s="5">
        <v>2000</v>
      </c>
    </row>
    <row r="94" spans="1:29" x14ac:dyDescent="0.3">
      <c r="A94" s="34">
        <v>46274</v>
      </c>
      <c r="B94" s="34">
        <v>46274</v>
      </c>
      <c r="C94" s="5" t="s">
        <v>78</v>
      </c>
      <c r="D94" s="5" t="s">
        <v>79</v>
      </c>
      <c r="E94" s="5" t="s">
        <v>80</v>
      </c>
      <c r="F94" s="5">
        <v>5385</v>
      </c>
      <c r="G94" s="5" t="s">
        <v>369</v>
      </c>
      <c r="H94" s="5" t="s">
        <v>370</v>
      </c>
      <c r="I94" s="5" t="s">
        <v>212</v>
      </c>
      <c r="N94" s="5" t="s">
        <v>371</v>
      </c>
      <c r="O94" s="5">
        <v>1290</v>
      </c>
      <c r="P94" s="5">
        <v>1305.5</v>
      </c>
      <c r="Q94" s="5">
        <v>1280</v>
      </c>
      <c r="R94" s="5">
        <v>1290.3</v>
      </c>
      <c r="S94" s="5">
        <v>1287</v>
      </c>
      <c r="T94" s="5">
        <v>1293.5</v>
      </c>
      <c r="V94" s="5">
        <v>1290.73</v>
      </c>
      <c r="Y94" s="5">
        <v>80715</v>
      </c>
      <c r="Z94" s="5">
        <v>104368496.59999999</v>
      </c>
      <c r="AA94" s="5">
        <v>11182</v>
      </c>
      <c r="AB94" s="5" t="s">
        <v>85</v>
      </c>
      <c r="AC94" s="5">
        <v>1</v>
      </c>
    </row>
    <row r="95" spans="1:29" x14ac:dyDescent="0.3">
      <c r="A95" s="34">
        <v>46274</v>
      </c>
      <c r="B95" s="34">
        <v>46274</v>
      </c>
      <c r="C95" s="5" t="s">
        <v>78</v>
      </c>
      <c r="D95" s="5" t="s">
        <v>79</v>
      </c>
      <c r="E95" s="5" t="s">
        <v>80</v>
      </c>
      <c r="F95" s="5">
        <v>7759</v>
      </c>
      <c r="G95" s="5" t="s">
        <v>372</v>
      </c>
      <c r="H95" s="5" t="s">
        <v>373</v>
      </c>
      <c r="I95" s="5" t="s">
        <v>234</v>
      </c>
      <c r="N95" s="5" t="s">
        <v>374</v>
      </c>
      <c r="O95" s="5">
        <v>14.55</v>
      </c>
      <c r="P95" s="5">
        <v>14.81</v>
      </c>
      <c r="Q95" s="5">
        <v>14.26</v>
      </c>
      <c r="R95" s="5">
        <v>14.72</v>
      </c>
      <c r="S95" s="5">
        <v>14.8</v>
      </c>
      <c r="T95" s="5">
        <v>14.55</v>
      </c>
      <c r="V95" s="5">
        <v>14.72</v>
      </c>
      <c r="Y95" s="5">
        <v>15902</v>
      </c>
      <c r="Z95" s="5">
        <v>231735.15</v>
      </c>
      <c r="AA95" s="5">
        <v>125</v>
      </c>
      <c r="AB95" s="5" t="s">
        <v>85</v>
      </c>
      <c r="AC95" s="5">
        <v>1</v>
      </c>
    </row>
    <row r="96" spans="1:29" x14ac:dyDescent="0.3">
      <c r="A96" s="34">
        <v>46274</v>
      </c>
      <c r="B96" s="34">
        <v>46274</v>
      </c>
      <c r="C96" s="5" t="s">
        <v>78</v>
      </c>
      <c r="D96" s="5" t="s">
        <v>79</v>
      </c>
      <c r="E96" s="5" t="s">
        <v>80</v>
      </c>
      <c r="F96" s="5">
        <v>762523</v>
      </c>
      <c r="G96" s="5" t="s">
        <v>375</v>
      </c>
      <c r="H96" s="5" t="s">
        <v>376</v>
      </c>
      <c r="I96" s="5" t="s">
        <v>212</v>
      </c>
      <c r="N96" s="5" t="s">
        <v>377</v>
      </c>
      <c r="O96" s="5">
        <v>27.77</v>
      </c>
      <c r="P96" s="5">
        <v>29</v>
      </c>
      <c r="Q96" s="5">
        <v>27.5</v>
      </c>
      <c r="R96" s="5">
        <v>27.99</v>
      </c>
      <c r="S96" s="5">
        <v>27.97</v>
      </c>
      <c r="T96" s="5">
        <v>27.77</v>
      </c>
      <c r="V96" s="5">
        <v>27.99</v>
      </c>
      <c r="Y96" s="5">
        <v>6468</v>
      </c>
      <c r="Z96" s="5">
        <v>181360.7</v>
      </c>
      <c r="AA96" s="5">
        <v>128</v>
      </c>
      <c r="AB96" s="5" t="s">
        <v>85</v>
      </c>
      <c r="AC96" s="5">
        <v>1</v>
      </c>
    </row>
    <row r="97" spans="1:29" x14ac:dyDescent="0.3">
      <c r="A97" s="34">
        <v>46274</v>
      </c>
      <c r="B97" s="34">
        <v>46274</v>
      </c>
      <c r="C97" s="5" t="s">
        <v>78</v>
      </c>
      <c r="D97" s="5" t="s">
        <v>79</v>
      </c>
      <c r="E97" s="5" t="s">
        <v>80</v>
      </c>
      <c r="F97" s="5">
        <v>13288</v>
      </c>
      <c r="G97" s="5" t="s">
        <v>378</v>
      </c>
      <c r="H97" s="5" t="s">
        <v>379</v>
      </c>
      <c r="I97" s="5" t="s">
        <v>212</v>
      </c>
      <c r="N97" s="5" t="s">
        <v>380</v>
      </c>
      <c r="O97" s="5">
        <v>201.74</v>
      </c>
      <c r="P97" s="5">
        <v>204.4</v>
      </c>
      <c r="Q97" s="5">
        <v>201.05</v>
      </c>
      <c r="R97" s="5">
        <v>201.21</v>
      </c>
      <c r="S97" s="5">
        <v>201.1</v>
      </c>
      <c r="T97" s="5">
        <v>201.16</v>
      </c>
      <c r="V97" s="5">
        <v>201.21</v>
      </c>
      <c r="Y97" s="5">
        <v>4021</v>
      </c>
      <c r="Z97" s="5">
        <v>812070.49</v>
      </c>
      <c r="AA97" s="5">
        <v>100</v>
      </c>
      <c r="AB97" s="5" t="s">
        <v>85</v>
      </c>
      <c r="AC97" s="5">
        <v>1</v>
      </c>
    </row>
    <row r="98" spans="1:29" x14ac:dyDescent="0.3">
      <c r="A98" s="34">
        <v>46274</v>
      </c>
      <c r="B98" s="34">
        <v>46274</v>
      </c>
      <c r="C98" s="5" t="s">
        <v>78</v>
      </c>
      <c r="D98" s="5" t="s">
        <v>79</v>
      </c>
      <c r="E98" s="5" t="s">
        <v>80</v>
      </c>
      <c r="F98" s="5">
        <v>13</v>
      </c>
      <c r="G98" s="5" t="s">
        <v>381</v>
      </c>
      <c r="H98" s="5" t="s">
        <v>382</v>
      </c>
      <c r="I98" s="5" t="s">
        <v>212</v>
      </c>
      <c r="N98" s="5" t="s">
        <v>383</v>
      </c>
      <c r="O98" s="5">
        <v>7377</v>
      </c>
      <c r="P98" s="5">
        <v>7480</v>
      </c>
      <c r="Q98" s="5">
        <v>7361</v>
      </c>
      <c r="R98" s="5">
        <v>7401.5</v>
      </c>
      <c r="S98" s="5">
        <v>7401.5</v>
      </c>
      <c r="T98" s="5">
        <v>7387</v>
      </c>
      <c r="V98" s="5">
        <v>7401.5</v>
      </c>
      <c r="Y98" s="5">
        <v>309539</v>
      </c>
      <c r="Z98" s="5">
        <v>2291499659</v>
      </c>
      <c r="AA98" s="5">
        <v>30555</v>
      </c>
      <c r="AB98" s="5" t="s">
        <v>85</v>
      </c>
      <c r="AC98" s="5">
        <v>1</v>
      </c>
    </row>
    <row r="99" spans="1:29" x14ac:dyDescent="0.3">
      <c r="A99" s="34">
        <v>46274</v>
      </c>
      <c r="B99" s="34">
        <v>46274</v>
      </c>
      <c r="C99" s="5" t="s">
        <v>78</v>
      </c>
      <c r="D99" s="5" t="s">
        <v>79</v>
      </c>
      <c r="E99" s="5" t="s">
        <v>80</v>
      </c>
      <c r="F99" s="5">
        <v>17903</v>
      </c>
      <c r="G99" s="5" t="s">
        <v>384</v>
      </c>
      <c r="H99" s="5" t="s">
        <v>385</v>
      </c>
      <c r="I99" s="5" t="s">
        <v>212</v>
      </c>
      <c r="N99" s="5" t="s">
        <v>386</v>
      </c>
      <c r="O99" s="5">
        <v>25555</v>
      </c>
      <c r="P99" s="5">
        <v>25705</v>
      </c>
      <c r="Q99" s="5">
        <v>25190</v>
      </c>
      <c r="R99" s="5">
        <v>25225</v>
      </c>
      <c r="S99" s="5">
        <v>25245</v>
      </c>
      <c r="T99" s="5">
        <v>25555</v>
      </c>
      <c r="V99" s="5">
        <v>25224.65</v>
      </c>
      <c r="Y99" s="5">
        <v>6053</v>
      </c>
      <c r="Z99" s="5">
        <v>153494775</v>
      </c>
      <c r="AA99" s="5">
        <v>3013</v>
      </c>
      <c r="AB99" s="5" t="s">
        <v>85</v>
      </c>
      <c r="AC99" s="5">
        <v>1</v>
      </c>
    </row>
    <row r="100" spans="1:29" x14ac:dyDescent="0.3">
      <c r="A100" s="34">
        <v>46274</v>
      </c>
      <c r="B100" s="34">
        <v>46274</v>
      </c>
      <c r="C100" s="5" t="s">
        <v>78</v>
      </c>
      <c r="D100" s="5" t="s">
        <v>79</v>
      </c>
      <c r="E100" s="5" t="s">
        <v>80</v>
      </c>
      <c r="F100" s="5">
        <v>755941</v>
      </c>
      <c r="G100" s="5" t="s">
        <v>387</v>
      </c>
      <c r="H100" s="5" t="s">
        <v>388</v>
      </c>
      <c r="I100" s="5" t="s">
        <v>258</v>
      </c>
      <c r="N100" s="5" t="s">
        <v>389</v>
      </c>
      <c r="O100" s="5">
        <v>1071.99</v>
      </c>
      <c r="P100" s="5">
        <v>1071.99</v>
      </c>
      <c r="Q100" s="5">
        <v>1071.99</v>
      </c>
      <c r="R100" s="5">
        <v>1071.99</v>
      </c>
      <c r="S100" s="5">
        <v>1071.99</v>
      </c>
      <c r="T100" s="5">
        <v>1067</v>
      </c>
      <c r="V100" s="5">
        <v>1072</v>
      </c>
      <c r="Y100" s="5">
        <v>20</v>
      </c>
      <c r="Z100" s="5">
        <v>21439.8</v>
      </c>
      <c r="AA100" s="5">
        <v>1</v>
      </c>
      <c r="AB100" s="5" t="s">
        <v>85</v>
      </c>
      <c r="AC100" s="5">
        <v>1</v>
      </c>
    </row>
    <row r="101" spans="1:29" x14ac:dyDescent="0.3">
      <c r="A101" s="34">
        <v>46274</v>
      </c>
      <c r="B101" s="34">
        <v>46274</v>
      </c>
      <c r="C101" s="5" t="s">
        <v>78</v>
      </c>
      <c r="D101" s="5" t="s">
        <v>79</v>
      </c>
      <c r="E101" s="5" t="s">
        <v>80</v>
      </c>
      <c r="F101" s="5">
        <v>765466</v>
      </c>
      <c r="G101" s="5" t="s">
        <v>390</v>
      </c>
      <c r="H101" s="5" t="s">
        <v>391</v>
      </c>
      <c r="I101" s="5" t="s">
        <v>392</v>
      </c>
      <c r="N101" s="5" t="s">
        <v>393</v>
      </c>
      <c r="O101" s="5">
        <v>69.3</v>
      </c>
      <c r="P101" s="5">
        <v>69.3</v>
      </c>
      <c r="Q101" s="5">
        <v>69.3</v>
      </c>
      <c r="R101" s="5">
        <v>69.3</v>
      </c>
      <c r="S101" s="5">
        <v>69.3</v>
      </c>
      <c r="T101" s="5">
        <v>72.900000000000006</v>
      </c>
      <c r="V101" s="5">
        <v>69.3</v>
      </c>
      <c r="Y101" s="5">
        <v>7200</v>
      </c>
      <c r="Z101" s="5">
        <v>498960</v>
      </c>
      <c r="AA101" s="5">
        <v>6</v>
      </c>
      <c r="AB101" s="5" t="s">
        <v>85</v>
      </c>
      <c r="AC101" s="5">
        <v>1200</v>
      </c>
    </row>
    <row r="102" spans="1:29" x14ac:dyDescent="0.3">
      <c r="A102" s="34">
        <v>46274</v>
      </c>
      <c r="B102" s="34">
        <v>46274</v>
      </c>
      <c r="C102" s="5" t="s">
        <v>78</v>
      </c>
      <c r="D102" s="5" t="s">
        <v>79</v>
      </c>
      <c r="E102" s="5" t="s">
        <v>80</v>
      </c>
      <c r="F102" s="5">
        <v>27284</v>
      </c>
      <c r="G102" s="5" t="s">
        <v>394</v>
      </c>
      <c r="H102" s="5" t="s">
        <v>395</v>
      </c>
      <c r="I102" s="5" t="s">
        <v>313</v>
      </c>
      <c r="N102" s="5" t="s">
        <v>396</v>
      </c>
      <c r="O102" s="5">
        <v>24.9</v>
      </c>
      <c r="P102" s="5">
        <v>25</v>
      </c>
      <c r="Q102" s="5">
        <v>24.5</v>
      </c>
      <c r="R102" s="5">
        <v>24.5</v>
      </c>
      <c r="S102" s="5">
        <v>24.5</v>
      </c>
      <c r="T102" s="5">
        <v>24</v>
      </c>
      <c r="V102" s="5">
        <v>24.5</v>
      </c>
      <c r="Y102" s="5">
        <v>8000</v>
      </c>
      <c r="Z102" s="5">
        <v>197680</v>
      </c>
      <c r="AA102" s="5">
        <v>5</v>
      </c>
      <c r="AB102" s="5" t="s">
        <v>85</v>
      </c>
      <c r="AC102" s="5">
        <v>1600</v>
      </c>
    </row>
    <row r="103" spans="1:29" x14ac:dyDescent="0.3">
      <c r="A103" s="34">
        <v>46274</v>
      </c>
      <c r="B103" s="34">
        <v>46274</v>
      </c>
      <c r="C103" s="5" t="s">
        <v>78</v>
      </c>
      <c r="D103" s="5" t="s">
        <v>79</v>
      </c>
      <c r="E103" s="5" t="s">
        <v>80</v>
      </c>
      <c r="F103" s="5">
        <v>5551</v>
      </c>
      <c r="G103" s="5" t="s">
        <v>397</v>
      </c>
      <c r="H103" s="5" t="s">
        <v>398</v>
      </c>
      <c r="I103" s="5" t="s">
        <v>234</v>
      </c>
      <c r="N103" s="5" t="s">
        <v>399</v>
      </c>
      <c r="O103" s="5">
        <v>53.66</v>
      </c>
      <c r="P103" s="5">
        <v>53.7</v>
      </c>
      <c r="Q103" s="5">
        <v>53.66</v>
      </c>
      <c r="R103" s="5">
        <v>53.7</v>
      </c>
      <c r="S103" s="5">
        <v>53.7</v>
      </c>
      <c r="T103" s="5">
        <v>54.75</v>
      </c>
      <c r="V103" s="5">
        <v>53.7</v>
      </c>
      <c r="Y103" s="5">
        <v>18</v>
      </c>
      <c r="Z103" s="5">
        <v>966.12</v>
      </c>
      <c r="AA103" s="5">
        <v>3</v>
      </c>
      <c r="AB103" s="5" t="s">
        <v>85</v>
      </c>
      <c r="AC103" s="5">
        <v>1</v>
      </c>
    </row>
    <row r="104" spans="1:29" x14ac:dyDescent="0.3">
      <c r="A104" s="34">
        <v>46274</v>
      </c>
      <c r="B104" s="34">
        <v>46274</v>
      </c>
      <c r="C104" s="5" t="s">
        <v>78</v>
      </c>
      <c r="D104" s="5" t="s">
        <v>79</v>
      </c>
      <c r="E104" s="5" t="s">
        <v>80</v>
      </c>
      <c r="F104" s="5">
        <v>23783</v>
      </c>
      <c r="G104" s="5" t="s">
        <v>400</v>
      </c>
      <c r="H104" s="5" t="s">
        <v>401</v>
      </c>
      <c r="I104" s="5" t="s">
        <v>313</v>
      </c>
      <c r="N104" s="5" t="s">
        <v>402</v>
      </c>
      <c r="O104" s="5">
        <v>323.05</v>
      </c>
      <c r="P104" s="5">
        <v>336.4</v>
      </c>
      <c r="Q104" s="5">
        <v>315</v>
      </c>
      <c r="R104" s="5">
        <v>320.14999999999998</v>
      </c>
      <c r="S104" s="5">
        <v>324</v>
      </c>
      <c r="T104" s="5">
        <v>330.7</v>
      </c>
      <c r="V104" s="5">
        <v>320.14999999999998</v>
      </c>
      <c r="Y104" s="5">
        <v>66000</v>
      </c>
      <c r="Z104" s="5">
        <v>21433325</v>
      </c>
      <c r="AA104" s="5">
        <v>123</v>
      </c>
      <c r="AB104" s="5" t="s">
        <v>85</v>
      </c>
      <c r="AC104" s="5">
        <v>500</v>
      </c>
    </row>
    <row r="105" spans="1:29" x14ac:dyDescent="0.3">
      <c r="A105" s="34">
        <v>46274</v>
      </c>
      <c r="B105" s="34">
        <v>46274</v>
      </c>
      <c r="C105" s="5" t="s">
        <v>78</v>
      </c>
      <c r="D105" s="5" t="s">
        <v>79</v>
      </c>
      <c r="E105" s="5" t="s">
        <v>80</v>
      </c>
      <c r="F105" s="5">
        <v>22</v>
      </c>
      <c r="G105" s="5" t="s">
        <v>403</v>
      </c>
      <c r="H105" s="5" t="s">
        <v>404</v>
      </c>
      <c r="I105" s="5" t="s">
        <v>212</v>
      </c>
      <c r="N105" s="5" t="s">
        <v>405</v>
      </c>
      <c r="O105" s="5">
        <v>1260</v>
      </c>
      <c r="P105" s="5">
        <v>1272</v>
      </c>
      <c r="Q105" s="5">
        <v>1255.0999999999999</v>
      </c>
      <c r="R105" s="5">
        <v>1257.7</v>
      </c>
      <c r="S105" s="5">
        <v>1258</v>
      </c>
      <c r="T105" s="5">
        <v>1262.8</v>
      </c>
      <c r="V105" s="5">
        <v>1257.71</v>
      </c>
      <c r="Y105" s="5">
        <v>122510</v>
      </c>
      <c r="Z105" s="5">
        <v>154566356.19999999</v>
      </c>
      <c r="AA105" s="5">
        <v>8710</v>
      </c>
      <c r="AB105" s="5" t="s">
        <v>85</v>
      </c>
      <c r="AC105" s="5">
        <v>1</v>
      </c>
    </row>
    <row r="106" spans="1:29" x14ac:dyDescent="0.3">
      <c r="A106" s="34">
        <v>46274</v>
      </c>
      <c r="B106" s="34">
        <v>46274</v>
      </c>
      <c r="C106" s="5" t="s">
        <v>78</v>
      </c>
      <c r="D106" s="5" t="s">
        <v>79</v>
      </c>
      <c r="E106" s="5" t="s">
        <v>80</v>
      </c>
      <c r="F106" s="5">
        <v>7053</v>
      </c>
      <c r="G106" s="5" t="s">
        <v>406</v>
      </c>
      <c r="H106" s="5" t="s">
        <v>407</v>
      </c>
      <c r="I106" s="5" t="s">
        <v>212</v>
      </c>
      <c r="N106" s="5" t="s">
        <v>408</v>
      </c>
      <c r="O106" s="5">
        <v>1129</v>
      </c>
      <c r="P106" s="5">
        <v>1131.4000000000001</v>
      </c>
      <c r="Q106" s="5">
        <v>1115</v>
      </c>
      <c r="R106" s="5">
        <v>1119.9000000000001</v>
      </c>
      <c r="S106" s="5">
        <v>1118.7</v>
      </c>
      <c r="T106" s="5">
        <v>1124.4000000000001</v>
      </c>
      <c r="V106" s="5">
        <v>1119.43</v>
      </c>
      <c r="Y106" s="5">
        <v>4845</v>
      </c>
      <c r="Z106" s="5">
        <v>5434084.2000000002</v>
      </c>
      <c r="AA106" s="5">
        <v>631</v>
      </c>
      <c r="AB106" s="5" t="s">
        <v>85</v>
      </c>
      <c r="AC106" s="5">
        <v>1</v>
      </c>
    </row>
    <row r="107" spans="1:29" x14ac:dyDescent="0.3">
      <c r="A107" s="34">
        <v>46274</v>
      </c>
      <c r="B107" s="34">
        <v>46274</v>
      </c>
      <c r="C107" s="5" t="s">
        <v>78</v>
      </c>
      <c r="D107" s="5" t="s">
        <v>79</v>
      </c>
      <c r="E107" s="5" t="s">
        <v>80</v>
      </c>
      <c r="F107" s="5">
        <v>20488</v>
      </c>
      <c r="G107" s="5" t="s">
        <v>409</v>
      </c>
      <c r="H107" s="5" t="s">
        <v>410</v>
      </c>
      <c r="I107" s="5" t="s">
        <v>313</v>
      </c>
      <c r="N107" s="5" t="s">
        <v>411</v>
      </c>
      <c r="O107" s="5">
        <v>653.79999999999995</v>
      </c>
      <c r="P107" s="5">
        <v>699</v>
      </c>
      <c r="Q107" s="5">
        <v>646.29999999999995</v>
      </c>
      <c r="R107" s="5">
        <v>694.05</v>
      </c>
      <c r="S107" s="5">
        <v>697</v>
      </c>
      <c r="T107" s="5">
        <v>642.95000000000005</v>
      </c>
      <c r="V107" s="5">
        <v>694.05</v>
      </c>
      <c r="Y107" s="5">
        <v>161500</v>
      </c>
      <c r="Z107" s="5">
        <v>109374100</v>
      </c>
      <c r="AA107" s="5">
        <v>266</v>
      </c>
      <c r="AB107" s="5" t="s">
        <v>85</v>
      </c>
      <c r="AC107" s="5">
        <v>500</v>
      </c>
    </row>
    <row r="108" spans="1:29" x14ac:dyDescent="0.3">
      <c r="A108" s="34">
        <v>46274</v>
      </c>
      <c r="B108" s="34">
        <v>46274</v>
      </c>
      <c r="C108" s="5" t="s">
        <v>78</v>
      </c>
      <c r="D108" s="5" t="s">
        <v>79</v>
      </c>
      <c r="E108" s="5" t="s">
        <v>80</v>
      </c>
      <c r="F108" s="5">
        <v>757024</v>
      </c>
      <c r="G108" s="5" t="s">
        <v>412</v>
      </c>
      <c r="H108" s="5" t="s">
        <v>413</v>
      </c>
      <c r="I108" s="5" t="s">
        <v>392</v>
      </c>
      <c r="N108" s="5" t="s">
        <v>414</v>
      </c>
      <c r="O108" s="5">
        <v>205</v>
      </c>
      <c r="P108" s="5">
        <v>210</v>
      </c>
      <c r="Q108" s="5">
        <v>201</v>
      </c>
      <c r="R108" s="5">
        <v>202</v>
      </c>
      <c r="S108" s="5">
        <v>202</v>
      </c>
      <c r="T108" s="5">
        <v>210</v>
      </c>
      <c r="V108" s="5">
        <v>202</v>
      </c>
      <c r="Y108" s="5">
        <v>8400</v>
      </c>
      <c r="Z108" s="5">
        <v>1718400</v>
      </c>
      <c r="AA108" s="5">
        <v>7</v>
      </c>
      <c r="AB108" s="5" t="s">
        <v>85</v>
      </c>
      <c r="AC108" s="5">
        <v>1200</v>
      </c>
    </row>
    <row r="109" spans="1:29" x14ac:dyDescent="0.3">
      <c r="A109" s="34">
        <v>46274</v>
      </c>
      <c r="B109" s="34">
        <v>46274</v>
      </c>
      <c r="C109" s="5" t="s">
        <v>78</v>
      </c>
      <c r="D109" s="5" t="s">
        <v>79</v>
      </c>
      <c r="E109" s="5" t="s">
        <v>80</v>
      </c>
      <c r="F109" s="5">
        <v>1472</v>
      </c>
      <c r="G109" s="5" t="s">
        <v>415</v>
      </c>
      <c r="H109" s="5" t="s">
        <v>416</v>
      </c>
      <c r="I109" s="5" t="s">
        <v>234</v>
      </c>
      <c r="N109" s="5" t="s">
        <v>417</v>
      </c>
      <c r="O109" s="5">
        <v>4.16</v>
      </c>
      <c r="P109" s="5">
        <v>4.3899999999999997</v>
      </c>
      <c r="Q109" s="5">
        <v>4.16</v>
      </c>
      <c r="R109" s="5">
        <v>4.28</v>
      </c>
      <c r="S109" s="5">
        <v>4.32</v>
      </c>
      <c r="T109" s="5">
        <v>4.29</v>
      </c>
      <c r="V109" s="5">
        <v>4.28</v>
      </c>
      <c r="Y109" s="5">
        <v>25806</v>
      </c>
      <c r="Z109" s="5">
        <v>110483.01</v>
      </c>
      <c r="AA109" s="5">
        <v>113</v>
      </c>
      <c r="AB109" s="5" t="s">
        <v>85</v>
      </c>
      <c r="AC109" s="5">
        <v>1</v>
      </c>
    </row>
    <row r="110" spans="1:29" x14ac:dyDescent="0.3">
      <c r="A110" s="34">
        <v>46274</v>
      </c>
      <c r="B110" s="34">
        <v>46274</v>
      </c>
      <c r="C110" s="5" t="s">
        <v>78</v>
      </c>
      <c r="D110" s="5" t="s">
        <v>79</v>
      </c>
      <c r="E110" s="5" t="s">
        <v>80</v>
      </c>
      <c r="F110" s="5">
        <v>11779</v>
      </c>
      <c r="G110" s="5" t="s">
        <v>418</v>
      </c>
      <c r="H110" s="5" t="s">
        <v>419</v>
      </c>
      <c r="I110" s="5" t="s">
        <v>212</v>
      </c>
      <c r="N110" s="5" t="s">
        <v>420</v>
      </c>
      <c r="O110" s="5">
        <v>18.36</v>
      </c>
      <c r="P110" s="5">
        <v>18.36</v>
      </c>
      <c r="Q110" s="5">
        <v>17.21</v>
      </c>
      <c r="R110" s="5">
        <v>17.54</v>
      </c>
      <c r="S110" s="5">
        <v>17.55</v>
      </c>
      <c r="T110" s="5">
        <v>17.37</v>
      </c>
      <c r="V110" s="5">
        <v>17.54</v>
      </c>
      <c r="Y110" s="5">
        <v>442</v>
      </c>
      <c r="Z110" s="5">
        <v>7736.53</v>
      </c>
      <c r="AA110" s="5">
        <v>19</v>
      </c>
      <c r="AB110" s="5" t="s">
        <v>85</v>
      </c>
      <c r="AC110" s="5">
        <v>1</v>
      </c>
    </row>
    <row r="111" spans="1:29" x14ac:dyDescent="0.3">
      <c r="A111" s="34">
        <v>46274</v>
      </c>
      <c r="B111" s="34">
        <v>46274</v>
      </c>
      <c r="C111" s="5" t="s">
        <v>78</v>
      </c>
      <c r="D111" s="5" t="s">
        <v>79</v>
      </c>
      <c r="E111" s="5" t="s">
        <v>80</v>
      </c>
      <c r="F111" s="5">
        <v>761112</v>
      </c>
      <c r="G111" s="5" t="s">
        <v>421</v>
      </c>
      <c r="H111" s="5" t="s">
        <v>422</v>
      </c>
      <c r="I111" s="5" t="s">
        <v>313</v>
      </c>
      <c r="N111" s="5" t="s">
        <v>423</v>
      </c>
      <c r="O111" s="5">
        <v>146</v>
      </c>
      <c r="P111" s="5">
        <v>146</v>
      </c>
      <c r="Q111" s="5">
        <v>146</v>
      </c>
      <c r="R111" s="5">
        <v>146</v>
      </c>
      <c r="S111" s="5">
        <v>146</v>
      </c>
      <c r="T111" s="5">
        <v>147.1</v>
      </c>
      <c r="V111" s="5">
        <v>146</v>
      </c>
      <c r="Y111" s="5">
        <v>1200</v>
      </c>
      <c r="Z111" s="5">
        <v>175200</v>
      </c>
      <c r="AA111" s="5">
        <v>1</v>
      </c>
      <c r="AB111" s="5" t="s">
        <v>85</v>
      </c>
      <c r="AC111" s="5">
        <v>1200</v>
      </c>
    </row>
    <row r="112" spans="1:29" x14ac:dyDescent="0.3">
      <c r="A112" s="34">
        <v>46274</v>
      </c>
      <c r="B112" s="34">
        <v>46274</v>
      </c>
      <c r="C112" s="5" t="s">
        <v>78</v>
      </c>
      <c r="D112" s="5" t="s">
        <v>79</v>
      </c>
      <c r="E112" s="5" t="s">
        <v>80</v>
      </c>
      <c r="F112" s="5">
        <v>27061</v>
      </c>
      <c r="G112" s="5" t="s">
        <v>424</v>
      </c>
      <c r="H112" s="5" t="s">
        <v>425</v>
      </c>
      <c r="I112" s="5" t="s">
        <v>212</v>
      </c>
      <c r="N112" s="5" t="s">
        <v>426</v>
      </c>
      <c r="O112" s="5">
        <v>406</v>
      </c>
      <c r="P112" s="5">
        <v>417</v>
      </c>
      <c r="Q112" s="5">
        <v>401</v>
      </c>
      <c r="R112" s="5">
        <v>401.6</v>
      </c>
      <c r="S112" s="5">
        <v>402</v>
      </c>
      <c r="T112" s="5">
        <v>412.6</v>
      </c>
      <c r="V112" s="5">
        <v>401.62</v>
      </c>
      <c r="Y112" s="5">
        <v>862025</v>
      </c>
      <c r="Z112" s="5">
        <v>351534122.60000002</v>
      </c>
      <c r="AA112" s="5">
        <v>27084</v>
      </c>
      <c r="AB112" s="5" t="s">
        <v>85</v>
      </c>
      <c r="AC112" s="5">
        <v>1</v>
      </c>
    </row>
    <row r="113" spans="1:29" x14ac:dyDescent="0.3">
      <c r="A113" s="34">
        <v>46274</v>
      </c>
      <c r="B113" s="34">
        <v>46274</v>
      </c>
      <c r="C113" s="5" t="s">
        <v>78</v>
      </c>
      <c r="D113" s="5" t="s">
        <v>79</v>
      </c>
      <c r="E113" s="5" t="s">
        <v>80</v>
      </c>
      <c r="F113" s="5">
        <v>13587</v>
      </c>
      <c r="G113" s="5" t="s">
        <v>427</v>
      </c>
      <c r="H113" s="5" t="s">
        <v>428</v>
      </c>
      <c r="I113" s="5" t="s">
        <v>212</v>
      </c>
      <c r="N113" s="5" t="s">
        <v>429</v>
      </c>
      <c r="O113" s="5">
        <v>1122</v>
      </c>
      <c r="P113" s="5">
        <v>1163</v>
      </c>
      <c r="Q113" s="5">
        <v>1120</v>
      </c>
      <c r="R113" s="5">
        <v>1127</v>
      </c>
      <c r="S113" s="5">
        <v>1130.3</v>
      </c>
      <c r="T113" s="5">
        <v>1121.2</v>
      </c>
      <c r="V113" s="5">
        <v>1126.99</v>
      </c>
      <c r="Y113" s="5">
        <v>559419</v>
      </c>
      <c r="Z113" s="5">
        <v>637808700.10000002</v>
      </c>
      <c r="AA113" s="5">
        <v>29931</v>
      </c>
      <c r="AB113" s="5" t="s">
        <v>85</v>
      </c>
      <c r="AC113" s="5">
        <v>1</v>
      </c>
    </row>
    <row r="114" spans="1:29" x14ac:dyDescent="0.3">
      <c r="A114" s="34">
        <v>46274</v>
      </c>
      <c r="B114" s="34">
        <v>46274</v>
      </c>
      <c r="C114" s="5" t="s">
        <v>78</v>
      </c>
      <c r="D114" s="5" t="s">
        <v>79</v>
      </c>
      <c r="E114" s="5" t="s">
        <v>80</v>
      </c>
      <c r="F114" s="5">
        <v>5578</v>
      </c>
      <c r="G114" s="5" t="s">
        <v>430</v>
      </c>
      <c r="H114" s="5" t="s">
        <v>431</v>
      </c>
      <c r="I114" s="5" t="s">
        <v>212</v>
      </c>
      <c r="N114" s="5" t="s">
        <v>432</v>
      </c>
      <c r="O114" s="5">
        <v>3182.1</v>
      </c>
      <c r="P114" s="5">
        <v>3270</v>
      </c>
      <c r="Q114" s="5">
        <v>3181.5</v>
      </c>
      <c r="R114" s="5">
        <v>3241.8</v>
      </c>
      <c r="S114" s="5">
        <v>3245</v>
      </c>
      <c r="T114" s="5">
        <v>3182.1</v>
      </c>
      <c r="V114" s="5">
        <v>3240.45</v>
      </c>
      <c r="Y114" s="5">
        <v>282128</v>
      </c>
      <c r="Z114" s="5">
        <v>910924176.29999995</v>
      </c>
      <c r="AA114" s="5">
        <v>45861</v>
      </c>
      <c r="AB114" s="5" t="s">
        <v>85</v>
      </c>
      <c r="AC114" s="5">
        <v>1</v>
      </c>
    </row>
    <row r="115" spans="1:29" x14ac:dyDescent="0.3">
      <c r="A115" s="34">
        <v>46274</v>
      </c>
      <c r="B115" s="34">
        <v>46274</v>
      </c>
      <c r="C115" s="5" t="s">
        <v>78</v>
      </c>
      <c r="D115" s="5" t="s">
        <v>79</v>
      </c>
      <c r="E115" s="5" t="s">
        <v>80</v>
      </c>
      <c r="F115" s="5">
        <v>10217</v>
      </c>
      <c r="G115" s="5" t="s">
        <v>433</v>
      </c>
      <c r="H115" s="5" t="s">
        <v>434</v>
      </c>
      <c r="I115" s="5" t="s">
        <v>212</v>
      </c>
      <c r="N115" s="5" t="s">
        <v>435</v>
      </c>
      <c r="O115" s="5">
        <v>1406</v>
      </c>
      <c r="P115" s="5">
        <v>1446</v>
      </c>
      <c r="Q115" s="5">
        <v>1396.5</v>
      </c>
      <c r="R115" s="5">
        <v>1423.3</v>
      </c>
      <c r="S115" s="5">
        <v>1423.3</v>
      </c>
      <c r="T115" s="5">
        <v>1407.7</v>
      </c>
      <c r="V115" s="5">
        <v>1423.3</v>
      </c>
      <c r="Y115" s="5">
        <v>1914487</v>
      </c>
      <c r="Z115" s="5">
        <v>2729561194.8000002</v>
      </c>
      <c r="AA115" s="5">
        <v>47689</v>
      </c>
      <c r="AB115" s="5" t="s">
        <v>85</v>
      </c>
      <c r="AC115" s="5">
        <v>1</v>
      </c>
    </row>
    <row r="116" spans="1:29" x14ac:dyDescent="0.3">
      <c r="A116" s="34">
        <v>46274</v>
      </c>
      <c r="B116" s="34">
        <v>46274</v>
      </c>
      <c r="C116" s="5" t="s">
        <v>78</v>
      </c>
      <c r="D116" s="5" t="s">
        <v>79</v>
      </c>
      <c r="E116" s="5" t="s">
        <v>80</v>
      </c>
      <c r="F116" s="5">
        <v>25</v>
      </c>
      <c r="G116" s="5" t="s">
        <v>436</v>
      </c>
      <c r="H116" s="5" t="s">
        <v>437</v>
      </c>
      <c r="I116" s="5" t="s">
        <v>212</v>
      </c>
      <c r="N116" s="5" t="s">
        <v>438</v>
      </c>
      <c r="O116" s="5">
        <v>2959.9</v>
      </c>
      <c r="P116" s="5">
        <v>3142</v>
      </c>
      <c r="Q116" s="5">
        <v>2935.2</v>
      </c>
      <c r="R116" s="5">
        <v>3104.7</v>
      </c>
      <c r="S116" s="5">
        <v>3104.7</v>
      </c>
      <c r="T116" s="5">
        <v>2953.1</v>
      </c>
      <c r="V116" s="5">
        <v>3104.67</v>
      </c>
      <c r="Y116" s="5">
        <v>5320594</v>
      </c>
      <c r="Z116" s="5">
        <v>16406723231.6</v>
      </c>
      <c r="AA116" s="5">
        <v>176097</v>
      </c>
      <c r="AB116" s="5" t="s">
        <v>85</v>
      </c>
      <c r="AC116" s="5">
        <v>1</v>
      </c>
    </row>
    <row r="117" spans="1:29" x14ac:dyDescent="0.3">
      <c r="A117" s="34">
        <v>46274</v>
      </c>
      <c r="B117" s="34">
        <v>46274</v>
      </c>
      <c r="C117" s="5" t="s">
        <v>78</v>
      </c>
      <c r="D117" s="5" t="s">
        <v>79</v>
      </c>
      <c r="E117" s="5" t="s">
        <v>80</v>
      </c>
      <c r="F117" s="5">
        <v>3563</v>
      </c>
      <c r="G117" s="5" t="s">
        <v>439</v>
      </c>
      <c r="H117" s="5" t="s">
        <v>440</v>
      </c>
      <c r="I117" s="5" t="s">
        <v>212</v>
      </c>
      <c r="N117" s="5" t="s">
        <v>441</v>
      </c>
      <c r="O117" s="5">
        <v>1290.5</v>
      </c>
      <c r="P117" s="5">
        <v>1339.7</v>
      </c>
      <c r="Q117" s="5">
        <v>1290</v>
      </c>
      <c r="R117" s="5">
        <v>1315</v>
      </c>
      <c r="S117" s="5">
        <v>1315</v>
      </c>
      <c r="T117" s="5">
        <v>1292</v>
      </c>
      <c r="V117" s="5">
        <v>1314.99</v>
      </c>
      <c r="Y117" s="5">
        <v>2491107</v>
      </c>
      <c r="Z117" s="5">
        <v>3293380263.3000002</v>
      </c>
      <c r="AA117" s="5">
        <v>57152</v>
      </c>
      <c r="AB117" s="5" t="s">
        <v>85</v>
      </c>
      <c r="AC117" s="5">
        <v>1</v>
      </c>
    </row>
    <row r="118" spans="1:29" x14ac:dyDescent="0.3">
      <c r="A118" s="34">
        <v>46274</v>
      </c>
      <c r="B118" s="34">
        <v>46274</v>
      </c>
      <c r="C118" s="5" t="s">
        <v>78</v>
      </c>
      <c r="D118" s="5" t="s">
        <v>79</v>
      </c>
      <c r="E118" s="5" t="s">
        <v>80</v>
      </c>
      <c r="F118" s="5">
        <v>15083</v>
      </c>
      <c r="G118" s="5" t="s">
        <v>442</v>
      </c>
      <c r="H118" s="5" t="s">
        <v>443</v>
      </c>
      <c r="I118" s="5" t="s">
        <v>212</v>
      </c>
      <c r="N118" s="5" t="s">
        <v>444</v>
      </c>
      <c r="O118" s="5">
        <v>1719</v>
      </c>
      <c r="P118" s="5">
        <v>1785.9</v>
      </c>
      <c r="Q118" s="5">
        <v>1706</v>
      </c>
      <c r="R118" s="5">
        <v>1775</v>
      </c>
      <c r="S118" s="5">
        <v>1775</v>
      </c>
      <c r="T118" s="5">
        <v>1710</v>
      </c>
      <c r="V118" s="5">
        <v>1774.96</v>
      </c>
      <c r="Y118" s="5">
        <v>5527528</v>
      </c>
      <c r="Z118" s="5">
        <v>9709370854.5</v>
      </c>
      <c r="AA118" s="5">
        <v>181655</v>
      </c>
      <c r="AB118" s="5" t="s">
        <v>85</v>
      </c>
      <c r="AC118" s="5">
        <v>1</v>
      </c>
    </row>
    <row r="119" spans="1:29" x14ac:dyDescent="0.3">
      <c r="A119" s="34">
        <v>46274</v>
      </c>
      <c r="B119" s="34">
        <v>46274</v>
      </c>
      <c r="C119" s="5" t="s">
        <v>78</v>
      </c>
      <c r="D119" s="5" t="s">
        <v>79</v>
      </c>
      <c r="E119" s="5" t="s">
        <v>80</v>
      </c>
      <c r="F119" s="5">
        <v>17388</v>
      </c>
      <c r="G119" s="5" t="s">
        <v>445</v>
      </c>
      <c r="H119" s="5" t="s">
        <v>446</v>
      </c>
      <c r="I119" s="5" t="s">
        <v>212</v>
      </c>
      <c r="N119" s="5" t="s">
        <v>447</v>
      </c>
      <c r="O119" s="5">
        <v>207.1</v>
      </c>
      <c r="P119" s="5">
        <v>216.1</v>
      </c>
      <c r="Q119" s="5">
        <v>206.5</v>
      </c>
      <c r="R119" s="5">
        <v>214.9</v>
      </c>
      <c r="S119" s="5">
        <v>214.9</v>
      </c>
      <c r="T119" s="5">
        <v>208.4</v>
      </c>
      <c r="V119" s="5">
        <v>214.9</v>
      </c>
      <c r="Y119" s="5">
        <v>33227588</v>
      </c>
      <c r="Z119" s="5">
        <v>7083003088.04</v>
      </c>
      <c r="AA119" s="5">
        <v>141639</v>
      </c>
      <c r="AB119" s="5" t="s">
        <v>85</v>
      </c>
      <c r="AC119" s="5">
        <v>1</v>
      </c>
    </row>
    <row r="120" spans="1:29" x14ac:dyDescent="0.3">
      <c r="A120" s="34">
        <v>46274</v>
      </c>
      <c r="B120" s="34">
        <v>46274</v>
      </c>
      <c r="C120" s="5" t="s">
        <v>78</v>
      </c>
      <c r="D120" s="5" t="s">
        <v>79</v>
      </c>
      <c r="E120" s="5" t="s">
        <v>80</v>
      </c>
      <c r="F120" s="5">
        <v>6066</v>
      </c>
      <c r="G120" s="5" t="s">
        <v>448</v>
      </c>
      <c r="H120" s="5" t="s">
        <v>449</v>
      </c>
      <c r="I120" s="5" t="s">
        <v>212</v>
      </c>
      <c r="N120" s="5" t="s">
        <v>450</v>
      </c>
      <c r="O120" s="5">
        <v>610.9</v>
      </c>
      <c r="P120" s="5">
        <v>624.4</v>
      </c>
      <c r="Q120" s="5">
        <v>608.54999999999995</v>
      </c>
      <c r="R120" s="5">
        <v>612.29999999999995</v>
      </c>
      <c r="S120" s="5">
        <v>612.5</v>
      </c>
      <c r="T120" s="5">
        <v>609.4</v>
      </c>
      <c r="V120" s="5">
        <v>612.29</v>
      </c>
      <c r="Y120" s="5">
        <v>871019</v>
      </c>
      <c r="Z120" s="5">
        <v>537222131.85000002</v>
      </c>
      <c r="AA120" s="5">
        <v>29953</v>
      </c>
      <c r="AB120" s="5" t="s">
        <v>85</v>
      </c>
      <c r="AC120" s="5">
        <v>1</v>
      </c>
    </row>
    <row r="121" spans="1:29" x14ac:dyDescent="0.3">
      <c r="A121" s="34">
        <v>46274</v>
      </c>
      <c r="B121" s="34">
        <v>46274</v>
      </c>
      <c r="C121" s="5" t="s">
        <v>78</v>
      </c>
      <c r="D121" s="5" t="s">
        <v>79</v>
      </c>
      <c r="E121" s="5" t="s">
        <v>80</v>
      </c>
      <c r="F121" s="5">
        <v>764563</v>
      </c>
      <c r="G121" s="5" t="s">
        <v>451</v>
      </c>
      <c r="H121" s="5" t="s">
        <v>452</v>
      </c>
      <c r="I121" s="5" t="s">
        <v>212</v>
      </c>
      <c r="N121" s="5" t="s">
        <v>453</v>
      </c>
      <c r="O121" s="5">
        <v>77</v>
      </c>
      <c r="P121" s="5">
        <v>79</v>
      </c>
      <c r="Q121" s="5">
        <v>77</v>
      </c>
      <c r="R121" s="5">
        <v>79</v>
      </c>
      <c r="S121" s="5">
        <v>79</v>
      </c>
      <c r="T121" s="5">
        <v>79.87</v>
      </c>
      <c r="V121" s="5">
        <v>79</v>
      </c>
      <c r="Y121" s="5">
        <v>41</v>
      </c>
      <c r="Z121" s="5">
        <v>3181</v>
      </c>
      <c r="AA121" s="5">
        <v>7</v>
      </c>
      <c r="AB121" s="5" t="s">
        <v>85</v>
      </c>
      <c r="AC121" s="5">
        <v>1</v>
      </c>
    </row>
    <row r="122" spans="1:29" x14ac:dyDescent="0.3">
      <c r="A122" s="34">
        <v>46274</v>
      </c>
      <c r="B122" s="34">
        <v>46274</v>
      </c>
      <c r="C122" s="5" t="s">
        <v>78</v>
      </c>
      <c r="D122" s="5" t="s">
        <v>79</v>
      </c>
      <c r="E122" s="5" t="s">
        <v>80</v>
      </c>
      <c r="F122" s="5">
        <v>22468</v>
      </c>
      <c r="G122" s="5" t="s">
        <v>454</v>
      </c>
      <c r="H122" s="5" t="s">
        <v>455</v>
      </c>
      <c r="I122" s="5" t="s">
        <v>313</v>
      </c>
      <c r="N122" s="5" t="s">
        <v>456</v>
      </c>
      <c r="O122" s="5">
        <v>42.6</v>
      </c>
      <c r="P122" s="5">
        <v>43.15</v>
      </c>
      <c r="Q122" s="5">
        <v>42.6</v>
      </c>
      <c r="R122" s="5">
        <v>43.1</v>
      </c>
      <c r="S122" s="5">
        <v>43.1</v>
      </c>
      <c r="T122" s="5">
        <v>42.7</v>
      </c>
      <c r="V122" s="5">
        <v>43.1</v>
      </c>
      <c r="Y122" s="5">
        <v>2000</v>
      </c>
      <c r="Z122" s="5">
        <v>86000</v>
      </c>
      <c r="AA122" s="5">
        <v>4</v>
      </c>
      <c r="AB122" s="5" t="s">
        <v>85</v>
      </c>
      <c r="AC122" s="5">
        <v>500</v>
      </c>
    </row>
    <row r="123" spans="1:29" x14ac:dyDescent="0.3">
      <c r="A123" s="34">
        <v>46274</v>
      </c>
      <c r="B123" s="34">
        <v>46274</v>
      </c>
      <c r="C123" s="5" t="s">
        <v>78</v>
      </c>
      <c r="D123" s="5" t="s">
        <v>79</v>
      </c>
      <c r="E123" s="5" t="s">
        <v>80</v>
      </c>
      <c r="F123" s="5">
        <v>19761</v>
      </c>
      <c r="G123" s="5" t="s">
        <v>457</v>
      </c>
      <c r="H123" s="5" t="s">
        <v>458</v>
      </c>
      <c r="I123" s="5" t="s">
        <v>212</v>
      </c>
      <c r="N123" s="5" t="s">
        <v>459</v>
      </c>
      <c r="O123" s="5">
        <v>274.8</v>
      </c>
      <c r="P123" s="5">
        <v>279.64999999999998</v>
      </c>
      <c r="Q123" s="5">
        <v>268.35000000000002</v>
      </c>
      <c r="R123" s="5">
        <v>278.2</v>
      </c>
      <c r="S123" s="5">
        <v>277</v>
      </c>
      <c r="T123" s="5">
        <v>273.7</v>
      </c>
      <c r="V123" s="5">
        <v>278.19</v>
      </c>
      <c r="Y123" s="5">
        <v>212691</v>
      </c>
      <c r="Z123" s="5">
        <v>58317278.25</v>
      </c>
      <c r="AA123" s="5">
        <v>6878</v>
      </c>
      <c r="AB123" s="5" t="s">
        <v>85</v>
      </c>
      <c r="AC123" s="5">
        <v>1</v>
      </c>
    </row>
    <row r="124" spans="1:29" x14ac:dyDescent="0.3">
      <c r="A124" s="34">
        <v>46274</v>
      </c>
      <c r="B124" s="34">
        <v>46274</v>
      </c>
      <c r="C124" s="5" t="s">
        <v>78</v>
      </c>
      <c r="D124" s="5" t="s">
        <v>79</v>
      </c>
      <c r="E124" s="5" t="s">
        <v>80</v>
      </c>
      <c r="F124" s="5">
        <v>763156</v>
      </c>
      <c r="G124" s="5" t="s">
        <v>460</v>
      </c>
      <c r="H124" s="5" t="s">
        <v>461</v>
      </c>
      <c r="I124" s="5" t="s">
        <v>313</v>
      </c>
      <c r="N124" s="5" t="s">
        <v>462</v>
      </c>
      <c r="O124" s="5">
        <v>228.1</v>
      </c>
      <c r="P124" s="5">
        <v>252</v>
      </c>
      <c r="Q124" s="5">
        <v>228</v>
      </c>
      <c r="R124" s="5">
        <v>245.6</v>
      </c>
      <c r="S124" s="5">
        <v>245</v>
      </c>
      <c r="T124" s="5">
        <v>225.05</v>
      </c>
      <c r="V124" s="5">
        <v>245.6</v>
      </c>
      <c r="Y124" s="5">
        <v>442400</v>
      </c>
      <c r="Z124" s="5">
        <v>108005640</v>
      </c>
      <c r="AA124" s="5">
        <v>461</v>
      </c>
      <c r="AB124" s="5" t="s">
        <v>85</v>
      </c>
      <c r="AC124" s="5">
        <v>800</v>
      </c>
    </row>
    <row r="125" spans="1:29" x14ac:dyDescent="0.3">
      <c r="A125" s="34">
        <v>46274</v>
      </c>
      <c r="B125" s="34">
        <v>46274</v>
      </c>
      <c r="C125" s="5" t="s">
        <v>78</v>
      </c>
      <c r="D125" s="5" t="s">
        <v>79</v>
      </c>
      <c r="E125" s="5" t="s">
        <v>80</v>
      </c>
      <c r="F125" s="5">
        <v>6018</v>
      </c>
      <c r="G125" s="5" t="s">
        <v>463</v>
      </c>
      <c r="H125" s="5" t="s">
        <v>464</v>
      </c>
      <c r="I125" s="5" t="s">
        <v>212</v>
      </c>
      <c r="N125" s="5" t="s">
        <v>465</v>
      </c>
      <c r="O125" s="5">
        <v>1035</v>
      </c>
      <c r="P125" s="5">
        <v>1070.3</v>
      </c>
      <c r="Q125" s="5">
        <v>1012</v>
      </c>
      <c r="R125" s="5">
        <v>1066.5</v>
      </c>
      <c r="S125" s="5">
        <v>1064</v>
      </c>
      <c r="T125" s="5">
        <v>1037.8</v>
      </c>
      <c r="V125" s="5">
        <v>1066.48</v>
      </c>
      <c r="Y125" s="5">
        <v>233592</v>
      </c>
      <c r="Z125" s="5">
        <v>243348772.80000001</v>
      </c>
      <c r="AA125" s="5">
        <v>16846</v>
      </c>
      <c r="AB125" s="5" t="s">
        <v>85</v>
      </c>
      <c r="AC125" s="5">
        <v>1</v>
      </c>
    </row>
    <row r="126" spans="1:29" x14ac:dyDescent="0.3">
      <c r="A126" s="34">
        <v>46274</v>
      </c>
      <c r="B126" s="34">
        <v>46274</v>
      </c>
      <c r="C126" s="5" t="s">
        <v>78</v>
      </c>
      <c r="D126" s="5" t="s">
        <v>79</v>
      </c>
      <c r="E126" s="5" t="s">
        <v>80</v>
      </c>
      <c r="F126" s="5">
        <v>21614</v>
      </c>
      <c r="G126" s="5" t="s">
        <v>466</v>
      </c>
      <c r="H126" s="5" t="s">
        <v>467</v>
      </c>
      <c r="I126" s="5" t="s">
        <v>212</v>
      </c>
      <c r="N126" s="5" t="s">
        <v>468</v>
      </c>
      <c r="O126" s="5">
        <v>396.85</v>
      </c>
      <c r="P126" s="5">
        <v>402.05</v>
      </c>
      <c r="Q126" s="5">
        <v>393.55</v>
      </c>
      <c r="R126" s="5">
        <v>400</v>
      </c>
      <c r="S126" s="5">
        <v>400</v>
      </c>
      <c r="T126" s="5">
        <v>396.95</v>
      </c>
      <c r="V126" s="5">
        <v>400</v>
      </c>
      <c r="Y126" s="5">
        <v>2144020</v>
      </c>
      <c r="Z126" s="5">
        <v>855424308.20000005</v>
      </c>
      <c r="AA126" s="5">
        <v>38643</v>
      </c>
      <c r="AB126" s="5" t="s">
        <v>85</v>
      </c>
      <c r="AC126" s="5">
        <v>1</v>
      </c>
    </row>
    <row r="127" spans="1:29" x14ac:dyDescent="0.3">
      <c r="A127" s="34">
        <v>46274</v>
      </c>
      <c r="B127" s="34">
        <v>46274</v>
      </c>
      <c r="C127" s="5" t="s">
        <v>78</v>
      </c>
      <c r="D127" s="5" t="s">
        <v>79</v>
      </c>
      <c r="E127" s="5" t="s">
        <v>80</v>
      </c>
      <c r="F127" s="5">
        <v>30108</v>
      </c>
      <c r="G127" s="5" t="s">
        <v>469</v>
      </c>
      <c r="H127" s="5" t="s">
        <v>470</v>
      </c>
      <c r="I127" s="5" t="s">
        <v>212</v>
      </c>
      <c r="N127" s="5" t="s">
        <v>471</v>
      </c>
      <c r="O127" s="5">
        <v>52.19</v>
      </c>
      <c r="P127" s="5">
        <v>52.22</v>
      </c>
      <c r="Q127" s="5">
        <v>51.23</v>
      </c>
      <c r="R127" s="5">
        <v>51.33</v>
      </c>
      <c r="S127" s="5">
        <v>51.3</v>
      </c>
      <c r="T127" s="5">
        <v>52.24</v>
      </c>
      <c r="V127" s="5">
        <v>51.33</v>
      </c>
      <c r="Y127" s="5">
        <v>2157046</v>
      </c>
      <c r="Z127" s="5">
        <v>111241058.97</v>
      </c>
      <c r="AA127" s="5">
        <v>11326</v>
      </c>
      <c r="AB127" s="5" t="s">
        <v>85</v>
      </c>
      <c r="AC127" s="5">
        <v>1</v>
      </c>
    </row>
    <row r="128" spans="1:29" x14ac:dyDescent="0.3">
      <c r="A128" s="34">
        <v>46274</v>
      </c>
      <c r="B128" s="34">
        <v>46274</v>
      </c>
      <c r="C128" s="5" t="s">
        <v>78</v>
      </c>
      <c r="D128" s="5" t="s">
        <v>79</v>
      </c>
      <c r="E128" s="5" t="s">
        <v>80</v>
      </c>
      <c r="F128" s="5">
        <v>756843</v>
      </c>
      <c r="G128" s="5" t="s">
        <v>472</v>
      </c>
      <c r="H128" s="5" t="s">
        <v>473</v>
      </c>
      <c r="I128" s="5" t="s">
        <v>212</v>
      </c>
      <c r="N128" s="5" t="s">
        <v>474</v>
      </c>
      <c r="O128" s="5">
        <v>84.52</v>
      </c>
      <c r="P128" s="5">
        <v>85.6</v>
      </c>
      <c r="Q128" s="5">
        <v>83.79</v>
      </c>
      <c r="R128" s="5">
        <v>84.26</v>
      </c>
      <c r="S128" s="5">
        <v>84.4</v>
      </c>
      <c r="T128" s="5">
        <v>84.52</v>
      </c>
      <c r="V128" s="5">
        <v>84.26</v>
      </c>
      <c r="Y128" s="5">
        <v>494687</v>
      </c>
      <c r="Z128" s="5">
        <v>41815519.219999999</v>
      </c>
      <c r="AA128" s="5">
        <v>4937</v>
      </c>
      <c r="AB128" s="5" t="s">
        <v>85</v>
      </c>
      <c r="AC128" s="5">
        <v>1</v>
      </c>
    </row>
    <row r="129" spans="1:29" x14ac:dyDescent="0.3">
      <c r="A129" s="34">
        <v>46274</v>
      </c>
      <c r="B129" s="34">
        <v>46274</v>
      </c>
      <c r="C129" s="5" t="s">
        <v>78</v>
      </c>
      <c r="D129" s="5" t="s">
        <v>79</v>
      </c>
      <c r="E129" s="5" t="s">
        <v>80</v>
      </c>
      <c r="F129" s="5">
        <v>15239</v>
      </c>
      <c r="G129" s="5" t="s">
        <v>475</v>
      </c>
      <c r="H129" s="5" t="s">
        <v>476</v>
      </c>
      <c r="I129" s="5" t="s">
        <v>212</v>
      </c>
      <c r="N129" s="5" t="s">
        <v>477</v>
      </c>
      <c r="O129" s="5">
        <v>126</v>
      </c>
      <c r="P129" s="5">
        <v>126.98</v>
      </c>
      <c r="Q129" s="5">
        <v>122.62</v>
      </c>
      <c r="R129" s="5">
        <v>123.25</v>
      </c>
      <c r="S129" s="5">
        <v>123.93</v>
      </c>
      <c r="T129" s="5">
        <v>124.85</v>
      </c>
      <c r="V129" s="5">
        <v>123.23</v>
      </c>
      <c r="Y129" s="5">
        <v>35673</v>
      </c>
      <c r="Z129" s="5">
        <v>4407710.76</v>
      </c>
      <c r="AA129" s="5">
        <v>795</v>
      </c>
      <c r="AB129" s="5" t="s">
        <v>85</v>
      </c>
      <c r="AC129" s="5">
        <v>1</v>
      </c>
    </row>
    <row r="130" spans="1:29" x14ac:dyDescent="0.3">
      <c r="A130" s="34">
        <v>46274</v>
      </c>
      <c r="B130" s="34">
        <v>46274</v>
      </c>
      <c r="C130" s="5" t="s">
        <v>78</v>
      </c>
      <c r="D130" s="5" t="s">
        <v>79</v>
      </c>
      <c r="E130" s="5" t="s">
        <v>80</v>
      </c>
      <c r="F130" s="5">
        <v>625</v>
      </c>
      <c r="G130" s="5" t="s">
        <v>478</v>
      </c>
      <c r="H130" s="5" t="s">
        <v>479</v>
      </c>
      <c r="I130" s="5" t="s">
        <v>212</v>
      </c>
      <c r="N130" s="5" t="s">
        <v>480</v>
      </c>
      <c r="O130" s="5">
        <v>1372</v>
      </c>
      <c r="P130" s="5">
        <v>1372</v>
      </c>
      <c r="Q130" s="5">
        <v>1330</v>
      </c>
      <c r="R130" s="5">
        <v>1337.9</v>
      </c>
      <c r="S130" s="5">
        <v>1334</v>
      </c>
      <c r="T130" s="5">
        <v>1372.1</v>
      </c>
      <c r="V130" s="5">
        <v>1338.02</v>
      </c>
      <c r="Y130" s="5">
        <v>111860</v>
      </c>
      <c r="Z130" s="5">
        <v>150241398.09999999</v>
      </c>
      <c r="AA130" s="5">
        <v>9161</v>
      </c>
      <c r="AB130" s="5" t="s">
        <v>85</v>
      </c>
      <c r="AC130" s="5">
        <v>1</v>
      </c>
    </row>
    <row r="131" spans="1:29" x14ac:dyDescent="0.3">
      <c r="A131" s="34">
        <v>46274</v>
      </c>
      <c r="B131" s="34">
        <v>46274</v>
      </c>
      <c r="C131" s="5" t="s">
        <v>78</v>
      </c>
      <c r="D131" s="5" t="s">
        <v>79</v>
      </c>
      <c r="E131" s="5" t="s">
        <v>80</v>
      </c>
      <c r="F131" s="5">
        <v>758858</v>
      </c>
      <c r="G131" s="5" t="s">
        <v>481</v>
      </c>
      <c r="H131" s="5" t="s">
        <v>482</v>
      </c>
      <c r="I131" s="5" t="s">
        <v>212</v>
      </c>
      <c r="N131" s="5" t="s">
        <v>483</v>
      </c>
      <c r="O131" s="5">
        <v>3850</v>
      </c>
      <c r="P131" s="5">
        <v>3887.2</v>
      </c>
      <c r="Q131" s="5">
        <v>3703.2</v>
      </c>
      <c r="R131" s="5">
        <v>3746.1</v>
      </c>
      <c r="S131" s="5">
        <v>3720</v>
      </c>
      <c r="T131" s="5">
        <v>3828.8</v>
      </c>
      <c r="V131" s="5">
        <v>3746.01</v>
      </c>
      <c r="Y131" s="5">
        <v>180329</v>
      </c>
      <c r="Z131" s="5">
        <v>684950289</v>
      </c>
      <c r="AA131" s="5">
        <v>21488</v>
      </c>
      <c r="AB131" s="5" t="s">
        <v>85</v>
      </c>
      <c r="AC131" s="5">
        <v>1</v>
      </c>
    </row>
    <row r="132" spans="1:29" x14ac:dyDescent="0.3">
      <c r="A132" s="34">
        <v>46274</v>
      </c>
      <c r="B132" s="34">
        <v>46274</v>
      </c>
      <c r="C132" s="5" t="s">
        <v>78</v>
      </c>
      <c r="D132" s="5" t="s">
        <v>79</v>
      </c>
      <c r="E132" s="5" t="s">
        <v>80</v>
      </c>
      <c r="F132" s="5">
        <v>25984</v>
      </c>
      <c r="G132" s="5" t="s">
        <v>484</v>
      </c>
      <c r="H132" s="5" t="s">
        <v>485</v>
      </c>
      <c r="I132" s="5" t="s">
        <v>212</v>
      </c>
      <c r="N132" s="5" t="s">
        <v>486</v>
      </c>
      <c r="O132" s="5">
        <v>618</v>
      </c>
      <c r="P132" s="5">
        <v>632.79999999999995</v>
      </c>
      <c r="Q132" s="5">
        <v>608.20000000000005</v>
      </c>
      <c r="R132" s="5">
        <v>623.1</v>
      </c>
      <c r="S132" s="5">
        <v>617.04999999999995</v>
      </c>
      <c r="T132" s="5">
        <v>614.6</v>
      </c>
      <c r="V132" s="5">
        <v>623.04</v>
      </c>
      <c r="Y132" s="5">
        <v>930980</v>
      </c>
      <c r="Z132" s="5">
        <v>580101342.5</v>
      </c>
      <c r="AA132" s="5">
        <v>35013</v>
      </c>
      <c r="AB132" s="5" t="s">
        <v>85</v>
      </c>
      <c r="AC132" s="5">
        <v>1</v>
      </c>
    </row>
    <row r="133" spans="1:29" x14ac:dyDescent="0.3">
      <c r="A133" s="34">
        <v>46274</v>
      </c>
      <c r="B133" s="34">
        <v>46274</v>
      </c>
      <c r="C133" s="5" t="s">
        <v>78</v>
      </c>
      <c r="D133" s="5" t="s">
        <v>79</v>
      </c>
      <c r="E133" s="5" t="s">
        <v>80</v>
      </c>
      <c r="F133" s="5">
        <v>23804</v>
      </c>
      <c r="G133" s="5" t="s">
        <v>487</v>
      </c>
      <c r="H133" s="5" t="s">
        <v>488</v>
      </c>
      <c r="I133" s="5" t="s">
        <v>212</v>
      </c>
      <c r="N133" s="5" t="s">
        <v>489</v>
      </c>
      <c r="O133" s="5">
        <v>133.78</v>
      </c>
      <c r="P133" s="5">
        <v>135</v>
      </c>
      <c r="Q133" s="5">
        <v>133.12</v>
      </c>
      <c r="R133" s="5">
        <v>133.97999999999999</v>
      </c>
      <c r="S133" s="5">
        <v>135</v>
      </c>
      <c r="T133" s="5">
        <v>133.97</v>
      </c>
      <c r="V133" s="5">
        <v>133.97999999999999</v>
      </c>
      <c r="Y133" s="5">
        <v>250162</v>
      </c>
      <c r="Z133" s="5">
        <v>33492396.350000001</v>
      </c>
      <c r="AA133" s="5">
        <v>1824</v>
      </c>
      <c r="AB133" s="5" t="s">
        <v>85</v>
      </c>
      <c r="AC133" s="5">
        <v>1</v>
      </c>
    </row>
    <row r="134" spans="1:29" x14ac:dyDescent="0.3">
      <c r="A134" s="34">
        <v>46274</v>
      </c>
      <c r="B134" s="34">
        <v>46274</v>
      </c>
      <c r="C134" s="5" t="s">
        <v>78</v>
      </c>
      <c r="D134" s="5" t="s">
        <v>79</v>
      </c>
      <c r="E134" s="5" t="s">
        <v>80</v>
      </c>
      <c r="F134" s="5">
        <v>24781</v>
      </c>
      <c r="G134" s="5" t="s">
        <v>490</v>
      </c>
      <c r="H134" s="5" t="s">
        <v>491</v>
      </c>
      <c r="I134" s="5" t="s">
        <v>212</v>
      </c>
      <c r="N134" s="5" t="s">
        <v>492</v>
      </c>
      <c r="O134" s="5">
        <v>28.57</v>
      </c>
      <c r="P134" s="5">
        <v>28.57</v>
      </c>
      <c r="Q134" s="5">
        <v>27.57</v>
      </c>
      <c r="R134" s="5">
        <v>27.61</v>
      </c>
      <c r="S134" s="5">
        <v>27.6</v>
      </c>
      <c r="T134" s="5">
        <v>27.88</v>
      </c>
      <c r="V134" s="5">
        <v>27.61</v>
      </c>
      <c r="Y134" s="5">
        <v>1399208</v>
      </c>
      <c r="Z134" s="5">
        <v>38658684.460000001</v>
      </c>
      <c r="AA134" s="5">
        <v>4296</v>
      </c>
      <c r="AB134" s="5" t="s">
        <v>85</v>
      </c>
      <c r="AC134" s="5">
        <v>1</v>
      </c>
    </row>
    <row r="135" spans="1:29" x14ac:dyDescent="0.3">
      <c r="A135" s="34">
        <v>46274</v>
      </c>
      <c r="B135" s="34">
        <v>46274</v>
      </c>
      <c r="C135" s="5" t="s">
        <v>78</v>
      </c>
      <c r="D135" s="5" t="s">
        <v>79</v>
      </c>
      <c r="E135" s="5" t="s">
        <v>80</v>
      </c>
      <c r="F135" s="5">
        <v>34</v>
      </c>
      <c r="G135" s="5" t="s">
        <v>493</v>
      </c>
      <c r="H135" s="5" t="s">
        <v>494</v>
      </c>
      <c r="I135" s="5" t="s">
        <v>212</v>
      </c>
      <c r="N135" s="5" t="s">
        <v>495</v>
      </c>
      <c r="O135" s="5">
        <v>1645</v>
      </c>
      <c r="P135" s="5">
        <v>1697.5</v>
      </c>
      <c r="Q135" s="5">
        <v>1623.1</v>
      </c>
      <c r="R135" s="5">
        <v>1628.2</v>
      </c>
      <c r="S135" s="5">
        <v>1633.1</v>
      </c>
      <c r="T135" s="5">
        <v>1626.2</v>
      </c>
      <c r="V135" s="5">
        <v>1628.42</v>
      </c>
      <c r="Y135" s="5">
        <v>59288</v>
      </c>
      <c r="Z135" s="5">
        <v>97963670.400000006</v>
      </c>
      <c r="AA135" s="5">
        <v>7013</v>
      </c>
      <c r="AB135" s="5" t="s">
        <v>85</v>
      </c>
      <c r="AC135" s="5">
        <v>1</v>
      </c>
    </row>
    <row r="136" spans="1:29" x14ac:dyDescent="0.3">
      <c r="A136" s="34">
        <v>46274</v>
      </c>
      <c r="B136" s="34">
        <v>46274</v>
      </c>
      <c r="C136" s="5" t="s">
        <v>78</v>
      </c>
      <c r="D136" s="5" t="s">
        <v>79</v>
      </c>
      <c r="E136" s="5" t="s">
        <v>80</v>
      </c>
      <c r="F136" s="5">
        <v>4953</v>
      </c>
      <c r="G136" s="5" t="s">
        <v>496</v>
      </c>
      <c r="H136" s="5" t="s">
        <v>497</v>
      </c>
      <c r="I136" s="5" t="s">
        <v>212</v>
      </c>
      <c r="N136" s="5" t="s">
        <v>498</v>
      </c>
      <c r="O136" s="5">
        <v>10.6</v>
      </c>
      <c r="P136" s="5">
        <v>11.4</v>
      </c>
      <c r="Q136" s="5">
        <v>10.27</v>
      </c>
      <c r="R136" s="5">
        <v>10.98</v>
      </c>
      <c r="S136" s="5">
        <v>11.05</v>
      </c>
      <c r="T136" s="5">
        <v>10.63</v>
      </c>
      <c r="V136" s="5">
        <v>10.97</v>
      </c>
      <c r="Y136" s="5">
        <v>65228</v>
      </c>
      <c r="Z136" s="5">
        <v>707243.65</v>
      </c>
      <c r="AA136" s="5">
        <v>277</v>
      </c>
      <c r="AB136" s="5" t="s">
        <v>85</v>
      </c>
      <c r="AC136" s="5">
        <v>1</v>
      </c>
    </row>
    <row r="137" spans="1:29" x14ac:dyDescent="0.3">
      <c r="A137" s="34">
        <v>46274</v>
      </c>
      <c r="B137" s="34">
        <v>46274</v>
      </c>
      <c r="C137" s="5" t="s">
        <v>78</v>
      </c>
      <c r="D137" s="5" t="s">
        <v>79</v>
      </c>
      <c r="E137" s="5" t="s">
        <v>80</v>
      </c>
      <c r="F137" s="5">
        <v>760657</v>
      </c>
      <c r="G137" s="5" t="s">
        <v>499</v>
      </c>
      <c r="H137" s="5" t="s">
        <v>500</v>
      </c>
      <c r="I137" s="5" t="s">
        <v>212</v>
      </c>
      <c r="N137" s="5" t="s">
        <v>501</v>
      </c>
      <c r="O137" s="5">
        <v>2164</v>
      </c>
      <c r="P137" s="5">
        <v>2164</v>
      </c>
      <c r="Q137" s="5">
        <v>2076.1999999999998</v>
      </c>
      <c r="R137" s="5">
        <v>2091.6999999999998</v>
      </c>
      <c r="S137" s="5">
        <v>2093</v>
      </c>
      <c r="T137" s="5">
        <v>2153.9</v>
      </c>
      <c r="V137" s="5">
        <v>2091.86</v>
      </c>
      <c r="Y137" s="5">
        <v>44532</v>
      </c>
      <c r="Z137" s="5">
        <v>93779525.099999994</v>
      </c>
      <c r="AA137" s="5">
        <v>5736</v>
      </c>
      <c r="AB137" s="5" t="s">
        <v>85</v>
      </c>
      <c r="AC137" s="5">
        <v>1</v>
      </c>
    </row>
    <row r="138" spans="1:29" x14ac:dyDescent="0.3">
      <c r="A138" s="34">
        <v>46274</v>
      </c>
      <c r="B138" s="34">
        <v>46274</v>
      </c>
      <c r="C138" s="5" t="s">
        <v>78</v>
      </c>
      <c r="D138" s="5" t="s">
        <v>79</v>
      </c>
      <c r="E138" s="5" t="s">
        <v>80</v>
      </c>
      <c r="F138" s="5">
        <v>759402</v>
      </c>
      <c r="G138" s="5" t="s">
        <v>502</v>
      </c>
      <c r="H138" s="5" t="s">
        <v>503</v>
      </c>
      <c r="I138" s="5" t="s">
        <v>212</v>
      </c>
      <c r="N138" s="5" t="s">
        <v>504</v>
      </c>
      <c r="O138" s="5">
        <v>115.99</v>
      </c>
      <c r="P138" s="5">
        <v>116.19</v>
      </c>
      <c r="Q138" s="5">
        <v>113.31</v>
      </c>
      <c r="R138" s="5">
        <v>113.85</v>
      </c>
      <c r="S138" s="5">
        <v>113.58</v>
      </c>
      <c r="T138" s="5">
        <v>115.53</v>
      </c>
      <c r="V138" s="5">
        <v>113.87</v>
      </c>
      <c r="Y138" s="5">
        <v>78694</v>
      </c>
      <c r="Z138" s="5">
        <v>8991617.2300000004</v>
      </c>
      <c r="AA138" s="5">
        <v>1176</v>
      </c>
      <c r="AB138" s="5" t="s">
        <v>85</v>
      </c>
      <c r="AC138" s="5">
        <v>1</v>
      </c>
    </row>
    <row r="139" spans="1:29" x14ac:dyDescent="0.3">
      <c r="A139" s="34">
        <v>46274</v>
      </c>
      <c r="B139" s="34">
        <v>46274</v>
      </c>
      <c r="C139" s="5" t="s">
        <v>78</v>
      </c>
      <c r="D139" s="5" t="s">
        <v>79</v>
      </c>
      <c r="E139" s="5" t="s">
        <v>80</v>
      </c>
      <c r="F139" s="5">
        <v>18039</v>
      </c>
      <c r="G139" s="5" t="s">
        <v>505</v>
      </c>
      <c r="H139" s="5" t="s">
        <v>506</v>
      </c>
      <c r="I139" s="5" t="s">
        <v>212</v>
      </c>
      <c r="N139" s="5" t="s">
        <v>507</v>
      </c>
      <c r="O139" s="5">
        <v>298.45</v>
      </c>
      <c r="P139" s="5">
        <v>302.89999999999998</v>
      </c>
      <c r="Q139" s="5">
        <v>296</v>
      </c>
      <c r="R139" s="5">
        <v>299.5</v>
      </c>
      <c r="S139" s="5">
        <v>300</v>
      </c>
      <c r="T139" s="5">
        <v>298.85000000000002</v>
      </c>
      <c r="V139" s="5">
        <v>299.5</v>
      </c>
      <c r="Y139" s="5">
        <v>159172</v>
      </c>
      <c r="Z139" s="5">
        <v>47749638.200000003</v>
      </c>
      <c r="AA139" s="5">
        <v>3489</v>
      </c>
      <c r="AB139" s="5" t="s">
        <v>85</v>
      </c>
      <c r="AC139" s="5">
        <v>1</v>
      </c>
    </row>
    <row r="140" spans="1:29" x14ac:dyDescent="0.3">
      <c r="A140" s="34">
        <v>46274</v>
      </c>
      <c r="B140" s="34">
        <v>46274</v>
      </c>
      <c r="C140" s="5" t="s">
        <v>78</v>
      </c>
      <c r="D140" s="5" t="s">
        <v>79</v>
      </c>
      <c r="E140" s="5" t="s">
        <v>80</v>
      </c>
      <c r="F140" s="5">
        <v>14745</v>
      </c>
      <c r="G140" s="5" t="s">
        <v>508</v>
      </c>
      <c r="H140" s="5" t="s">
        <v>509</v>
      </c>
      <c r="I140" s="5" t="s">
        <v>212</v>
      </c>
      <c r="N140" s="5" t="s">
        <v>510</v>
      </c>
      <c r="O140" s="5">
        <v>49.56</v>
      </c>
      <c r="P140" s="5">
        <v>49.56</v>
      </c>
      <c r="Q140" s="5">
        <v>47.63</v>
      </c>
      <c r="R140" s="5">
        <v>48.74</v>
      </c>
      <c r="S140" s="5">
        <v>48.75</v>
      </c>
      <c r="T140" s="5">
        <v>49.14</v>
      </c>
      <c r="V140" s="5">
        <v>48.77</v>
      </c>
      <c r="Y140" s="5">
        <v>21032</v>
      </c>
      <c r="Z140" s="5">
        <v>1025540.13</v>
      </c>
      <c r="AA140" s="5">
        <v>464</v>
      </c>
      <c r="AB140" s="5" t="s">
        <v>85</v>
      </c>
      <c r="AC140" s="5">
        <v>1</v>
      </c>
    </row>
    <row r="141" spans="1:29" x14ac:dyDescent="0.3">
      <c r="A141" s="34">
        <v>46274</v>
      </c>
      <c r="B141" s="34">
        <v>46274</v>
      </c>
      <c r="C141" s="5" t="s">
        <v>78</v>
      </c>
      <c r="D141" s="5" t="s">
        <v>79</v>
      </c>
      <c r="E141" s="5" t="s">
        <v>80</v>
      </c>
      <c r="F141" s="5">
        <v>759769</v>
      </c>
      <c r="G141" s="5" t="s">
        <v>511</v>
      </c>
      <c r="H141" s="5" t="s">
        <v>512</v>
      </c>
      <c r="I141" s="5" t="s">
        <v>212</v>
      </c>
      <c r="N141" s="5" t="s">
        <v>513</v>
      </c>
      <c r="O141" s="5">
        <v>132.38999999999999</v>
      </c>
      <c r="P141" s="5">
        <v>132.88</v>
      </c>
      <c r="Q141" s="5">
        <v>130</v>
      </c>
      <c r="R141" s="5">
        <v>130.32</v>
      </c>
      <c r="S141" s="5">
        <v>130.5</v>
      </c>
      <c r="T141" s="5">
        <v>132.78</v>
      </c>
      <c r="V141" s="5">
        <v>130.32</v>
      </c>
      <c r="Y141" s="5">
        <v>72649</v>
      </c>
      <c r="Z141" s="5">
        <v>9528438.3000000007</v>
      </c>
      <c r="AA141" s="5">
        <v>1260</v>
      </c>
      <c r="AB141" s="5" t="s">
        <v>85</v>
      </c>
      <c r="AC141" s="5">
        <v>1</v>
      </c>
    </row>
    <row r="142" spans="1:29" x14ac:dyDescent="0.3">
      <c r="A142" s="34">
        <v>46274</v>
      </c>
      <c r="B142" s="34">
        <v>46274</v>
      </c>
      <c r="C142" s="5" t="s">
        <v>78</v>
      </c>
      <c r="D142" s="5" t="s">
        <v>79</v>
      </c>
      <c r="E142" s="5" t="s">
        <v>80</v>
      </c>
      <c r="F142" s="5">
        <v>765015</v>
      </c>
      <c r="G142" s="5" t="s">
        <v>514</v>
      </c>
      <c r="H142" s="5" t="s">
        <v>515</v>
      </c>
      <c r="I142" s="5" t="s">
        <v>212</v>
      </c>
      <c r="N142" s="5" t="s">
        <v>516</v>
      </c>
      <c r="O142" s="5">
        <v>1.07</v>
      </c>
      <c r="P142" s="5">
        <v>1.0900000000000001</v>
      </c>
      <c r="Q142" s="5">
        <v>1.06</v>
      </c>
      <c r="R142" s="5">
        <v>1.07</v>
      </c>
      <c r="S142" s="5">
        <v>1.08</v>
      </c>
      <c r="T142" s="5">
        <v>1.07</v>
      </c>
      <c r="V142" s="5">
        <v>1.07</v>
      </c>
      <c r="Y142" s="5">
        <v>159333</v>
      </c>
      <c r="Z142" s="5">
        <v>171620.25</v>
      </c>
      <c r="AA142" s="5">
        <v>256</v>
      </c>
      <c r="AB142" s="5" t="s">
        <v>85</v>
      </c>
      <c r="AC142" s="5">
        <v>1</v>
      </c>
    </row>
    <row r="143" spans="1:29" x14ac:dyDescent="0.3">
      <c r="A143" s="34">
        <v>46274</v>
      </c>
      <c r="B143" s="34">
        <v>46274</v>
      </c>
      <c r="C143" s="5" t="s">
        <v>78</v>
      </c>
      <c r="D143" s="5" t="s">
        <v>79</v>
      </c>
      <c r="E143" s="5" t="s">
        <v>80</v>
      </c>
      <c r="F143" s="5">
        <v>762227</v>
      </c>
      <c r="G143" s="5" t="s">
        <v>517</v>
      </c>
      <c r="H143" s="5" t="s">
        <v>518</v>
      </c>
      <c r="I143" s="5" t="s">
        <v>212</v>
      </c>
      <c r="N143" s="5" t="s">
        <v>519</v>
      </c>
      <c r="O143" s="5">
        <v>274.8</v>
      </c>
      <c r="P143" s="5">
        <v>285</v>
      </c>
      <c r="Q143" s="5">
        <v>271.13</v>
      </c>
      <c r="R143" s="5">
        <v>277.98</v>
      </c>
      <c r="S143" s="5">
        <v>276.58999999999997</v>
      </c>
      <c r="T143" s="5">
        <v>275.04000000000002</v>
      </c>
      <c r="V143" s="5">
        <v>277.97000000000003</v>
      </c>
      <c r="Y143" s="5">
        <v>714676</v>
      </c>
      <c r="Z143" s="5">
        <v>199816695.99000001</v>
      </c>
      <c r="AA143" s="5">
        <v>10096</v>
      </c>
      <c r="AB143" s="5" t="s">
        <v>85</v>
      </c>
      <c r="AC143" s="5">
        <v>1</v>
      </c>
    </row>
    <row r="144" spans="1:29" x14ac:dyDescent="0.3">
      <c r="A144" s="34">
        <v>46274</v>
      </c>
      <c r="B144" s="34">
        <v>46274</v>
      </c>
      <c r="C144" s="5" t="s">
        <v>78</v>
      </c>
      <c r="D144" s="5" t="s">
        <v>79</v>
      </c>
      <c r="E144" s="5" t="s">
        <v>80</v>
      </c>
      <c r="F144" s="5">
        <v>40</v>
      </c>
      <c r="G144" s="5" t="s">
        <v>520</v>
      </c>
      <c r="H144" s="5" t="s">
        <v>521</v>
      </c>
      <c r="I144" s="5" t="s">
        <v>212</v>
      </c>
      <c r="N144" s="5" t="s">
        <v>522</v>
      </c>
      <c r="O144" s="5">
        <v>1270.5999999999999</v>
      </c>
      <c r="P144" s="5">
        <v>1358.7</v>
      </c>
      <c r="Q144" s="5">
        <v>1268.5999999999999</v>
      </c>
      <c r="R144" s="5">
        <v>1343.4</v>
      </c>
      <c r="S144" s="5">
        <v>1341</v>
      </c>
      <c r="T144" s="5">
        <v>1268.0999999999999</v>
      </c>
      <c r="V144" s="5">
        <v>1343.28</v>
      </c>
      <c r="Y144" s="5">
        <v>2121597</v>
      </c>
      <c r="Z144" s="5">
        <v>2830782209</v>
      </c>
      <c r="AA144" s="5">
        <v>93550</v>
      </c>
      <c r="AB144" s="5" t="s">
        <v>85</v>
      </c>
      <c r="AC144" s="5">
        <v>1</v>
      </c>
    </row>
    <row r="145" spans="1:29" x14ac:dyDescent="0.3">
      <c r="A145" s="34">
        <v>46274</v>
      </c>
      <c r="B145" s="34">
        <v>46274</v>
      </c>
      <c r="C145" s="5" t="s">
        <v>78</v>
      </c>
      <c r="D145" s="5" t="s">
        <v>79</v>
      </c>
      <c r="E145" s="5" t="s">
        <v>80</v>
      </c>
      <c r="F145" s="5">
        <v>757336</v>
      </c>
      <c r="G145" s="5" t="s">
        <v>523</v>
      </c>
      <c r="H145" s="5" t="s">
        <v>524</v>
      </c>
      <c r="I145" s="5" t="s">
        <v>212</v>
      </c>
      <c r="N145" s="5" t="s">
        <v>525</v>
      </c>
      <c r="O145" s="5">
        <v>291</v>
      </c>
      <c r="P145" s="5">
        <v>299.39999999999998</v>
      </c>
      <c r="Q145" s="5">
        <v>288.8</v>
      </c>
      <c r="R145" s="5">
        <v>297.64999999999998</v>
      </c>
      <c r="S145" s="5">
        <v>297.3</v>
      </c>
      <c r="T145" s="5">
        <v>290.64999999999998</v>
      </c>
      <c r="V145" s="5">
        <v>297.64</v>
      </c>
      <c r="Y145" s="5">
        <v>1911786</v>
      </c>
      <c r="Z145" s="5">
        <v>565184257.20000005</v>
      </c>
      <c r="AA145" s="5">
        <v>27327</v>
      </c>
      <c r="AB145" s="5" t="s">
        <v>85</v>
      </c>
      <c r="AC145" s="5">
        <v>1</v>
      </c>
    </row>
    <row r="146" spans="1:29" x14ac:dyDescent="0.3">
      <c r="A146" s="34">
        <v>46274</v>
      </c>
      <c r="B146" s="34">
        <v>46274</v>
      </c>
      <c r="C146" s="5" t="s">
        <v>78</v>
      </c>
      <c r="D146" s="5" t="s">
        <v>79</v>
      </c>
      <c r="E146" s="5" t="s">
        <v>80</v>
      </c>
      <c r="F146" s="5">
        <v>761340</v>
      </c>
      <c r="G146" s="5" t="s">
        <v>526</v>
      </c>
      <c r="H146" s="5" t="s">
        <v>527</v>
      </c>
      <c r="I146" s="5" t="s">
        <v>528</v>
      </c>
      <c r="N146" s="5" t="s">
        <v>529</v>
      </c>
      <c r="O146" s="5">
        <v>1035</v>
      </c>
      <c r="P146" s="5">
        <v>1040</v>
      </c>
      <c r="Q146" s="5">
        <v>1035</v>
      </c>
      <c r="R146" s="5">
        <v>1040</v>
      </c>
      <c r="S146" s="5">
        <v>1040</v>
      </c>
      <c r="T146" s="5">
        <v>1050</v>
      </c>
      <c r="V146" s="5">
        <v>1042.5</v>
      </c>
      <c r="Y146" s="5">
        <v>81</v>
      </c>
      <c r="Z146" s="5">
        <v>84180</v>
      </c>
      <c r="AA146" s="5">
        <v>11</v>
      </c>
      <c r="AB146" s="5" t="s">
        <v>85</v>
      </c>
      <c r="AC146" s="5">
        <v>1</v>
      </c>
    </row>
    <row r="147" spans="1:29" x14ac:dyDescent="0.3">
      <c r="A147" s="34">
        <v>46274</v>
      </c>
      <c r="B147" s="34">
        <v>46274</v>
      </c>
      <c r="C147" s="5" t="s">
        <v>78</v>
      </c>
      <c r="D147" s="5" t="s">
        <v>79</v>
      </c>
      <c r="E147" s="5" t="s">
        <v>80</v>
      </c>
      <c r="F147" s="5">
        <v>761345</v>
      </c>
      <c r="G147" s="5" t="s">
        <v>530</v>
      </c>
      <c r="H147" s="5" t="s">
        <v>531</v>
      </c>
      <c r="I147" s="5" t="s">
        <v>532</v>
      </c>
      <c r="N147" s="5" t="s">
        <v>533</v>
      </c>
      <c r="O147" s="5">
        <v>1025</v>
      </c>
      <c r="P147" s="5">
        <v>1025</v>
      </c>
      <c r="Q147" s="5">
        <v>1025</v>
      </c>
      <c r="R147" s="5">
        <v>1025</v>
      </c>
      <c r="S147" s="5">
        <v>1025</v>
      </c>
      <c r="T147" s="5">
        <v>1025</v>
      </c>
      <c r="V147" s="5">
        <v>1025</v>
      </c>
      <c r="Y147" s="5">
        <v>30</v>
      </c>
      <c r="Z147" s="5">
        <v>30750</v>
      </c>
      <c r="AA147" s="5">
        <v>3</v>
      </c>
      <c r="AB147" s="5" t="s">
        <v>85</v>
      </c>
      <c r="AC147" s="5">
        <v>1</v>
      </c>
    </row>
    <row r="148" spans="1:29" x14ac:dyDescent="0.3">
      <c r="A148" s="34">
        <v>46274</v>
      </c>
      <c r="B148" s="34">
        <v>46274</v>
      </c>
      <c r="C148" s="5" t="s">
        <v>78</v>
      </c>
      <c r="D148" s="5" t="s">
        <v>79</v>
      </c>
      <c r="E148" s="5" t="s">
        <v>80</v>
      </c>
      <c r="F148" s="5">
        <v>761346</v>
      </c>
      <c r="G148" s="5" t="s">
        <v>534</v>
      </c>
      <c r="H148" s="5" t="s">
        <v>535</v>
      </c>
      <c r="I148" s="5" t="s">
        <v>536</v>
      </c>
      <c r="N148" s="5" t="s">
        <v>537</v>
      </c>
      <c r="O148" s="5">
        <v>1056.98</v>
      </c>
      <c r="P148" s="5">
        <v>1056.98</v>
      </c>
      <c r="Q148" s="5">
        <v>1054</v>
      </c>
      <c r="R148" s="5">
        <v>1054</v>
      </c>
      <c r="S148" s="5">
        <v>1054</v>
      </c>
      <c r="T148" s="5">
        <v>1054</v>
      </c>
      <c r="V148" s="5">
        <v>1054</v>
      </c>
      <c r="Y148" s="5">
        <v>165</v>
      </c>
      <c r="Z148" s="5">
        <v>174178.2</v>
      </c>
      <c r="AA148" s="5">
        <v>10</v>
      </c>
      <c r="AB148" s="5" t="s">
        <v>85</v>
      </c>
      <c r="AC148" s="5">
        <v>1</v>
      </c>
    </row>
    <row r="149" spans="1:29" x14ac:dyDescent="0.3">
      <c r="A149" s="34">
        <v>46274</v>
      </c>
      <c r="B149" s="34">
        <v>46274</v>
      </c>
      <c r="C149" s="5" t="s">
        <v>78</v>
      </c>
      <c r="D149" s="5" t="s">
        <v>79</v>
      </c>
      <c r="E149" s="5" t="s">
        <v>80</v>
      </c>
      <c r="F149" s="5">
        <v>757869</v>
      </c>
      <c r="G149" s="5" t="s">
        <v>538</v>
      </c>
      <c r="H149" s="5" t="s">
        <v>539</v>
      </c>
      <c r="I149" s="5" t="s">
        <v>266</v>
      </c>
      <c r="N149" s="5" t="s">
        <v>540</v>
      </c>
      <c r="O149" s="5">
        <v>1008.16</v>
      </c>
      <c r="P149" s="5">
        <v>1008.16</v>
      </c>
      <c r="Q149" s="5">
        <v>1008.16</v>
      </c>
      <c r="R149" s="5">
        <v>1008.16</v>
      </c>
      <c r="S149" s="5">
        <v>1008.16</v>
      </c>
      <c r="T149" s="5">
        <v>1006</v>
      </c>
      <c r="V149" s="5">
        <v>1008.16</v>
      </c>
      <c r="Y149" s="5">
        <v>100</v>
      </c>
      <c r="Z149" s="5">
        <v>100816</v>
      </c>
      <c r="AA149" s="5">
        <v>1</v>
      </c>
      <c r="AB149" s="5" t="s">
        <v>85</v>
      </c>
      <c r="AC149" s="5">
        <v>1</v>
      </c>
    </row>
    <row r="150" spans="1:29" x14ac:dyDescent="0.3">
      <c r="A150" s="34">
        <v>46274</v>
      </c>
      <c r="B150" s="34">
        <v>46274</v>
      </c>
      <c r="C150" s="5" t="s">
        <v>78</v>
      </c>
      <c r="D150" s="5" t="s">
        <v>79</v>
      </c>
      <c r="E150" s="5" t="s">
        <v>80</v>
      </c>
      <c r="F150" s="5">
        <v>757874</v>
      </c>
      <c r="G150" s="5" t="s">
        <v>541</v>
      </c>
      <c r="H150" s="5" t="s">
        <v>542</v>
      </c>
      <c r="I150" s="5" t="s">
        <v>297</v>
      </c>
      <c r="N150" s="5" t="s">
        <v>543</v>
      </c>
      <c r="O150" s="5">
        <v>1049.8499999999999</v>
      </c>
      <c r="P150" s="5">
        <v>1050</v>
      </c>
      <c r="Q150" s="5">
        <v>1045</v>
      </c>
      <c r="R150" s="5">
        <v>1050</v>
      </c>
      <c r="S150" s="5">
        <v>1050</v>
      </c>
      <c r="T150" s="5">
        <v>1030</v>
      </c>
      <c r="V150" s="5">
        <v>1052.3</v>
      </c>
      <c r="Y150" s="5">
        <v>29</v>
      </c>
      <c r="Z150" s="5">
        <v>30399.25</v>
      </c>
      <c r="AA150" s="5">
        <v>5</v>
      </c>
      <c r="AB150" s="5" t="s">
        <v>85</v>
      </c>
      <c r="AC150" s="5">
        <v>1</v>
      </c>
    </row>
    <row r="151" spans="1:29" x14ac:dyDescent="0.3">
      <c r="A151" s="34">
        <v>46274</v>
      </c>
      <c r="B151" s="34">
        <v>46274</v>
      </c>
      <c r="C151" s="5" t="s">
        <v>78</v>
      </c>
      <c r="D151" s="5" t="s">
        <v>79</v>
      </c>
      <c r="E151" s="5" t="s">
        <v>80</v>
      </c>
      <c r="F151" s="5">
        <v>757875</v>
      </c>
      <c r="G151" s="5" t="s">
        <v>544</v>
      </c>
      <c r="H151" s="5" t="s">
        <v>545</v>
      </c>
      <c r="I151" s="5" t="s">
        <v>546</v>
      </c>
      <c r="N151" s="5" t="s">
        <v>547</v>
      </c>
      <c r="O151" s="5">
        <v>1040</v>
      </c>
      <c r="P151" s="5">
        <v>1045</v>
      </c>
      <c r="Q151" s="5">
        <v>1040</v>
      </c>
      <c r="R151" s="5">
        <v>1045</v>
      </c>
      <c r="S151" s="5">
        <v>1045</v>
      </c>
      <c r="T151" s="5">
        <v>1036</v>
      </c>
      <c r="V151" s="5">
        <v>1045</v>
      </c>
      <c r="Y151" s="5">
        <v>128</v>
      </c>
      <c r="Z151" s="5">
        <v>133620</v>
      </c>
      <c r="AA151" s="5">
        <v>4</v>
      </c>
      <c r="AB151" s="5" t="s">
        <v>85</v>
      </c>
      <c r="AC151" s="5">
        <v>1</v>
      </c>
    </row>
    <row r="152" spans="1:29" x14ac:dyDescent="0.3">
      <c r="A152" s="34">
        <v>46274</v>
      </c>
      <c r="B152" s="34">
        <v>46274</v>
      </c>
      <c r="C152" s="5" t="s">
        <v>78</v>
      </c>
      <c r="D152" s="5" t="s">
        <v>79</v>
      </c>
      <c r="E152" s="5" t="s">
        <v>80</v>
      </c>
      <c r="F152" s="5">
        <v>760234</v>
      </c>
      <c r="G152" s="5" t="s">
        <v>548</v>
      </c>
      <c r="H152" s="5" t="s">
        <v>549</v>
      </c>
      <c r="I152" s="5" t="s">
        <v>212</v>
      </c>
      <c r="N152" s="5" t="s">
        <v>550</v>
      </c>
      <c r="O152" s="5">
        <v>232</v>
      </c>
      <c r="P152" s="5">
        <v>235.41</v>
      </c>
      <c r="Q152" s="5">
        <v>228.65</v>
      </c>
      <c r="R152" s="5">
        <v>230.55</v>
      </c>
      <c r="S152" s="5">
        <v>230.5</v>
      </c>
      <c r="T152" s="5">
        <v>231.9</v>
      </c>
      <c r="V152" s="5">
        <v>230.54</v>
      </c>
      <c r="Y152" s="5">
        <v>2439713</v>
      </c>
      <c r="Z152" s="5">
        <v>563305364.61000001</v>
      </c>
      <c r="AA152" s="5">
        <v>36589</v>
      </c>
      <c r="AB152" s="5" t="s">
        <v>85</v>
      </c>
      <c r="AC152" s="5">
        <v>1</v>
      </c>
    </row>
    <row r="153" spans="1:29" x14ac:dyDescent="0.3">
      <c r="A153" s="34">
        <v>46274</v>
      </c>
      <c r="B153" s="34">
        <v>46274</v>
      </c>
      <c r="C153" s="5" t="s">
        <v>78</v>
      </c>
      <c r="D153" s="5" t="s">
        <v>79</v>
      </c>
      <c r="E153" s="5" t="s">
        <v>80</v>
      </c>
      <c r="F153" s="5">
        <v>12015</v>
      </c>
      <c r="G153" s="5" t="s">
        <v>551</v>
      </c>
      <c r="H153" s="5" t="s">
        <v>552</v>
      </c>
      <c r="I153" s="5" t="s">
        <v>212</v>
      </c>
      <c r="N153" s="5" t="s">
        <v>553</v>
      </c>
      <c r="O153" s="5">
        <v>151.81</v>
      </c>
      <c r="P153" s="5">
        <v>152.55000000000001</v>
      </c>
      <c r="Q153" s="5">
        <v>140.69999999999999</v>
      </c>
      <c r="R153" s="5">
        <v>142.94999999999999</v>
      </c>
      <c r="S153" s="5">
        <v>144.19999999999999</v>
      </c>
      <c r="T153" s="5">
        <v>152.65</v>
      </c>
      <c r="V153" s="5">
        <v>142.97999999999999</v>
      </c>
      <c r="Y153" s="5">
        <v>1381011</v>
      </c>
      <c r="Z153" s="5">
        <v>201159820.16999999</v>
      </c>
      <c r="AA153" s="5">
        <v>17563</v>
      </c>
      <c r="AB153" s="5" t="s">
        <v>85</v>
      </c>
      <c r="AC153" s="5">
        <v>1</v>
      </c>
    </row>
    <row r="154" spans="1:29" x14ac:dyDescent="0.3">
      <c r="A154" s="34">
        <v>46274</v>
      </c>
      <c r="B154" s="34">
        <v>46274</v>
      </c>
      <c r="C154" s="5" t="s">
        <v>78</v>
      </c>
      <c r="D154" s="5" t="s">
        <v>79</v>
      </c>
      <c r="E154" s="5" t="s">
        <v>80</v>
      </c>
      <c r="F154" s="5">
        <v>18268</v>
      </c>
      <c r="G154" s="5" t="s">
        <v>554</v>
      </c>
      <c r="H154" s="5" t="s">
        <v>555</v>
      </c>
      <c r="I154" s="5" t="s">
        <v>212</v>
      </c>
      <c r="N154" s="5" t="s">
        <v>556</v>
      </c>
      <c r="O154" s="5">
        <v>572</v>
      </c>
      <c r="P154" s="5">
        <v>573.4</v>
      </c>
      <c r="Q154" s="5">
        <v>554.04999999999995</v>
      </c>
      <c r="R154" s="5">
        <v>561.15</v>
      </c>
      <c r="S154" s="5">
        <v>561.20000000000005</v>
      </c>
      <c r="T154" s="5">
        <v>573.5</v>
      </c>
      <c r="V154" s="5">
        <v>561.14</v>
      </c>
      <c r="Y154" s="5">
        <v>865460</v>
      </c>
      <c r="Z154" s="5">
        <v>487907805.39999998</v>
      </c>
      <c r="AA154" s="5">
        <v>23119</v>
      </c>
      <c r="AB154" s="5" t="s">
        <v>85</v>
      </c>
      <c r="AC154" s="5">
        <v>1</v>
      </c>
    </row>
    <row r="155" spans="1:29" x14ac:dyDescent="0.3">
      <c r="A155" s="34">
        <v>46274</v>
      </c>
      <c r="B155" s="34">
        <v>46274</v>
      </c>
      <c r="C155" s="5" t="s">
        <v>78</v>
      </c>
      <c r="D155" s="5" t="s">
        <v>79</v>
      </c>
      <c r="E155" s="5" t="s">
        <v>80</v>
      </c>
      <c r="F155" s="5">
        <v>13689</v>
      </c>
      <c r="G155" s="5" t="s">
        <v>557</v>
      </c>
      <c r="H155" s="5" t="s">
        <v>558</v>
      </c>
      <c r="I155" s="5" t="s">
        <v>212</v>
      </c>
      <c r="N155" s="5" t="s">
        <v>559</v>
      </c>
      <c r="O155" s="5">
        <v>73</v>
      </c>
      <c r="P155" s="5">
        <v>76</v>
      </c>
      <c r="Q155" s="5">
        <v>70.05</v>
      </c>
      <c r="R155" s="5">
        <v>70.41</v>
      </c>
      <c r="S155" s="5">
        <v>70.64</v>
      </c>
      <c r="T155" s="5">
        <v>74.13</v>
      </c>
      <c r="V155" s="5">
        <v>70.459999999999994</v>
      </c>
      <c r="Y155" s="5">
        <v>34048</v>
      </c>
      <c r="Z155" s="5">
        <v>2463848.38</v>
      </c>
      <c r="AA155" s="5">
        <v>553</v>
      </c>
      <c r="AB155" s="5" t="s">
        <v>85</v>
      </c>
      <c r="AC155" s="5">
        <v>1</v>
      </c>
    </row>
    <row r="156" spans="1:29" x14ac:dyDescent="0.3">
      <c r="A156" s="34">
        <v>46274</v>
      </c>
      <c r="B156" s="34">
        <v>46274</v>
      </c>
      <c r="C156" s="5" t="s">
        <v>78</v>
      </c>
      <c r="D156" s="5" t="s">
        <v>79</v>
      </c>
      <c r="E156" s="5" t="s">
        <v>80</v>
      </c>
      <c r="F156" s="5">
        <v>25065</v>
      </c>
      <c r="G156" s="5" t="s">
        <v>560</v>
      </c>
      <c r="H156" s="5" t="s">
        <v>561</v>
      </c>
      <c r="I156" s="5" t="s">
        <v>313</v>
      </c>
      <c r="N156" s="5" t="s">
        <v>562</v>
      </c>
      <c r="O156" s="5">
        <v>83</v>
      </c>
      <c r="P156" s="5">
        <v>87.2</v>
      </c>
      <c r="Q156" s="5">
        <v>83</v>
      </c>
      <c r="R156" s="5">
        <v>85.55</v>
      </c>
      <c r="S156" s="5">
        <v>85.05</v>
      </c>
      <c r="T156" s="5">
        <v>80.2</v>
      </c>
      <c r="V156" s="5">
        <v>85.55</v>
      </c>
      <c r="Y156" s="5">
        <v>11000</v>
      </c>
      <c r="Z156" s="5">
        <v>941350</v>
      </c>
      <c r="AA156" s="5">
        <v>10</v>
      </c>
      <c r="AB156" s="5" t="s">
        <v>85</v>
      </c>
      <c r="AC156" s="5">
        <v>1000</v>
      </c>
    </row>
    <row r="157" spans="1:29" x14ac:dyDescent="0.3">
      <c r="A157" s="34">
        <v>46274</v>
      </c>
      <c r="B157" s="34">
        <v>46274</v>
      </c>
      <c r="C157" s="5" t="s">
        <v>78</v>
      </c>
      <c r="D157" s="5" t="s">
        <v>79</v>
      </c>
      <c r="E157" s="5" t="s">
        <v>80</v>
      </c>
      <c r="F157" s="5">
        <v>24830</v>
      </c>
      <c r="G157" s="5" t="s">
        <v>563</v>
      </c>
      <c r="H157" s="5" t="s">
        <v>564</v>
      </c>
      <c r="I157" s="5" t="s">
        <v>313</v>
      </c>
      <c r="N157" s="5" t="s">
        <v>565</v>
      </c>
      <c r="O157" s="5">
        <v>69.05</v>
      </c>
      <c r="P157" s="5">
        <v>71</v>
      </c>
      <c r="Q157" s="5">
        <v>69.05</v>
      </c>
      <c r="R157" s="5">
        <v>71</v>
      </c>
      <c r="S157" s="5">
        <v>71</v>
      </c>
      <c r="T157" s="5">
        <v>69.05</v>
      </c>
      <c r="V157" s="5">
        <v>71</v>
      </c>
      <c r="Y157" s="5">
        <v>3000</v>
      </c>
      <c r="Z157" s="5">
        <v>211050</v>
      </c>
      <c r="AA157" s="5">
        <v>3</v>
      </c>
      <c r="AB157" s="5" t="s">
        <v>85</v>
      </c>
      <c r="AC157" s="5">
        <v>1000</v>
      </c>
    </row>
    <row r="158" spans="1:29" x14ac:dyDescent="0.3">
      <c r="A158" s="34">
        <v>46274</v>
      </c>
      <c r="B158" s="34">
        <v>46274</v>
      </c>
      <c r="C158" s="5" t="s">
        <v>78</v>
      </c>
      <c r="D158" s="5" t="s">
        <v>79</v>
      </c>
      <c r="E158" s="5" t="s">
        <v>80</v>
      </c>
      <c r="F158" s="5">
        <v>9810</v>
      </c>
      <c r="G158" s="5" t="s">
        <v>566</v>
      </c>
      <c r="H158" s="5" t="s">
        <v>567</v>
      </c>
      <c r="I158" s="5" t="s">
        <v>212</v>
      </c>
      <c r="N158" s="5" t="s">
        <v>568</v>
      </c>
      <c r="O158" s="5">
        <v>1640</v>
      </c>
      <c r="P158" s="5">
        <v>1678.8</v>
      </c>
      <c r="Q158" s="5">
        <v>1605.1</v>
      </c>
      <c r="R158" s="5">
        <v>1610.9</v>
      </c>
      <c r="S158" s="5">
        <v>1605.8</v>
      </c>
      <c r="T158" s="5">
        <v>1642.9</v>
      </c>
      <c r="V158" s="5">
        <v>1610.93</v>
      </c>
      <c r="Y158" s="5">
        <v>217203</v>
      </c>
      <c r="Z158" s="5">
        <v>354805645.89999998</v>
      </c>
      <c r="AA158" s="5">
        <v>35410</v>
      </c>
      <c r="AB158" s="5" t="s">
        <v>85</v>
      </c>
      <c r="AC158" s="5">
        <v>1</v>
      </c>
    </row>
    <row r="159" spans="1:29" x14ac:dyDescent="0.3">
      <c r="A159" s="34">
        <v>46274</v>
      </c>
      <c r="B159" s="34">
        <v>46274</v>
      </c>
      <c r="C159" s="5" t="s">
        <v>78</v>
      </c>
      <c r="D159" s="5" t="s">
        <v>79</v>
      </c>
      <c r="E159" s="5" t="s">
        <v>80</v>
      </c>
      <c r="F159" s="5">
        <v>25977</v>
      </c>
      <c r="G159" s="5" t="s">
        <v>569</v>
      </c>
      <c r="H159" s="5" t="s">
        <v>570</v>
      </c>
      <c r="I159" s="5" t="s">
        <v>212</v>
      </c>
      <c r="N159" s="5" t="s">
        <v>571</v>
      </c>
      <c r="O159" s="5">
        <v>280</v>
      </c>
      <c r="P159" s="5">
        <v>283.85000000000002</v>
      </c>
      <c r="Q159" s="5">
        <v>273</v>
      </c>
      <c r="R159" s="5">
        <v>274.14999999999998</v>
      </c>
      <c r="S159" s="5">
        <v>273.60000000000002</v>
      </c>
      <c r="T159" s="5">
        <v>280.25</v>
      </c>
      <c r="V159" s="5">
        <v>274.16000000000003</v>
      </c>
      <c r="Y159" s="5">
        <v>924861</v>
      </c>
      <c r="Z159" s="5">
        <v>256396895.40000001</v>
      </c>
      <c r="AA159" s="5">
        <v>16604</v>
      </c>
      <c r="AB159" s="5" t="s">
        <v>85</v>
      </c>
      <c r="AC159" s="5">
        <v>1</v>
      </c>
    </row>
    <row r="160" spans="1:29" x14ac:dyDescent="0.3">
      <c r="A160" s="34">
        <v>46274</v>
      </c>
      <c r="B160" s="34">
        <v>46274</v>
      </c>
      <c r="C160" s="5" t="s">
        <v>78</v>
      </c>
      <c r="D160" s="5" t="s">
        <v>79</v>
      </c>
      <c r="E160" s="5" t="s">
        <v>80</v>
      </c>
      <c r="F160" s="5">
        <v>11343</v>
      </c>
      <c r="G160" s="5" t="s">
        <v>572</v>
      </c>
      <c r="H160" s="5" t="s">
        <v>573</v>
      </c>
      <c r="I160" s="5" t="s">
        <v>212</v>
      </c>
      <c r="N160" s="5" t="s">
        <v>574</v>
      </c>
      <c r="O160" s="5">
        <v>1597.6</v>
      </c>
      <c r="P160" s="5">
        <v>1613.6</v>
      </c>
      <c r="Q160" s="5">
        <v>1576.3</v>
      </c>
      <c r="R160" s="5">
        <v>1587.3</v>
      </c>
      <c r="S160" s="5">
        <v>1592</v>
      </c>
      <c r="T160" s="5">
        <v>1609.4</v>
      </c>
      <c r="V160" s="5">
        <v>1587.22</v>
      </c>
      <c r="Y160" s="5">
        <v>101630</v>
      </c>
      <c r="Z160" s="5">
        <v>161496934.59999999</v>
      </c>
      <c r="AA160" s="5">
        <v>11104</v>
      </c>
      <c r="AB160" s="5" t="s">
        <v>85</v>
      </c>
      <c r="AC160" s="5">
        <v>1</v>
      </c>
    </row>
    <row r="161" spans="1:29" x14ac:dyDescent="0.3">
      <c r="A161" s="34">
        <v>46274</v>
      </c>
      <c r="B161" s="34">
        <v>46274</v>
      </c>
      <c r="C161" s="5" t="s">
        <v>78</v>
      </c>
      <c r="D161" s="5" t="s">
        <v>79</v>
      </c>
      <c r="E161" s="5" t="s">
        <v>80</v>
      </c>
      <c r="F161" s="5">
        <v>25855</v>
      </c>
      <c r="G161" s="5" t="s">
        <v>575</v>
      </c>
      <c r="H161" s="5" t="s">
        <v>576</v>
      </c>
      <c r="I161" s="5" t="s">
        <v>212</v>
      </c>
      <c r="N161" s="5" t="s">
        <v>577</v>
      </c>
      <c r="O161" s="5">
        <v>166</v>
      </c>
      <c r="P161" s="5">
        <v>166</v>
      </c>
      <c r="Q161" s="5">
        <v>157.21</v>
      </c>
      <c r="R161" s="5">
        <v>161.71</v>
      </c>
      <c r="S161" s="5">
        <v>161</v>
      </c>
      <c r="T161" s="5">
        <v>164.23</v>
      </c>
      <c r="V161" s="5">
        <v>161.93</v>
      </c>
      <c r="Y161" s="5">
        <v>23690</v>
      </c>
      <c r="Z161" s="5">
        <v>3821911.18</v>
      </c>
      <c r="AA161" s="5">
        <v>614</v>
      </c>
      <c r="AB161" s="5" t="s">
        <v>85</v>
      </c>
      <c r="AC161" s="5">
        <v>1</v>
      </c>
    </row>
    <row r="162" spans="1:29" x14ac:dyDescent="0.3">
      <c r="A162" s="34">
        <v>46274</v>
      </c>
      <c r="B162" s="34">
        <v>46274</v>
      </c>
      <c r="C162" s="5" t="s">
        <v>78</v>
      </c>
      <c r="D162" s="5" t="s">
        <v>79</v>
      </c>
      <c r="E162" s="5" t="s">
        <v>80</v>
      </c>
      <c r="F162" s="5">
        <v>760459</v>
      </c>
      <c r="G162" s="5" t="s">
        <v>578</v>
      </c>
      <c r="H162" s="5" t="s">
        <v>579</v>
      </c>
      <c r="I162" s="5" t="s">
        <v>580</v>
      </c>
      <c r="N162" s="5" t="s">
        <v>581</v>
      </c>
      <c r="O162" s="5">
        <v>9844.49</v>
      </c>
      <c r="P162" s="5">
        <v>9844.49</v>
      </c>
      <c r="Q162" s="5">
        <v>9844.49</v>
      </c>
      <c r="R162" s="5">
        <v>9844.49</v>
      </c>
      <c r="S162" s="5">
        <v>9844.49</v>
      </c>
      <c r="T162" s="5">
        <v>9844.49</v>
      </c>
      <c r="V162" s="5">
        <v>9844.49</v>
      </c>
      <c r="Y162" s="5">
        <v>1</v>
      </c>
      <c r="Z162" s="5">
        <v>9844.49</v>
      </c>
      <c r="AA162" s="5">
        <v>1</v>
      </c>
      <c r="AB162" s="5" t="s">
        <v>85</v>
      </c>
      <c r="AC162" s="5">
        <v>1</v>
      </c>
    </row>
    <row r="163" spans="1:29" x14ac:dyDescent="0.3">
      <c r="A163" s="34">
        <v>46274</v>
      </c>
      <c r="B163" s="34">
        <v>46274</v>
      </c>
      <c r="C163" s="5" t="s">
        <v>78</v>
      </c>
      <c r="D163" s="5" t="s">
        <v>79</v>
      </c>
      <c r="E163" s="5" t="s">
        <v>80</v>
      </c>
      <c r="F163" s="5">
        <v>759446</v>
      </c>
      <c r="G163" s="5" t="s">
        <v>582</v>
      </c>
      <c r="H163" s="5" t="s">
        <v>583</v>
      </c>
      <c r="I163" s="5" t="s">
        <v>580</v>
      </c>
      <c r="N163" s="5" t="s">
        <v>584</v>
      </c>
      <c r="O163" s="5">
        <v>9893.27</v>
      </c>
      <c r="P163" s="5">
        <v>9893.27</v>
      </c>
      <c r="Q163" s="5">
        <v>9380</v>
      </c>
      <c r="R163" s="5">
        <v>9380</v>
      </c>
      <c r="S163" s="5">
        <v>9380</v>
      </c>
      <c r="T163" s="5">
        <v>9961</v>
      </c>
      <c r="V163" s="5">
        <v>9380</v>
      </c>
      <c r="Y163" s="5">
        <v>13</v>
      </c>
      <c r="Z163" s="5">
        <v>126050.16</v>
      </c>
      <c r="AA163" s="5">
        <v>3</v>
      </c>
      <c r="AB163" s="5" t="s">
        <v>85</v>
      </c>
      <c r="AC163" s="5">
        <v>1</v>
      </c>
    </row>
    <row r="164" spans="1:29" x14ac:dyDescent="0.3">
      <c r="A164" s="34">
        <v>46274</v>
      </c>
      <c r="B164" s="34">
        <v>46274</v>
      </c>
      <c r="C164" s="5" t="s">
        <v>78</v>
      </c>
      <c r="D164" s="5" t="s">
        <v>79</v>
      </c>
      <c r="E164" s="5" t="s">
        <v>80</v>
      </c>
      <c r="F164" s="5">
        <v>759283</v>
      </c>
      <c r="G164" s="5" t="s">
        <v>585</v>
      </c>
      <c r="H164" s="5" t="s">
        <v>586</v>
      </c>
      <c r="I164" s="5" t="s">
        <v>580</v>
      </c>
      <c r="N164" s="5" t="s">
        <v>587</v>
      </c>
      <c r="O164" s="5">
        <v>9941</v>
      </c>
      <c r="P164" s="5">
        <v>9941</v>
      </c>
      <c r="Q164" s="5">
        <v>9600.1</v>
      </c>
      <c r="R164" s="5">
        <v>9931</v>
      </c>
      <c r="S164" s="5">
        <v>9931</v>
      </c>
      <c r="T164" s="5">
        <v>9874.9</v>
      </c>
      <c r="V164" s="5">
        <v>9931</v>
      </c>
      <c r="Y164" s="5">
        <v>25</v>
      </c>
      <c r="Z164" s="5">
        <v>246091.74</v>
      </c>
      <c r="AA164" s="5">
        <v>9</v>
      </c>
      <c r="AB164" s="5" t="s">
        <v>85</v>
      </c>
      <c r="AC164" s="5">
        <v>1</v>
      </c>
    </row>
    <row r="165" spans="1:29" x14ac:dyDescent="0.3">
      <c r="A165" s="34">
        <v>46274</v>
      </c>
      <c r="B165" s="34">
        <v>46274</v>
      </c>
      <c r="C165" s="5" t="s">
        <v>78</v>
      </c>
      <c r="D165" s="5" t="s">
        <v>79</v>
      </c>
      <c r="E165" s="5" t="s">
        <v>80</v>
      </c>
      <c r="F165" s="5">
        <v>14263</v>
      </c>
      <c r="G165" s="5" t="s">
        <v>588</v>
      </c>
      <c r="H165" s="5" t="s">
        <v>589</v>
      </c>
      <c r="I165" s="5" t="s">
        <v>313</v>
      </c>
      <c r="N165" s="5" t="s">
        <v>590</v>
      </c>
      <c r="O165" s="5">
        <v>28.1</v>
      </c>
      <c r="P165" s="5">
        <v>28.1</v>
      </c>
      <c r="Q165" s="5">
        <v>28.1</v>
      </c>
      <c r="R165" s="5">
        <v>28.1</v>
      </c>
      <c r="S165" s="5">
        <v>28.1</v>
      </c>
      <c r="T165" s="5">
        <v>29.5</v>
      </c>
      <c r="V165" s="5">
        <v>28.1</v>
      </c>
      <c r="Y165" s="5">
        <v>3000</v>
      </c>
      <c r="Z165" s="5">
        <v>84300</v>
      </c>
      <c r="AA165" s="5">
        <v>2</v>
      </c>
      <c r="AB165" s="5" t="s">
        <v>85</v>
      </c>
      <c r="AC165" s="5">
        <v>1500</v>
      </c>
    </row>
    <row r="166" spans="1:29" x14ac:dyDescent="0.3">
      <c r="A166" s="34">
        <v>46274</v>
      </c>
      <c r="B166" s="34">
        <v>46274</v>
      </c>
      <c r="C166" s="5" t="s">
        <v>78</v>
      </c>
      <c r="D166" s="5" t="s">
        <v>79</v>
      </c>
      <c r="E166" s="5" t="s">
        <v>80</v>
      </c>
      <c r="F166" s="5">
        <v>3389</v>
      </c>
      <c r="G166" s="5" t="s">
        <v>591</v>
      </c>
      <c r="H166" s="5" t="s">
        <v>592</v>
      </c>
      <c r="I166" s="5" t="s">
        <v>212</v>
      </c>
      <c r="N166" s="5" t="s">
        <v>593</v>
      </c>
      <c r="O166" s="5">
        <v>439.9</v>
      </c>
      <c r="P166" s="5">
        <v>449.95</v>
      </c>
      <c r="Q166" s="5">
        <v>435.35</v>
      </c>
      <c r="R166" s="5">
        <v>447.25</v>
      </c>
      <c r="S166" s="5">
        <v>449</v>
      </c>
      <c r="T166" s="5">
        <v>440.9</v>
      </c>
      <c r="V166" s="5">
        <v>447.2</v>
      </c>
      <c r="Y166" s="5">
        <v>29437</v>
      </c>
      <c r="Z166" s="5">
        <v>13049678.199999999</v>
      </c>
      <c r="AA166" s="5">
        <v>2118</v>
      </c>
      <c r="AB166" s="5" t="s">
        <v>85</v>
      </c>
      <c r="AC166" s="5">
        <v>1</v>
      </c>
    </row>
    <row r="167" spans="1:29" x14ac:dyDescent="0.3">
      <c r="A167" s="34">
        <v>46274</v>
      </c>
      <c r="B167" s="34">
        <v>46274</v>
      </c>
      <c r="C167" s="5" t="s">
        <v>78</v>
      </c>
      <c r="D167" s="5" t="s">
        <v>79</v>
      </c>
      <c r="E167" s="5" t="s">
        <v>80</v>
      </c>
      <c r="F167" s="5">
        <v>27309</v>
      </c>
      <c r="G167" s="5" t="s">
        <v>594</v>
      </c>
      <c r="H167" s="5" t="s">
        <v>595</v>
      </c>
      <c r="I167" s="5" t="s">
        <v>313</v>
      </c>
      <c r="N167" s="5" t="s">
        <v>596</v>
      </c>
      <c r="O167" s="5">
        <v>158.94999999999999</v>
      </c>
      <c r="P167" s="5">
        <v>160.19999999999999</v>
      </c>
      <c r="Q167" s="5">
        <v>155.94999999999999</v>
      </c>
      <c r="R167" s="5">
        <v>155.94999999999999</v>
      </c>
      <c r="S167" s="5">
        <v>155.94999999999999</v>
      </c>
      <c r="T167" s="5">
        <v>155</v>
      </c>
      <c r="V167" s="5">
        <v>155.94999999999999</v>
      </c>
      <c r="Y167" s="5">
        <v>66000</v>
      </c>
      <c r="Z167" s="5">
        <v>10479360</v>
      </c>
      <c r="AA167" s="5">
        <v>49</v>
      </c>
      <c r="AB167" s="5" t="s">
        <v>85</v>
      </c>
      <c r="AC167" s="5">
        <v>1200</v>
      </c>
    </row>
    <row r="168" spans="1:29" x14ac:dyDescent="0.3">
      <c r="A168" s="34">
        <v>46274</v>
      </c>
      <c r="B168" s="34">
        <v>46274</v>
      </c>
      <c r="C168" s="5" t="s">
        <v>78</v>
      </c>
      <c r="D168" s="5" t="s">
        <v>79</v>
      </c>
      <c r="E168" s="5" t="s">
        <v>80</v>
      </c>
      <c r="F168" s="5">
        <v>1412</v>
      </c>
      <c r="G168" s="5" t="s">
        <v>597</v>
      </c>
      <c r="H168" s="5" t="s">
        <v>598</v>
      </c>
      <c r="I168" s="5" t="s">
        <v>212</v>
      </c>
      <c r="N168" s="5" t="s">
        <v>599</v>
      </c>
      <c r="O168" s="5">
        <v>781</v>
      </c>
      <c r="P168" s="5">
        <v>800</v>
      </c>
      <c r="Q168" s="5">
        <v>767.3</v>
      </c>
      <c r="R168" s="5">
        <v>796.15</v>
      </c>
      <c r="S168" s="5">
        <v>792.5</v>
      </c>
      <c r="T168" s="5">
        <v>783.8</v>
      </c>
      <c r="V168" s="5">
        <v>796.16</v>
      </c>
      <c r="Y168" s="5">
        <v>303157</v>
      </c>
      <c r="Z168" s="5">
        <v>237956394.55000001</v>
      </c>
      <c r="AA168" s="5">
        <v>16693</v>
      </c>
      <c r="AB168" s="5" t="s">
        <v>85</v>
      </c>
      <c r="AC168" s="5">
        <v>1</v>
      </c>
    </row>
    <row r="169" spans="1:29" x14ac:dyDescent="0.3">
      <c r="A169" s="34">
        <v>46274</v>
      </c>
      <c r="B169" s="34">
        <v>46274</v>
      </c>
      <c r="C169" s="5" t="s">
        <v>78</v>
      </c>
      <c r="D169" s="5" t="s">
        <v>79</v>
      </c>
      <c r="E169" s="5" t="s">
        <v>80</v>
      </c>
      <c r="F169" s="5">
        <v>24445</v>
      </c>
      <c r="G169" s="5" t="s">
        <v>600</v>
      </c>
      <c r="H169" s="5" t="s">
        <v>601</v>
      </c>
      <c r="I169" s="5" t="s">
        <v>212</v>
      </c>
      <c r="N169" s="5" t="s">
        <v>602</v>
      </c>
      <c r="O169" s="5">
        <v>273</v>
      </c>
      <c r="P169" s="5">
        <v>302.64999999999998</v>
      </c>
      <c r="Q169" s="5">
        <v>269.05</v>
      </c>
      <c r="R169" s="5">
        <v>283.2</v>
      </c>
      <c r="S169" s="5">
        <v>284</v>
      </c>
      <c r="T169" s="5">
        <v>271.64999999999998</v>
      </c>
      <c r="V169" s="5">
        <v>283.2</v>
      </c>
      <c r="Y169" s="5">
        <v>8760571</v>
      </c>
      <c r="Z169" s="5">
        <v>2547760764.9000001</v>
      </c>
      <c r="AA169" s="5">
        <v>137409</v>
      </c>
      <c r="AB169" s="5" t="s">
        <v>85</v>
      </c>
      <c r="AC169" s="5">
        <v>1</v>
      </c>
    </row>
    <row r="170" spans="1:29" x14ac:dyDescent="0.3">
      <c r="A170" s="34">
        <v>46274</v>
      </c>
      <c r="B170" s="34">
        <v>46274</v>
      </c>
      <c r="C170" s="5" t="s">
        <v>78</v>
      </c>
      <c r="D170" s="5" t="s">
        <v>79</v>
      </c>
      <c r="E170" s="5" t="s">
        <v>80</v>
      </c>
      <c r="F170" s="5">
        <v>10491</v>
      </c>
      <c r="G170" s="5" t="s">
        <v>603</v>
      </c>
      <c r="H170" s="5" t="s">
        <v>604</v>
      </c>
      <c r="I170" s="5" t="s">
        <v>313</v>
      </c>
      <c r="N170" s="5" t="s">
        <v>605</v>
      </c>
      <c r="O170" s="5">
        <v>15.05</v>
      </c>
      <c r="P170" s="5">
        <v>16.5</v>
      </c>
      <c r="Q170" s="5">
        <v>15.05</v>
      </c>
      <c r="R170" s="5">
        <v>16.5</v>
      </c>
      <c r="S170" s="5">
        <v>16.5</v>
      </c>
      <c r="T170" s="5">
        <v>15.75</v>
      </c>
      <c r="V170" s="5">
        <v>16.5</v>
      </c>
      <c r="Y170" s="5">
        <v>65000</v>
      </c>
      <c r="Z170" s="5">
        <v>1030750</v>
      </c>
      <c r="AA170" s="5">
        <v>19</v>
      </c>
      <c r="AB170" s="5" t="s">
        <v>85</v>
      </c>
      <c r="AC170" s="5">
        <v>2500</v>
      </c>
    </row>
    <row r="171" spans="1:29" x14ac:dyDescent="0.3">
      <c r="A171" s="34">
        <v>46274</v>
      </c>
      <c r="B171" s="34">
        <v>46274</v>
      </c>
      <c r="C171" s="5" t="s">
        <v>78</v>
      </c>
      <c r="D171" s="5" t="s">
        <v>79</v>
      </c>
      <c r="E171" s="5" t="s">
        <v>80</v>
      </c>
      <c r="F171" s="5">
        <v>11072</v>
      </c>
      <c r="G171" s="5" t="s">
        <v>606</v>
      </c>
      <c r="H171" s="5" t="s">
        <v>607</v>
      </c>
      <c r="I171" s="5" t="s">
        <v>212</v>
      </c>
      <c r="N171" s="5" t="s">
        <v>608</v>
      </c>
      <c r="O171" s="5">
        <v>100</v>
      </c>
      <c r="P171" s="5">
        <v>101.89</v>
      </c>
      <c r="Q171" s="5">
        <v>96.1</v>
      </c>
      <c r="R171" s="5">
        <v>98.25</v>
      </c>
      <c r="S171" s="5">
        <v>98</v>
      </c>
      <c r="T171" s="5">
        <v>99.75</v>
      </c>
      <c r="V171" s="5">
        <v>98.26</v>
      </c>
      <c r="Y171" s="5">
        <v>2629</v>
      </c>
      <c r="Z171" s="5">
        <v>259467.59</v>
      </c>
      <c r="AA171" s="5">
        <v>116</v>
      </c>
      <c r="AB171" s="5" t="s">
        <v>85</v>
      </c>
      <c r="AC171" s="5">
        <v>1</v>
      </c>
    </row>
    <row r="172" spans="1:29" x14ac:dyDescent="0.3">
      <c r="A172" s="34">
        <v>46274</v>
      </c>
      <c r="B172" s="34">
        <v>46274</v>
      </c>
      <c r="C172" s="5" t="s">
        <v>78</v>
      </c>
      <c r="D172" s="5" t="s">
        <v>79</v>
      </c>
      <c r="E172" s="5" t="s">
        <v>80</v>
      </c>
      <c r="F172" s="5">
        <v>9046</v>
      </c>
      <c r="G172" s="5" t="s">
        <v>609</v>
      </c>
      <c r="H172" s="5" t="s">
        <v>610</v>
      </c>
      <c r="I172" s="5" t="s">
        <v>212</v>
      </c>
      <c r="N172" s="5" t="s">
        <v>611</v>
      </c>
      <c r="O172" s="5">
        <v>23.45</v>
      </c>
      <c r="P172" s="5">
        <v>23.89</v>
      </c>
      <c r="Q172" s="5">
        <v>21</v>
      </c>
      <c r="R172" s="5">
        <v>21.72</v>
      </c>
      <c r="S172" s="5">
        <v>21.7</v>
      </c>
      <c r="T172" s="5">
        <v>23.44</v>
      </c>
      <c r="V172" s="5">
        <v>21.72</v>
      </c>
      <c r="Y172" s="5">
        <v>143020</v>
      </c>
      <c r="Z172" s="5">
        <v>3193741.7</v>
      </c>
      <c r="AA172" s="5">
        <v>831</v>
      </c>
      <c r="AB172" s="5" t="s">
        <v>85</v>
      </c>
      <c r="AC172" s="5">
        <v>1</v>
      </c>
    </row>
    <row r="173" spans="1:29" x14ac:dyDescent="0.3">
      <c r="A173" s="34">
        <v>46274</v>
      </c>
      <c r="B173" s="34">
        <v>46274</v>
      </c>
      <c r="C173" s="5" t="s">
        <v>78</v>
      </c>
      <c r="D173" s="5" t="s">
        <v>79</v>
      </c>
      <c r="E173" s="5" t="s">
        <v>80</v>
      </c>
      <c r="F173" s="5">
        <v>759202</v>
      </c>
      <c r="G173" s="5" t="s">
        <v>612</v>
      </c>
      <c r="H173" s="5" t="s">
        <v>613</v>
      </c>
      <c r="I173" s="5" t="s">
        <v>614</v>
      </c>
      <c r="N173" s="5" t="s">
        <v>615</v>
      </c>
      <c r="O173" s="5">
        <v>1.9</v>
      </c>
      <c r="P173" s="5">
        <v>1.95</v>
      </c>
      <c r="Q173" s="5">
        <v>1.87</v>
      </c>
      <c r="R173" s="5">
        <v>1.9</v>
      </c>
      <c r="S173" s="5">
        <v>1.92</v>
      </c>
      <c r="T173" s="5">
        <v>1.96</v>
      </c>
      <c r="V173" s="5">
        <v>1.91</v>
      </c>
      <c r="Y173" s="5">
        <v>309384</v>
      </c>
      <c r="Z173" s="5">
        <v>586302.17000000004</v>
      </c>
      <c r="AA173" s="5">
        <v>327</v>
      </c>
      <c r="AB173" s="5" t="s">
        <v>85</v>
      </c>
      <c r="AC173" s="5">
        <v>1</v>
      </c>
    </row>
    <row r="174" spans="1:29" x14ac:dyDescent="0.3">
      <c r="A174" s="34">
        <v>46274</v>
      </c>
      <c r="B174" s="34">
        <v>46274</v>
      </c>
      <c r="C174" s="5" t="s">
        <v>78</v>
      </c>
      <c r="D174" s="5" t="s">
        <v>79</v>
      </c>
      <c r="E174" s="5" t="s">
        <v>80</v>
      </c>
      <c r="F174" s="5">
        <v>2004</v>
      </c>
      <c r="G174" s="5" t="s">
        <v>616</v>
      </c>
      <c r="H174" s="5" t="s">
        <v>617</v>
      </c>
      <c r="I174" s="5" t="s">
        <v>212</v>
      </c>
      <c r="N174" s="5" t="s">
        <v>618</v>
      </c>
      <c r="O174" s="5">
        <v>36.29</v>
      </c>
      <c r="P174" s="5">
        <v>36.99</v>
      </c>
      <c r="Q174" s="5">
        <v>35.200000000000003</v>
      </c>
      <c r="R174" s="5">
        <v>35.479999999999997</v>
      </c>
      <c r="S174" s="5">
        <v>35.5</v>
      </c>
      <c r="T174" s="5">
        <v>36.299999999999997</v>
      </c>
      <c r="V174" s="5">
        <v>35.479999999999997</v>
      </c>
      <c r="Y174" s="5">
        <v>38344</v>
      </c>
      <c r="Z174" s="5">
        <v>1366852.17</v>
      </c>
      <c r="AA174" s="5">
        <v>232</v>
      </c>
      <c r="AB174" s="5" t="s">
        <v>85</v>
      </c>
      <c r="AC174" s="5">
        <v>1</v>
      </c>
    </row>
    <row r="175" spans="1:29" x14ac:dyDescent="0.3">
      <c r="A175" s="34">
        <v>46274</v>
      </c>
      <c r="B175" s="34">
        <v>46274</v>
      </c>
      <c r="C175" s="5" t="s">
        <v>78</v>
      </c>
      <c r="D175" s="5" t="s">
        <v>79</v>
      </c>
      <c r="E175" s="5" t="s">
        <v>80</v>
      </c>
      <c r="F175" s="5">
        <v>17833</v>
      </c>
      <c r="G175" s="5" t="s">
        <v>619</v>
      </c>
      <c r="H175" s="5" t="s">
        <v>620</v>
      </c>
      <c r="I175" s="5" t="s">
        <v>212</v>
      </c>
      <c r="N175" s="5" t="s">
        <v>621</v>
      </c>
      <c r="O175" s="5">
        <v>605.9</v>
      </c>
      <c r="P175" s="5">
        <v>619</v>
      </c>
      <c r="Q175" s="5">
        <v>593</v>
      </c>
      <c r="R175" s="5">
        <v>596.15</v>
      </c>
      <c r="S175" s="5">
        <v>594.1</v>
      </c>
      <c r="T175" s="5">
        <v>607.15</v>
      </c>
      <c r="V175" s="5">
        <v>596.23</v>
      </c>
      <c r="Y175" s="5">
        <v>63167</v>
      </c>
      <c r="Z175" s="5">
        <v>38229919.649999999</v>
      </c>
      <c r="AA175" s="5">
        <v>4291</v>
      </c>
      <c r="AB175" s="5" t="s">
        <v>85</v>
      </c>
      <c r="AC175" s="5">
        <v>1</v>
      </c>
    </row>
    <row r="176" spans="1:29" x14ac:dyDescent="0.3">
      <c r="A176" s="34">
        <v>46274</v>
      </c>
      <c r="B176" s="34">
        <v>46274</v>
      </c>
      <c r="C176" s="5" t="s">
        <v>78</v>
      </c>
      <c r="D176" s="5" t="s">
        <v>79</v>
      </c>
      <c r="E176" s="5" t="s">
        <v>80</v>
      </c>
      <c r="F176" s="5">
        <v>13086</v>
      </c>
      <c r="G176" s="5" t="s">
        <v>622</v>
      </c>
      <c r="H176" s="5" t="s">
        <v>623</v>
      </c>
      <c r="I176" s="5" t="s">
        <v>212</v>
      </c>
      <c r="N176" s="5" t="s">
        <v>624</v>
      </c>
      <c r="O176" s="5">
        <v>4229.5</v>
      </c>
      <c r="P176" s="5">
        <v>4259.1000000000004</v>
      </c>
      <c r="Q176" s="5">
        <v>4165</v>
      </c>
      <c r="R176" s="5">
        <v>4172.1000000000004</v>
      </c>
      <c r="S176" s="5">
        <v>4171</v>
      </c>
      <c r="T176" s="5">
        <v>4259</v>
      </c>
      <c r="V176" s="5">
        <v>4172.09</v>
      </c>
      <c r="Y176" s="5">
        <v>18400</v>
      </c>
      <c r="Z176" s="5">
        <v>77232889.099999994</v>
      </c>
      <c r="AA176" s="5">
        <v>6455</v>
      </c>
      <c r="AB176" s="5" t="s">
        <v>85</v>
      </c>
      <c r="AC176" s="5">
        <v>1</v>
      </c>
    </row>
    <row r="177" spans="1:29" x14ac:dyDescent="0.3">
      <c r="A177" s="34">
        <v>46274</v>
      </c>
      <c r="B177" s="34">
        <v>46274</v>
      </c>
      <c r="C177" s="5" t="s">
        <v>78</v>
      </c>
      <c r="D177" s="5" t="s">
        <v>79</v>
      </c>
      <c r="E177" s="5" t="s">
        <v>80</v>
      </c>
      <c r="F177" s="5">
        <v>23984</v>
      </c>
      <c r="G177" s="5" t="s">
        <v>625</v>
      </c>
      <c r="H177" s="5" t="s">
        <v>626</v>
      </c>
      <c r="I177" s="5" t="s">
        <v>313</v>
      </c>
      <c r="N177" s="5" t="s">
        <v>627</v>
      </c>
      <c r="O177" s="5">
        <v>1673</v>
      </c>
      <c r="P177" s="5">
        <v>1679</v>
      </c>
      <c r="Q177" s="5">
        <v>1642</v>
      </c>
      <c r="R177" s="5">
        <v>1656.35</v>
      </c>
      <c r="S177" s="5">
        <v>1651</v>
      </c>
      <c r="T177" s="5">
        <v>1681.35</v>
      </c>
      <c r="V177" s="5">
        <v>1656.35</v>
      </c>
      <c r="Y177" s="5">
        <v>21000</v>
      </c>
      <c r="Z177" s="5">
        <v>34812980</v>
      </c>
      <c r="AA177" s="5">
        <v>102</v>
      </c>
      <c r="AB177" s="5" t="s">
        <v>85</v>
      </c>
      <c r="AC177" s="5">
        <v>200</v>
      </c>
    </row>
    <row r="178" spans="1:29" x14ac:dyDescent="0.3">
      <c r="A178" s="34">
        <v>46274</v>
      </c>
      <c r="B178" s="34">
        <v>46274</v>
      </c>
      <c r="C178" s="5" t="s">
        <v>78</v>
      </c>
      <c r="D178" s="5" t="s">
        <v>79</v>
      </c>
      <c r="E178" s="5" t="s">
        <v>80</v>
      </c>
      <c r="F178" s="5">
        <v>9878</v>
      </c>
      <c r="G178" s="5" t="s">
        <v>628</v>
      </c>
      <c r="H178" s="5" t="s">
        <v>629</v>
      </c>
      <c r="I178" s="5" t="s">
        <v>234</v>
      </c>
      <c r="N178" s="5" t="s">
        <v>630</v>
      </c>
      <c r="O178" s="5">
        <v>48.01</v>
      </c>
      <c r="P178" s="5">
        <v>48.39</v>
      </c>
      <c r="Q178" s="5">
        <v>47.15</v>
      </c>
      <c r="R178" s="5">
        <v>47.5</v>
      </c>
      <c r="S178" s="5">
        <v>47.5</v>
      </c>
      <c r="T178" s="5">
        <v>48.01</v>
      </c>
      <c r="V178" s="5">
        <v>47.5</v>
      </c>
      <c r="Y178" s="5">
        <v>10933</v>
      </c>
      <c r="Z178" s="5">
        <v>523846.56</v>
      </c>
      <c r="AA178" s="5">
        <v>58</v>
      </c>
      <c r="AB178" s="5" t="s">
        <v>85</v>
      </c>
      <c r="AC178" s="5">
        <v>1</v>
      </c>
    </row>
    <row r="179" spans="1:29" x14ac:dyDescent="0.3">
      <c r="A179" s="34">
        <v>46274</v>
      </c>
      <c r="B179" s="34">
        <v>46274</v>
      </c>
      <c r="C179" s="5" t="s">
        <v>78</v>
      </c>
      <c r="D179" s="5" t="s">
        <v>79</v>
      </c>
      <c r="E179" s="5" t="s">
        <v>80</v>
      </c>
      <c r="F179" s="5">
        <v>9897</v>
      </c>
      <c r="G179" s="5" t="s">
        <v>631</v>
      </c>
      <c r="H179" s="5" t="s">
        <v>632</v>
      </c>
      <c r="I179" s="5" t="s">
        <v>212</v>
      </c>
      <c r="N179" s="5" t="s">
        <v>633</v>
      </c>
      <c r="O179" s="5">
        <v>17.2</v>
      </c>
      <c r="P179" s="5">
        <v>18</v>
      </c>
      <c r="Q179" s="5">
        <v>17.2</v>
      </c>
      <c r="R179" s="5">
        <v>17.66</v>
      </c>
      <c r="S179" s="5">
        <v>17.600000000000001</v>
      </c>
      <c r="T179" s="5">
        <v>17.149999999999999</v>
      </c>
      <c r="V179" s="5">
        <v>17.64</v>
      </c>
      <c r="Y179" s="5">
        <v>343975</v>
      </c>
      <c r="Z179" s="5">
        <v>6084405.5300000003</v>
      </c>
      <c r="AA179" s="5">
        <v>1189</v>
      </c>
      <c r="AB179" s="5" t="s">
        <v>85</v>
      </c>
      <c r="AC179" s="5">
        <v>1</v>
      </c>
    </row>
    <row r="180" spans="1:29" x14ac:dyDescent="0.3">
      <c r="A180" s="34">
        <v>46274</v>
      </c>
      <c r="B180" s="34">
        <v>46274</v>
      </c>
      <c r="C180" s="5" t="s">
        <v>78</v>
      </c>
      <c r="D180" s="5" t="s">
        <v>79</v>
      </c>
      <c r="E180" s="5" t="s">
        <v>80</v>
      </c>
      <c r="F180" s="5">
        <v>6068</v>
      </c>
      <c r="G180" s="5" t="s">
        <v>634</v>
      </c>
      <c r="H180" s="5" t="s">
        <v>635</v>
      </c>
      <c r="I180" s="5" t="s">
        <v>212</v>
      </c>
      <c r="N180" s="5" t="s">
        <v>636</v>
      </c>
      <c r="O180" s="5">
        <v>88.5</v>
      </c>
      <c r="P180" s="5">
        <v>88.5</v>
      </c>
      <c r="Q180" s="5">
        <v>86.17</v>
      </c>
      <c r="R180" s="5">
        <v>87.97</v>
      </c>
      <c r="S180" s="5">
        <v>87.99</v>
      </c>
      <c r="T180" s="5">
        <v>88.67</v>
      </c>
      <c r="V180" s="5">
        <v>87.97</v>
      </c>
      <c r="Y180" s="5">
        <v>173</v>
      </c>
      <c r="Z180" s="5">
        <v>15245.86</v>
      </c>
      <c r="AA180" s="5">
        <v>15</v>
      </c>
      <c r="AB180" s="5" t="s">
        <v>85</v>
      </c>
      <c r="AC180" s="5">
        <v>1</v>
      </c>
    </row>
    <row r="181" spans="1:29" x14ac:dyDescent="0.3">
      <c r="A181" s="34">
        <v>46274</v>
      </c>
      <c r="B181" s="34">
        <v>46274</v>
      </c>
      <c r="C181" s="5" t="s">
        <v>78</v>
      </c>
      <c r="D181" s="5" t="s">
        <v>79</v>
      </c>
      <c r="E181" s="5" t="s">
        <v>80</v>
      </c>
      <c r="F181" s="5">
        <v>8124</v>
      </c>
      <c r="G181" s="5" t="s">
        <v>637</v>
      </c>
      <c r="H181" s="5" t="s">
        <v>638</v>
      </c>
      <c r="I181" s="5" t="s">
        <v>212</v>
      </c>
      <c r="N181" s="5" t="s">
        <v>639</v>
      </c>
      <c r="O181" s="5">
        <v>3605</v>
      </c>
      <c r="P181" s="5">
        <v>3609</v>
      </c>
      <c r="Q181" s="5">
        <v>3512.3</v>
      </c>
      <c r="R181" s="5">
        <v>3534.4</v>
      </c>
      <c r="S181" s="5">
        <v>3513</v>
      </c>
      <c r="T181" s="5">
        <v>3579.3</v>
      </c>
      <c r="V181" s="5">
        <v>3534.6</v>
      </c>
      <c r="Y181" s="5">
        <v>41843</v>
      </c>
      <c r="Z181" s="5">
        <v>148777795.09999999</v>
      </c>
      <c r="AA181" s="5">
        <v>10782</v>
      </c>
      <c r="AB181" s="5" t="s">
        <v>85</v>
      </c>
      <c r="AC181" s="5">
        <v>1</v>
      </c>
    </row>
    <row r="182" spans="1:29" x14ac:dyDescent="0.3">
      <c r="A182" s="34">
        <v>46274</v>
      </c>
      <c r="B182" s="34">
        <v>46274</v>
      </c>
      <c r="C182" s="5" t="s">
        <v>78</v>
      </c>
      <c r="D182" s="5" t="s">
        <v>79</v>
      </c>
      <c r="E182" s="5" t="s">
        <v>80</v>
      </c>
      <c r="F182" s="5">
        <v>29624</v>
      </c>
      <c r="G182" s="5" t="s">
        <v>640</v>
      </c>
      <c r="H182" s="5" t="s">
        <v>641</v>
      </c>
      <c r="I182" s="5" t="s">
        <v>212</v>
      </c>
      <c r="N182" s="5" t="s">
        <v>642</v>
      </c>
      <c r="O182" s="5">
        <v>599.29999999999995</v>
      </c>
      <c r="P182" s="5">
        <v>599.5</v>
      </c>
      <c r="Q182" s="5">
        <v>575.85</v>
      </c>
      <c r="R182" s="5">
        <v>578.04999999999995</v>
      </c>
      <c r="S182" s="5">
        <v>576.85</v>
      </c>
      <c r="T182" s="5">
        <v>594.1</v>
      </c>
      <c r="V182" s="5">
        <v>578.04999999999995</v>
      </c>
      <c r="Y182" s="5">
        <v>65391</v>
      </c>
      <c r="Z182" s="5">
        <v>37953400.350000001</v>
      </c>
      <c r="AA182" s="5">
        <v>6124</v>
      </c>
      <c r="AB182" s="5" t="s">
        <v>85</v>
      </c>
      <c r="AC182" s="5">
        <v>1</v>
      </c>
    </row>
    <row r="183" spans="1:29" x14ac:dyDescent="0.3">
      <c r="A183" s="34">
        <v>46274</v>
      </c>
      <c r="B183" s="34">
        <v>46274</v>
      </c>
      <c r="C183" s="5" t="s">
        <v>78</v>
      </c>
      <c r="D183" s="5" t="s">
        <v>79</v>
      </c>
      <c r="E183" s="5" t="s">
        <v>80</v>
      </c>
      <c r="F183" s="5">
        <v>17307</v>
      </c>
      <c r="G183" s="5" t="s">
        <v>643</v>
      </c>
      <c r="H183" s="5" t="s">
        <v>644</v>
      </c>
      <c r="I183" s="5" t="s">
        <v>212</v>
      </c>
      <c r="N183" s="5" t="s">
        <v>645</v>
      </c>
      <c r="O183" s="5">
        <v>118.1</v>
      </c>
      <c r="P183" s="5">
        <v>118.27</v>
      </c>
      <c r="Q183" s="5">
        <v>115.3</v>
      </c>
      <c r="R183" s="5">
        <v>117.12</v>
      </c>
      <c r="S183" s="5">
        <v>117</v>
      </c>
      <c r="T183" s="5">
        <v>118.1</v>
      </c>
      <c r="V183" s="5">
        <v>117.12</v>
      </c>
      <c r="Y183" s="5">
        <v>540312</v>
      </c>
      <c r="Z183" s="5">
        <v>63328017.649999999</v>
      </c>
      <c r="AA183" s="5">
        <v>10490</v>
      </c>
      <c r="AB183" s="5" t="s">
        <v>85</v>
      </c>
      <c r="AC183" s="5">
        <v>1</v>
      </c>
    </row>
    <row r="184" spans="1:29" x14ac:dyDescent="0.3">
      <c r="A184" s="34">
        <v>46274</v>
      </c>
      <c r="B184" s="34">
        <v>46274</v>
      </c>
      <c r="C184" s="5" t="s">
        <v>78</v>
      </c>
      <c r="D184" s="5" t="s">
        <v>79</v>
      </c>
      <c r="E184" s="5" t="s">
        <v>80</v>
      </c>
      <c r="F184" s="5">
        <v>3403</v>
      </c>
      <c r="G184" s="5" t="s">
        <v>646</v>
      </c>
      <c r="H184" s="5" t="s">
        <v>647</v>
      </c>
      <c r="I184" s="5" t="s">
        <v>212</v>
      </c>
      <c r="N184" s="5" t="s">
        <v>648</v>
      </c>
      <c r="O184" s="5">
        <v>3.42</v>
      </c>
      <c r="P184" s="5">
        <v>3.52</v>
      </c>
      <c r="Q184" s="5">
        <v>3.42</v>
      </c>
      <c r="R184" s="5">
        <v>3.5</v>
      </c>
      <c r="S184" s="5">
        <v>3.5</v>
      </c>
      <c r="T184" s="5">
        <v>3.44</v>
      </c>
      <c r="V184" s="5">
        <v>3.5</v>
      </c>
      <c r="Y184" s="5">
        <v>164411</v>
      </c>
      <c r="Z184" s="5">
        <v>571805.71</v>
      </c>
      <c r="AA184" s="5">
        <v>345</v>
      </c>
      <c r="AB184" s="5" t="s">
        <v>85</v>
      </c>
      <c r="AC184" s="5">
        <v>1</v>
      </c>
    </row>
    <row r="185" spans="1:29" x14ac:dyDescent="0.3">
      <c r="A185" s="34">
        <v>46274</v>
      </c>
      <c r="B185" s="34">
        <v>46274</v>
      </c>
      <c r="C185" s="5" t="s">
        <v>78</v>
      </c>
      <c r="D185" s="5" t="s">
        <v>79</v>
      </c>
      <c r="E185" s="5" t="s">
        <v>80</v>
      </c>
      <c r="F185" s="5">
        <v>21121</v>
      </c>
      <c r="G185" s="5" t="s">
        <v>649</v>
      </c>
      <c r="H185" s="5" t="s">
        <v>650</v>
      </c>
      <c r="I185" s="5" t="s">
        <v>313</v>
      </c>
      <c r="N185" s="5" t="s">
        <v>651</v>
      </c>
      <c r="O185" s="5">
        <v>135.5</v>
      </c>
      <c r="P185" s="5">
        <v>135.5</v>
      </c>
      <c r="Q185" s="5">
        <v>135</v>
      </c>
      <c r="R185" s="5">
        <v>135</v>
      </c>
      <c r="S185" s="5">
        <v>135</v>
      </c>
      <c r="T185" s="5">
        <v>135.5</v>
      </c>
      <c r="V185" s="5">
        <v>135</v>
      </c>
      <c r="Y185" s="5">
        <v>4000</v>
      </c>
      <c r="Z185" s="5">
        <v>541400</v>
      </c>
      <c r="AA185" s="5">
        <v>4</v>
      </c>
      <c r="AB185" s="5" t="s">
        <v>85</v>
      </c>
      <c r="AC185" s="5">
        <v>1000</v>
      </c>
    </row>
    <row r="186" spans="1:29" x14ac:dyDescent="0.3">
      <c r="A186" s="34">
        <v>46274</v>
      </c>
      <c r="B186" s="34">
        <v>46274</v>
      </c>
      <c r="C186" s="5" t="s">
        <v>78</v>
      </c>
      <c r="D186" s="5" t="s">
        <v>79</v>
      </c>
      <c r="E186" s="5" t="s">
        <v>80</v>
      </c>
      <c r="F186" s="5">
        <v>13510</v>
      </c>
      <c r="G186" s="5" t="s">
        <v>652</v>
      </c>
      <c r="H186" s="5" t="s">
        <v>653</v>
      </c>
      <c r="I186" s="5" t="s">
        <v>212</v>
      </c>
      <c r="N186" s="5" t="s">
        <v>654</v>
      </c>
      <c r="O186" s="5">
        <v>25.09</v>
      </c>
      <c r="P186" s="5">
        <v>25.79</v>
      </c>
      <c r="Q186" s="5">
        <v>24.65</v>
      </c>
      <c r="R186" s="5">
        <v>25.45</v>
      </c>
      <c r="S186" s="5">
        <v>25.45</v>
      </c>
      <c r="T186" s="5">
        <v>25.09</v>
      </c>
      <c r="V186" s="5">
        <v>25.45</v>
      </c>
      <c r="Y186" s="5">
        <v>3274</v>
      </c>
      <c r="Z186" s="5">
        <v>82981.210000000006</v>
      </c>
      <c r="AA186" s="5">
        <v>57</v>
      </c>
      <c r="AB186" s="5" t="s">
        <v>85</v>
      </c>
      <c r="AC186" s="5">
        <v>1</v>
      </c>
    </row>
    <row r="187" spans="1:29" x14ac:dyDescent="0.3">
      <c r="A187" s="34">
        <v>46274</v>
      </c>
      <c r="B187" s="34">
        <v>46274</v>
      </c>
      <c r="C187" s="5" t="s">
        <v>78</v>
      </c>
      <c r="D187" s="5" t="s">
        <v>79</v>
      </c>
      <c r="E187" s="5" t="s">
        <v>80</v>
      </c>
      <c r="F187" s="5">
        <v>2176</v>
      </c>
      <c r="G187" s="5" t="s">
        <v>655</v>
      </c>
      <c r="H187" s="5" t="s">
        <v>656</v>
      </c>
      <c r="I187" s="5" t="s">
        <v>212</v>
      </c>
      <c r="N187" s="5" t="s">
        <v>657</v>
      </c>
      <c r="O187" s="5">
        <v>10.07</v>
      </c>
      <c r="P187" s="5">
        <v>10.73</v>
      </c>
      <c r="Q187" s="5">
        <v>9.5500000000000007</v>
      </c>
      <c r="R187" s="5">
        <v>10.52</v>
      </c>
      <c r="S187" s="5">
        <v>10.35</v>
      </c>
      <c r="T187" s="5">
        <v>9.83</v>
      </c>
      <c r="V187" s="5">
        <v>10.52</v>
      </c>
      <c r="Y187" s="5">
        <v>66537</v>
      </c>
      <c r="Z187" s="5">
        <v>695560.19</v>
      </c>
      <c r="AA187" s="5">
        <v>594</v>
      </c>
      <c r="AB187" s="5" t="s">
        <v>85</v>
      </c>
      <c r="AC187" s="5">
        <v>1</v>
      </c>
    </row>
    <row r="188" spans="1:29" x14ac:dyDescent="0.3">
      <c r="A188" s="34">
        <v>46274</v>
      </c>
      <c r="B188" s="34">
        <v>46274</v>
      </c>
      <c r="C188" s="5" t="s">
        <v>78</v>
      </c>
      <c r="D188" s="5" t="s">
        <v>79</v>
      </c>
      <c r="E188" s="5" t="s">
        <v>80</v>
      </c>
      <c r="F188" s="5">
        <v>14895</v>
      </c>
      <c r="G188" s="5" t="s">
        <v>658</v>
      </c>
      <c r="H188" s="5" t="s">
        <v>659</v>
      </c>
      <c r="I188" s="5" t="s">
        <v>234</v>
      </c>
      <c r="N188" s="5" t="s">
        <v>660</v>
      </c>
      <c r="O188" s="5">
        <v>7.15</v>
      </c>
      <c r="P188" s="5">
        <v>7.35</v>
      </c>
      <c r="Q188" s="5">
        <v>6.8</v>
      </c>
      <c r="R188" s="5">
        <v>6.8</v>
      </c>
      <c r="S188" s="5">
        <v>6.8</v>
      </c>
      <c r="T188" s="5">
        <v>7.15</v>
      </c>
      <c r="V188" s="5">
        <v>6.81</v>
      </c>
      <c r="Y188" s="5">
        <v>111355</v>
      </c>
      <c r="Z188" s="5">
        <v>764269.41</v>
      </c>
      <c r="AA188" s="5">
        <v>306</v>
      </c>
      <c r="AB188" s="5" t="s">
        <v>85</v>
      </c>
      <c r="AC188" s="5">
        <v>1</v>
      </c>
    </row>
    <row r="189" spans="1:29" x14ac:dyDescent="0.3">
      <c r="A189" s="34">
        <v>46274</v>
      </c>
      <c r="B189" s="34">
        <v>46274</v>
      </c>
      <c r="C189" s="5" t="s">
        <v>78</v>
      </c>
      <c r="D189" s="5" t="s">
        <v>79</v>
      </c>
      <c r="E189" s="5" t="s">
        <v>80</v>
      </c>
      <c r="F189" s="5">
        <v>24304</v>
      </c>
      <c r="G189" s="5" t="s">
        <v>661</v>
      </c>
      <c r="H189" s="5" t="s">
        <v>662</v>
      </c>
      <c r="I189" s="5" t="s">
        <v>313</v>
      </c>
      <c r="N189" s="5" t="s">
        <v>663</v>
      </c>
      <c r="O189" s="5">
        <v>428.95</v>
      </c>
      <c r="P189" s="5">
        <v>430.1</v>
      </c>
      <c r="Q189" s="5">
        <v>428.95</v>
      </c>
      <c r="R189" s="5">
        <v>430</v>
      </c>
      <c r="S189" s="5">
        <v>430</v>
      </c>
      <c r="T189" s="5">
        <v>427.75</v>
      </c>
      <c r="V189" s="5">
        <v>430</v>
      </c>
      <c r="Y189" s="5">
        <v>53600</v>
      </c>
      <c r="Z189" s="5">
        <v>23046600</v>
      </c>
      <c r="AA189" s="5">
        <v>51</v>
      </c>
      <c r="AB189" s="5" t="s">
        <v>85</v>
      </c>
      <c r="AC189" s="5">
        <v>800</v>
      </c>
    </row>
    <row r="190" spans="1:29" x14ac:dyDescent="0.3">
      <c r="A190" s="34">
        <v>46274</v>
      </c>
      <c r="B190" s="34">
        <v>46274</v>
      </c>
      <c r="C190" s="5" t="s">
        <v>78</v>
      </c>
      <c r="D190" s="5" t="s">
        <v>79</v>
      </c>
      <c r="E190" s="5" t="s">
        <v>80</v>
      </c>
      <c r="F190" s="5">
        <v>24159</v>
      </c>
      <c r="G190" s="5" t="s">
        <v>664</v>
      </c>
      <c r="H190" s="5" t="s">
        <v>665</v>
      </c>
      <c r="I190" s="5" t="s">
        <v>212</v>
      </c>
      <c r="N190" s="5" t="s">
        <v>666</v>
      </c>
      <c r="O190" s="5">
        <v>9.4499999999999993</v>
      </c>
      <c r="P190" s="5">
        <v>9.4499999999999993</v>
      </c>
      <c r="Q190" s="5">
        <v>8.9</v>
      </c>
      <c r="R190" s="5">
        <v>9.01</v>
      </c>
      <c r="S190" s="5">
        <v>9.1</v>
      </c>
      <c r="T190" s="5">
        <v>9.07</v>
      </c>
      <c r="V190" s="5">
        <v>9.0500000000000007</v>
      </c>
      <c r="Y190" s="5">
        <v>446375</v>
      </c>
      <c r="Z190" s="5">
        <v>4013124.45</v>
      </c>
      <c r="AA190" s="5">
        <v>616</v>
      </c>
      <c r="AB190" s="5" t="s">
        <v>85</v>
      </c>
      <c r="AC190" s="5">
        <v>1</v>
      </c>
    </row>
    <row r="191" spans="1:29" x14ac:dyDescent="0.3">
      <c r="A191" s="34">
        <v>46274</v>
      </c>
      <c r="B191" s="34">
        <v>46274</v>
      </c>
      <c r="C191" s="5" t="s">
        <v>78</v>
      </c>
      <c r="D191" s="5" t="s">
        <v>79</v>
      </c>
      <c r="E191" s="5" t="s">
        <v>80</v>
      </c>
      <c r="F191" s="5">
        <v>8595</v>
      </c>
      <c r="G191" s="5" t="s">
        <v>667</v>
      </c>
      <c r="H191" s="5" t="s">
        <v>668</v>
      </c>
      <c r="I191" s="5" t="s">
        <v>234</v>
      </c>
      <c r="N191" s="5" t="s">
        <v>669</v>
      </c>
      <c r="O191" s="5">
        <v>8.59</v>
      </c>
      <c r="P191" s="5">
        <v>8.59</v>
      </c>
      <c r="Q191" s="5">
        <v>8.59</v>
      </c>
      <c r="R191" s="5">
        <v>8.59</v>
      </c>
      <c r="S191" s="5">
        <v>8.59</v>
      </c>
      <c r="T191" s="5">
        <v>8.19</v>
      </c>
      <c r="V191" s="5">
        <v>8.6</v>
      </c>
      <c r="Y191" s="5">
        <v>372175</v>
      </c>
      <c r="Z191" s="5">
        <v>3196983.25</v>
      </c>
      <c r="AA191" s="5">
        <v>227</v>
      </c>
      <c r="AB191" s="5" t="s">
        <v>85</v>
      </c>
      <c r="AC191" s="5">
        <v>1</v>
      </c>
    </row>
    <row r="192" spans="1:29" x14ac:dyDescent="0.3">
      <c r="A192" s="34">
        <v>46274</v>
      </c>
      <c r="B192" s="34">
        <v>46274</v>
      </c>
      <c r="C192" s="5" t="s">
        <v>78</v>
      </c>
      <c r="D192" s="5" t="s">
        <v>79</v>
      </c>
      <c r="E192" s="5" t="s">
        <v>80</v>
      </c>
      <c r="F192" s="5">
        <v>9558</v>
      </c>
      <c r="G192" s="5" t="s">
        <v>670</v>
      </c>
      <c r="H192" s="5" t="s">
        <v>671</v>
      </c>
      <c r="I192" s="5" t="s">
        <v>212</v>
      </c>
      <c r="N192" s="5" t="s">
        <v>672</v>
      </c>
      <c r="O192" s="5">
        <v>0.42</v>
      </c>
      <c r="P192" s="5">
        <v>0.43</v>
      </c>
      <c r="Q192" s="5">
        <v>0.41</v>
      </c>
      <c r="R192" s="5">
        <v>0.41</v>
      </c>
      <c r="S192" s="5">
        <v>0.41</v>
      </c>
      <c r="T192" s="5">
        <v>0.42</v>
      </c>
      <c r="V192" s="5">
        <v>0.41</v>
      </c>
      <c r="Y192" s="5">
        <v>1293096</v>
      </c>
      <c r="Z192" s="5">
        <v>541689.56000000006</v>
      </c>
      <c r="AA192" s="5">
        <v>249</v>
      </c>
      <c r="AB192" s="5" t="s">
        <v>85</v>
      </c>
      <c r="AC192" s="5">
        <v>1</v>
      </c>
    </row>
    <row r="193" spans="1:29" x14ac:dyDescent="0.3">
      <c r="A193" s="34">
        <v>46274</v>
      </c>
      <c r="B193" s="34">
        <v>46274</v>
      </c>
      <c r="C193" s="5" t="s">
        <v>78</v>
      </c>
      <c r="D193" s="5" t="s">
        <v>79</v>
      </c>
      <c r="E193" s="5" t="s">
        <v>80</v>
      </c>
      <c r="F193" s="5">
        <v>20194</v>
      </c>
      <c r="G193" s="5" t="s">
        <v>673</v>
      </c>
      <c r="H193" s="5" t="s">
        <v>674</v>
      </c>
      <c r="I193" s="5" t="s">
        <v>234</v>
      </c>
      <c r="N193" s="5" t="s">
        <v>675</v>
      </c>
      <c r="O193" s="5">
        <v>452.5</v>
      </c>
      <c r="P193" s="5">
        <v>453</v>
      </c>
      <c r="Q193" s="5">
        <v>429.9</v>
      </c>
      <c r="R193" s="5">
        <v>429.9</v>
      </c>
      <c r="S193" s="5">
        <v>429.9</v>
      </c>
      <c r="T193" s="5">
        <v>452.5</v>
      </c>
      <c r="V193" s="5">
        <v>431.22</v>
      </c>
      <c r="Y193" s="5">
        <v>23607</v>
      </c>
      <c r="Z193" s="5">
        <v>10231644.15</v>
      </c>
      <c r="AA193" s="5">
        <v>311</v>
      </c>
      <c r="AB193" s="5" t="s">
        <v>85</v>
      </c>
      <c r="AC193" s="5">
        <v>1</v>
      </c>
    </row>
    <row r="194" spans="1:29" x14ac:dyDescent="0.3">
      <c r="A194" s="34">
        <v>46274</v>
      </c>
      <c r="B194" s="34">
        <v>46274</v>
      </c>
      <c r="C194" s="5" t="s">
        <v>78</v>
      </c>
      <c r="D194" s="5" t="s">
        <v>79</v>
      </c>
      <c r="E194" s="5" t="s">
        <v>80</v>
      </c>
      <c r="F194" s="5">
        <v>24715</v>
      </c>
      <c r="G194" s="5" t="s">
        <v>676</v>
      </c>
      <c r="H194" s="5" t="s">
        <v>677</v>
      </c>
      <c r="I194" s="5" t="s">
        <v>212</v>
      </c>
      <c r="N194" s="5" t="s">
        <v>678</v>
      </c>
      <c r="O194" s="5">
        <v>737</v>
      </c>
      <c r="P194" s="5">
        <v>769</v>
      </c>
      <c r="Q194" s="5">
        <v>737</v>
      </c>
      <c r="R194" s="5">
        <v>741.1</v>
      </c>
      <c r="S194" s="5">
        <v>738</v>
      </c>
      <c r="T194" s="5">
        <v>736.6</v>
      </c>
      <c r="V194" s="5">
        <v>741.14</v>
      </c>
      <c r="Y194" s="5">
        <v>433609</v>
      </c>
      <c r="Z194" s="5">
        <v>325413409.14999998</v>
      </c>
      <c r="AA194" s="5">
        <v>21459</v>
      </c>
      <c r="AB194" s="5" t="s">
        <v>85</v>
      </c>
      <c r="AC194" s="5">
        <v>1</v>
      </c>
    </row>
    <row r="195" spans="1:29" x14ac:dyDescent="0.3">
      <c r="A195" s="34">
        <v>46274</v>
      </c>
      <c r="B195" s="34">
        <v>46274</v>
      </c>
      <c r="C195" s="5" t="s">
        <v>78</v>
      </c>
      <c r="D195" s="5" t="s">
        <v>79</v>
      </c>
      <c r="E195" s="5" t="s">
        <v>80</v>
      </c>
      <c r="F195" s="5">
        <v>9921</v>
      </c>
      <c r="G195" s="5" t="s">
        <v>679</v>
      </c>
      <c r="H195" s="5" t="s">
        <v>680</v>
      </c>
      <c r="I195" s="5" t="s">
        <v>212</v>
      </c>
      <c r="N195" s="5" t="s">
        <v>681</v>
      </c>
      <c r="O195" s="5">
        <v>7.99</v>
      </c>
      <c r="P195" s="5">
        <v>8.1199999999999992</v>
      </c>
      <c r="Q195" s="5">
        <v>7.9</v>
      </c>
      <c r="R195" s="5">
        <v>8.02</v>
      </c>
      <c r="S195" s="5">
        <v>8</v>
      </c>
      <c r="T195" s="5">
        <v>7.99</v>
      </c>
      <c r="V195" s="5">
        <v>8</v>
      </c>
      <c r="Y195" s="5">
        <v>63127</v>
      </c>
      <c r="Z195" s="5">
        <v>507277.33</v>
      </c>
      <c r="AA195" s="5">
        <v>427</v>
      </c>
      <c r="AB195" s="5" t="s">
        <v>85</v>
      </c>
      <c r="AC195" s="5">
        <v>1</v>
      </c>
    </row>
    <row r="196" spans="1:29" x14ac:dyDescent="0.3">
      <c r="A196" s="34">
        <v>46274</v>
      </c>
      <c r="B196" s="34">
        <v>46274</v>
      </c>
      <c r="C196" s="5" t="s">
        <v>78</v>
      </c>
      <c r="D196" s="5" t="s">
        <v>79</v>
      </c>
      <c r="E196" s="5" t="s">
        <v>80</v>
      </c>
      <c r="F196" s="5">
        <v>17256</v>
      </c>
      <c r="G196" s="5" t="s">
        <v>682</v>
      </c>
      <c r="H196" s="5" t="s">
        <v>683</v>
      </c>
      <c r="I196" s="5" t="s">
        <v>212</v>
      </c>
      <c r="N196" s="5" t="s">
        <v>684</v>
      </c>
      <c r="O196" s="5">
        <v>854</v>
      </c>
      <c r="P196" s="5">
        <v>854</v>
      </c>
      <c r="Q196" s="5">
        <v>832.3</v>
      </c>
      <c r="R196" s="5">
        <v>850.55</v>
      </c>
      <c r="S196" s="5">
        <v>850</v>
      </c>
      <c r="T196" s="5">
        <v>844.05</v>
      </c>
      <c r="V196" s="5">
        <v>850.57</v>
      </c>
      <c r="Y196" s="5">
        <v>3812</v>
      </c>
      <c r="Z196" s="5">
        <v>3223394.15</v>
      </c>
      <c r="AA196" s="5">
        <v>387</v>
      </c>
      <c r="AB196" s="5" t="s">
        <v>85</v>
      </c>
      <c r="AC196" s="5">
        <v>1</v>
      </c>
    </row>
    <row r="197" spans="1:29" x14ac:dyDescent="0.3">
      <c r="A197" s="34">
        <v>46274</v>
      </c>
      <c r="B197" s="34">
        <v>46274</v>
      </c>
      <c r="C197" s="5" t="s">
        <v>78</v>
      </c>
      <c r="D197" s="5" t="s">
        <v>79</v>
      </c>
      <c r="E197" s="5" t="s">
        <v>80</v>
      </c>
      <c r="F197" s="5">
        <v>79</v>
      </c>
      <c r="G197" s="5" t="s">
        <v>685</v>
      </c>
      <c r="H197" s="5" t="s">
        <v>686</v>
      </c>
      <c r="I197" s="5" t="s">
        <v>212</v>
      </c>
      <c r="N197" s="5" t="s">
        <v>687</v>
      </c>
      <c r="O197" s="5">
        <v>109.73</v>
      </c>
      <c r="P197" s="5">
        <v>109.73</v>
      </c>
      <c r="Q197" s="5">
        <v>106.08</v>
      </c>
      <c r="R197" s="5">
        <v>106.95</v>
      </c>
      <c r="S197" s="5">
        <v>106.5</v>
      </c>
      <c r="T197" s="5">
        <v>109.73</v>
      </c>
      <c r="V197" s="5">
        <v>106.95</v>
      </c>
      <c r="Y197" s="5">
        <v>694090</v>
      </c>
      <c r="Z197" s="5">
        <v>74544801.590000004</v>
      </c>
      <c r="AA197" s="5">
        <v>7430</v>
      </c>
      <c r="AB197" s="5" t="s">
        <v>85</v>
      </c>
      <c r="AC197" s="5">
        <v>1</v>
      </c>
    </row>
    <row r="198" spans="1:29" x14ac:dyDescent="0.3">
      <c r="A198" s="34">
        <v>46274</v>
      </c>
      <c r="B198" s="34">
        <v>46274</v>
      </c>
      <c r="C198" s="5" t="s">
        <v>78</v>
      </c>
      <c r="D198" s="5" t="s">
        <v>79</v>
      </c>
      <c r="E198" s="5" t="s">
        <v>80</v>
      </c>
      <c r="F198" s="5">
        <v>25328</v>
      </c>
      <c r="G198" s="5" t="s">
        <v>688</v>
      </c>
      <c r="H198" s="5" t="s">
        <v>689</v>
      </c>
      <c r="I198" s="5" t="s">
        <v>212</v>
      </c>
      <c r="N198" s="5" t="s">
        <v>690</v>
      </c>
      <c r="O198" s="5">
        <v>804.5</v>
      </c>
      <c r="P198" s="5">
        <v>821.5</v>
      </c>
      <c r="Q198" s="5">
        <v>799.1</v>
      </c>
      <c r="R198" s="5">
        <v>817.4</v>
      </c>
      <c r="S198" s="5">
        <v>817</v>
      </c>
      <c r="T198" s="5">
        <v>808.5</v>
      </c>
      <c r="V198" s="5">
        <v>817.42</v>
      </c>
      <c r="Y198" s="5">
        <v>86236</v>
      </c>
      <c r="Z198" s="5">
        <v>70113634.849999994</v>
      </c>
      <c r="AA198" s="5">
        <v>8800</v>
      </c>
      <c r="AB198" s="5" t="s">
        <v>85</v>
      </c>
      <c r="AC198" s="5">
        <v>1</v>
      </c>
    </row>
    <row r="199" spans="1:29" x14ac:dyDescent="0.3">
      <c r="A199" s="34">
        <v>46274</v>
      </c>
      <c r="B199" s="34">
        <v>46274</v>
      </c>
      <c r="C199" s="5" t="s">
        <v>78</v>
      </c>
      <c r="D199" s="5" t="s">
        <v>79</v>
      </c>
      <c r="E199" s="5" t="s">
        <v>80</v>
      </c>
      <c r="F199" s="5">
        <v>764573</v>
      </c>
      <c r="G199" s="5" t="s">
        <v>691</v>
      </c>
      <c r="H199" s="5" t="s">
        <v>692</v>
      </c>
      <c r="I199" s="5" t="s">
        <v>212</v>
      </c>
      <c r="N199" s="5" t="s">
        <v>693</v>
      </c>
      <c r="O199" s="5">
        <v>2878</v>
      </c>
      <c r="P199" s="5">
        <v>2900</v>
      </c>
      <c r="Q199" s="5">
        <v>2877.9</v>
      </c>
      <c r="R199" s="5">
        <v>2900</v>
      </c>
      <c r="S199" s="5">
        <v>2900</v>
      </c>
      <c r="T199" s="5">
        <v>2945</v>
      </c>
      <c r="V199" s="5">
        <v>2889.03</v>
      </c>
      <c r="Y199" s="5">
        <v>96</v>
      </c>
      <c r="Z199" s="5">
        <v>276399.90000000002</v>
      </c>
      <c r="AA199" s="5">
        <v>80</v>
      </c>
      <c r="AB199" s="5" t="s">
        <v>85</v>
      </c>
      <c r="AC199" s="5">
        <v>1</v>
      </c>
    </row>
    <row r="200" spans="1:29" x14ac:dyDescent="0.3">
      <c r="A200" s="34">
        <v>46274</v>
      </c>
      <c r="B200" s="34">
        <v>46274</v>
      </c>
      <c r="C200" s="5" t="s">
        <v>78</v>
      </c>
      <c r="D200" s="5" t="s">
        <v>79</v>
      </c>
      <c r="E200" s="5" t="s">
        <v>80</v>
      </c>
      <c r="F200" s="5">
        <v>761270</v>
      </c>
      <c r="G200" s="5" t="s">
        <v>694</v>
      </c>
      <c r="H200" s="5" t="s">
        <v>695</v>
      </c>
      <c r="I200" s="5" t="s">
        <v>212</v>
      </c>
      <c r="N200" s="5" t="s">
        <v>696</v>
      </c>
      <c r="O200" s="5">
        <v>63.52</v>
      </c>
      <c r="P200" s="5">
        <v>65.5</v>
      </c>
      <c r="Q200" s="5">
        <v>63.08</v>
      </c>
      <c r="R200" s="5">
        <v>63.79</v>
      </c>
      <c r="S200" s="5">
        <v>63.89</v>
      </c>
      <c r="T200" s="5">
        <v>63.7</v>
      </c>
      <c r="V200" s="5">
        <v>63.79</v>
      </c>
      <c r="Y200" s="5">
        <v>1285564</v>
      </c>
      <c r="Z200" s="5">
        <v>82006902.480000004</v>
      </c>
      <c r="AA200" s="5">
        <v>1874</v>
      </c>
      <c r="AB200" s="5" t="s">
        <v>85</v>
      </c>
      <c r="AC200" s="5">
        <v>1</v>
      </c>
    </row>
    <row r="201" spans="1:29" x14ac:dyDescent="0.3">
      <c r="A201" s="34">
        <v>46274</v>
      </c>
      <c r="B201" s="34">
        <v>46274</v>
      </c>
      <c r="C201" s="5" t="s">
        <v>78</v>
      </c>
      <c r="D201" s="5" t="s">
        <v>79</v>
      </c>
      <c r="E201" s="5" t="s">
        <v>80</v>
      </c>
      <c r="F201" s="5">
        <v>13656</v>
      </c>
      <c r="G201" s="5" t="s">
        <v>697</v>
      </c>
      <c r="H201" s="5" t="s">
        <v>698</v>
      </c>
      <c r="I201" s="5" t="s">
        <v>212</v>
      </c>
      <c r="N201" s="5" t="s">
        <v>699</v>
      </c>
      <c r="O201" s="5">
        <v>695.45</v>
      </c>
      <c r="P201" s="5">
        <v>743</v>
      </c>
      <c r="Q201" s="5">
        <v>663</v>
      </c>
      <c r="R201" s="5">
        <v>737.65</v>
      </c>
      <c r="S201" s="5">
        <v>742</v>
      </c>
      <c r="T201" s="5">
        <v>695.45</v>
      </c>
      <c r="V201" s="5">
        <v>737.71</v>
      </c>
      <c r="Y201" s="5">
        <v>108118</v>
      </c>
      <c r="Z201" s="5">
        <v>78737922.75</v>
      </c>
      <c r="AA201" s="5">
        <v>6999</v>
      </c>
      <c r="AB201" s="5" t="s">
        <v>85</v>
      </c>
      <c r="AC201" s="5">
        <v>1</v>
      </c>
    </row>
    <row r="202" spans="1:29" x14ac:dyDescent="0.3">
      <c r="A202" s="34">
        <v>46274</v>
      </c>
      <c r="B202" s="34">
        <v>46274</v>
      </c>
      <c r="C202" s="5" t="s">
        <v>78</v>
      </c>
      <c r="D202" s="5" t="s">
        <v>79</v>
      </c>
      <c r="E202" s="5" t="s">
        <v>80</v>
      </c>
      <c r="F202" s="5">
        <v>5265</v>
      </c>
      <c r="G202" s="5" t="s">
        <v>700</v>
      </c>
      <c r="H202" s="5" t="s">
        <v>701</v>
      </c>
      <c r="I202" s="5" t="s">
        <v>212</v>
      </c>
      <c r="N202" s="5" t="s">
        <v>702</v>
      </c>
      <c r="O202" s="5">
        <v>1370</v>
      </c>
      <c r="P202" s="5">
        <v>1436.4</v>
      </c>
      <c r="Q202" s="5">
        <v>1370</v>
      </c>
      <c r="R202" s="5">
        <v>1400.1</v>
      </c>
      <c r="S202" s="5">
        <v>1400</v>
      </c>
      <c r="T202" s="5">
        <v>1372</v>
      </c>
      <c r="V202" s="5">
        <v>1400.09</v>
      </c>
      <c r="Y202" s="5">
        <v>193281</v>
      </c>
      <c r="Z202" s="5">
        <v>272278048.5</v>
      </c>
      <c r="AA202" s="5">
        <v>23321</v>
      </c>
      <c r="AB202" s="5" t="s">
        <v>85</v>
      </c>
      <c r="AC202" s="5">
        <v>1</v>
      </c>
    </row>
    <row r="203" spans="1:29" x14ac:dyDescent="0.3">
      <c r="A203" s="34">
        <v>46274</v>
      </c>
      <c r="B203" s="34">
        <v>46274</v>
      </c>
      <c r="C203" s="5" t="s">
        <v>78</v>
      </c>
      <c r="D203" s="5" t="s">
        <v>79</v>
      </c>
      <c r="E203" s="5" t="s">
        <v>80</v>
      </c>
      <c r="F203" s="5">
        <v>16959</v>
      </c>
      <c r="G203" s="5" t="s">
        <v>703</v>
      </c>
      <c r="H203" s="5" t="s">
        <v>704</v>
      </c>
      <c r="I203" s="5" t="s">
        <v>212</v>
      </c>
      <c r="N203" s="5" t="s">
        <v>705</v>
      </c>
      <c r="O203" s="5">
        <v>91.2</v>
      </c>
      <c r="P203" s="5">
        <v>91.2</v>
      </c>
      <c r="Q203" s="5">
        <v>83</v>
      </c>
      <c r="R203" s="5">
        <v>85.21</v>
      </c>
      <c r="S203" s="5">
        <v>84.05</v>
      </c>
      <c r="T203" s="5">
        <v>87.34</v>
      </c>
      <c r="V203" s="5">
        <v>85.24</v>
      </c>
      <c r="Y203" s="5">
        <v>73247</v>
      </c>
      <c r="Z203" s="5">
        <v>6448171.79</v>
      </c>
      <c r="AA203" s="5">
        <v>1094</v>
      </c>
      <c r="AB203" s="5" t="s">
        <v>85</v>
      </c>
      <c r="AC203" s="5">
        <v>1</v>
      </c>
    </row>
    <row r="204" spans="1:29" x14ac:dyDescent="0.3">
      <c r="A204" s="34">
        <v>46274</v>
      </c>
      <c r="B204" s="34">
        <v>46274</v>
      </c>
      <c r="C204" s="5" t="s">
        <v>78</v>
      </c>
      <c r="D204" s="5" t="s">
        <v>79</v>
      </c>
      <c r="E204" s="5" t="s">
        <v>80</v>
      </c>
      <c r="F204" s="5">
        <v>11703</v>
      </c>
      <c r="G204" s="5" t="s">
        <v>706</v>
      </c>
      <c r="H204" s="5" t="s">
        <v>707</v>
      </c>
      <c r="I204" s="5" t="s">
        <v>212</v>
      </c>
      <c r="N204" s="5" t="s">
        <v>708</v>
      </c>
      <c r="O204" s="5">
        <v>5181</v>
      </c>
      <c r="P204" s="5">
        <v>5222</v>
      </c>
      <c r="Q204" s="5">
        <v>5139</v>
      </c>
      <c r="R204" s="5">
        <v>5139</v>
      </c>
      <c r="S204" s="5">
        <v>5139</v>
      </c>
      <c r="T204" s="5">
        <v>5181</v>
      </c>
      <c r="V204" s="5">
        <v>5139</v>
      </c>
      <c r="Y204" s="5">
        <v>106076</v>
      </c>
      <c r="Z204" s="5">
        <v>548801554.5</v>
      </c>
      <c r="AA204" s="5">
        <v>15027</v>
      </c>
      <c r="AB204" s="5" t="s">
        <v>85</v>
      </c>
      <c r="AC204" s="5">
        <v>1</v>
      </c>
    </row>
    <row r="205" spans="1:29" x14ac:dyDescent="0.3">
      <c r="A205" s="34">
        <v>46274</v>
      </c>
      <c r="B205" s="34">
        <v>46274</v>
      </c>
      <c r="C205" s="5" t="s">
        <v>78</v>
      </c>
      <c r="D205" s="5" t="s">
        <v>79</v>
      </c>
      <c r="E205" s="5" t="s">
        <v>80</v>
      </c>
      <c r="F205" s="5">
        <v>4487</v>
      </c>
      <c r="G205" s="5" t="s">
        <v>709</v>
      </c>
      <c r="H205" s="5" t="s">
        <v>710</v>
      </c>
      <c r="I205" s="5" t="s">
        <v>212</v>
      </c>
      <c r="N205" s="5" t="s">
        <v>711</v>
      </c>
      <c r="O205" s="5">
        <v>1966</v>
      </c>
      <c r="P205" s="5">
        <v>1987.1</v>
      </c>
      <c r="Q205" s="5">
        <v>1941</v>
      </c>
      <c r="R205" s="5">
        <v>1944.4</v>
      </c>
      <c r="S205" s="5">
        <v>1947</v>
      </c>
      <c r="T205" s="5">
        <v>1970.7</v>
      </c>
      <c r="V205" s="5">
        <v>1944.29</v>
      </c>
      <c r="Y205" s="5">
        <v>47706</v>
      </c>
      <c r="Z205" s="5">
        <v>93698157.599999994</v>
      </c>
      <c r="AA205" s="5">
        <v>9968</v>
      </c>
      <c r="AB205" s="5" t="s">
        <v>85</v>
      </c>
      <c r="AC205" s="5">
        <v>1</v>
      </c>
    </row>
    <row r="206" spans="1:29" x14ac:dyDescent="0.3">
      <c r="A206" s="34">
        <v>46274</v>
      </c>
      <c r="B206" s="34">
        <v>46274</v>
      </c>
      <c r="C206" s="5" t="s">
        <v>78</v>
      </c>
      <c r="D206" s="5" t="s">
        <v>79</v>
      </c>
      <c r="E206" s="5" t="s">
        <v>80</v>
      </c>
      <c r="F206" s="5">
        <v>13203</v>
      </c>
      <c r="G206" s="5" t="s">
        <v>712</v>
      </c>
      <c r="H206" s="5" t="s">
        <v>713</v>
      </c>
      <c r="I206" s="5" t="s">
        <v>313</v>
      </c>
      <c r="N206" s="5" t="s">
        <v>714</v>
      </c>
      <c r="O206" s="5">
        <v>136</v>
      </c>
      <c r="P206" s="5">
        <v>136</v>
      </c>
      <c r="Q206" s="5">
        <v>127.6</v>
      </c>
      <c r="R206" s="5">
        <v>128.55000000000001</v>
      </c>
      <c r="S206" s="5">
        <v>127.8</v>
      </c>
      <c r="T206" s="5">
        <v>138.05000000000001</v>
      </c>
      <c r="V206" s="5">
        <v>128.55000000000001</v>
      </c>
      <c r="Y206" s="5">
        <v>18000</v>
      </c>
      <c r="Z206" s="5">
        <v>2352680</v>
      </c>
      <c r="AA206" s="5">
        <v>43</v>
      </c>
      <c r="AB206" s="5" t="s">
        <v>85</v>
      </c>
      <c r="AC206" s="5">
        <v>400</v>
      </c>
    </row>
    <row r="207" spans="1:29" x14ac:dyDescent="0.3">
      <c r="A207" s="34">
        <v>46274</v>
      </c>
      <c r="B207" s="34">
        <v>46274</v>
      </c>
      <c r="C207" s="5" t="s">
        <v>78</v>
      </c>
      <c r="D207" s="5" t="s">
        <v>79</v>
      </c>
      <c r="E207" s="5" t="s">
        <v>80</v>
      </c>
      <c r="F207" s="5">
        <v>758448</v>
      </c>
      <c r="G207" s="5" t="s">
        <v>715</v>
      </c>
      <c r="H207" s="5" t="s">
        <v>716</v>
      </c>
      <c r="I207" s="5" t="s">
        <v>212</v>
      </c>
      <c r="N207" s="5" t="s">
        <v>717</v>
      </c>
      <c r="O207" s="5">
        <v>212</v>
      </c>
      <c r="P207" s="5">
        <v>215</v>
      </c>
      <c r="Q207" s="5">
        <v>204.81</v>
      </c>
      <c r="R207" s="5">
        <v>213.54</v>
      </c>
      <c r="S207" s="5">
        <v>214.7</v>
      </c>
      <c r="T207" s="5">
        <v>211.46</v>
      </c>
      <c r="V207" s="5">
        <v>213.53</v>
      </c>
      <c r="Y207" s="5">
        <v>120873</v>
      </c>
      <c r="Z207" s="5">
        <v>25540384.640000001</v>
      </c>
      <c r="AA207" s="5">
        <v>2905</v>
      </c>
      <c r="AB207" s="5" t="s">
        <v>85</v>
      </c>
      <c r="AC207" s="5">
        <v>1</v>
      </c>
    </row>
    <row r="208" spans="1:29" x14ac:dyDescent="0.3">
      <c r="A208" s="34">
        <v>46274</v>
      </c>
      <c r="B208" s="34">
        <v>46274</v>
      </c>
      <c r="C208" s="5" t="s">
        <v>78</v>
      </c>
      <c r="D208" s="5" t="s">
        <v>79</v>
      </c>
      <c r="E208" s="5" t="s">
        <v>80</v>
      </c>
      <c r="F208" s="5">
        <v>763784</v>
      </c>
      <c r="G208" s="5" t="s">
        <v>718</v>
      </c>
      <c r="H208" s="5" t="s">
        <v>719</v>
      </c>
      <c r="I208" s="5" t="s">
        <v>212</v>
      </c>
      <c r="N208" s="5" t="s">
        <v>720</v>
      </c>
      <c r="O208" s="5">
        <v>15.73</v>
      </c>
      <c r="P208" s="5">
        <v>16.38</v>
      </c>
      <c r="Q208" s="5">
        <v>15.32</v>
      </c>
      <c r="R208" s="5">
        <v>15.55</v>
      </c>
      <c r="S208" s="5">
        <v>15.7</v>
      </c>
      <c r="T208" s="5">
        <v>16.02</v>
      </c>
      <c r="V208" s="5">
        <v>15.55</v>
      </c>
      <c r="Y208" s="5">
        <v>7575417</v>
      </c>
      <c r="Z208" s="5">
        <v>120224316.16</v>
      </c>
      <c r="AA208" s="5">
        <v>12566</v>
      </c>
      <c r="AB208" s="5" t="s">
        <v>85</v>
      </c>
      <c r="AC208" s="5">
        <v>1</v>
      </c>
    </row>
    <row r="209" spans="1:29" x14ac:dyDescent="0.3">
      <c r="A209" s="34">
        <v>46274</v>
      </c>
      <c r="B209" s="34">
        <v>46274</v>
      </c>
      <c r="C209" s="5" t="s">
        <v>78</v>
      </c>
      <c r="D209" s="5" t="s">
        <v>79</v>
      </c>
      <c r="E209" s="5" t="s">
        <v>80</v>
      </c>
      <c r="F209" s="5">
        <v>13501</v>
      </c>
      <c r="G209" s="5" t="s">
        <v>721</v>
      </c>
      <c r="H209" s="5" t="s">
        <v>722</v>
      </c>
      <c r="I209" s="5" t="s">
        <v>212</v>
      </c>
      <c r="N209" s="5" t="s">
        <v>723</v>
      </c>
      <c r="O209" s="5">
        <v>13.2</v>
      </c>
      <c r="P209" s="5">
        <v>13.3</v>
      </c>
      <c r="Q209" s="5">
        <v>12.5</v>
      </c>
      <c r="R209" s="5">
        <v>12.75</v>
      </c>
      <c r="S209" s="5">
        <v>12.86</v>
      </c>
      <c r="T209" s="5">
        <v>13.02</v>
      </c>
      <c r="V209" s="5">
        <v>12.75</v>
      </c>
      <c r="Y209" s="5">
        <v>22061311</v>
      </c>
      <c r="Z209" s="5">
        <v>283339283.10000002</v>
      </c>
      <c r="AA209" s="5">
        <v>41241</v>
      </c>
      <c r="AB209" s="5" t="s">
        <v>85</v>
      </c>
      <c r="AC209" s="5">
        <v>1</v>
      </c>
    </row>
    <row r="210" spans="1:29" x14ac:dyDescent="0.3">
      <c r="A210" s="34">
        <v>46274</v>
      </c>
      <c r="B210" s="34">
        <v>46274</v>
      </c>
      <c r="C210" s="5" t="s">
        <v>78</v>
      </c>
      <c r="D210" s="5" t="s">
        <v>79</v>
      </c>
      <c r="E210" s="5" t="s">
        <v>80</v>
      </c>
      <c r="F210" s="5">
        <v>17778</v>
      </c>
      <c r="G210" s="5" t="s">
        <v>724</v>
      </c>
      <c r="H210" s="5" t="s">
        <v>725</v>
      </c>
      <c r="I210" s="5" t="s">
        <v>212</v>
      </c>
      <c r="N210" s="5" t="s">
        <v>726</v>
      </c>
      <c r="O210" s="5">
        <v>25.3</v>
      </c>
      <c r="P210" s="5">
        <v>25.78</v>
      </c>
      <c r="Q210" s="5">
        <v>24.61</v>
      </c>
      <c r="R210" s="5">
        <v>24.89</v>
      </c>
      <c r="S210" s="5">
        <v>24.88</v>
      </c>
      <c r="T210" s="5">
        <v>25.82</v>
      </c>
      <c r="V210" s="5">
        <v>24.89</v>
      </c>
      <c r="Y210" s="5">
        <v>171806</v>
      </c>
      <c r="Z210" s="5">
        <v>4304787.4400000004</v>
      </c>
      <c r="AA210" s="5">
        <v>1209</v>
      </c>
      <c r="AB210" s="5" t="s">
        <v>85</v>
      </c>
      <c r="AC210" s="5">
        <v>1</v>
      </c>
    </row>
    <row r="211" spans="1:29" x14ac:dyDescent="0.3">
      <c r="A211" s="34">
        <v>46274</v>
      </c>
      <c r="B211" s="34">
        <v>46274</v>
      </c>
      <c r="C211" s="5" t="s">
        <v>78</v>
      </c>
      <c r="D211" s="5" t="s">
        <v>79</v>
      </c>
      <c r="E211" s="5" t="s">
        <v>80</v>
      </c>
      <c r="F211" s="5">
        <v>11798</v>
      </c>
      <c r="G211" s="5" t="s">
        <v>727</v>
      </c>
      <c r="H211" s="5" t="s">
        <v>728</v>
      </c>
      <c r="I211" s="5" t="s">
        <v>212</v>
      </c>
      <c r="N211" s="5" t="s">
        <v>729</v>
      </c>
      <c r="O211" s="5">
        <v>809</v>
      </c>
      <c r="P211" s="5">
        <v>818.55</v>
      </c>
      <c r="Q211" s="5">
        <v>800</v>
      </c>
      <c r="R211" s="5">
        <v>802.7</v>
      </c>
      <c r="S211" s="5">
        <v>804.7</v>
      </c>
      <c r="T211" s="5">
        <v>804.9</v>
      </c>
      <c r="V211" s="5">
        <v>802.74</v>
      </c>
      <c r="Y211" s="5">
        <v>5053</v>
      </c>
      <c r="Z211" s="5">
        <v>4065905.85</v>
      </c>
      <c r="AA211" s="5">
        <v>388</v>
      </c>
      <c r="AB211" s="5" t="s">
        <v>85</v>
      </c>
      <c r="AC211" s="5">
        <v>1</v>
      </c>
    </row>
    <row r="212" spans="1:29" x14ac:dyDescent="0.3">
      <c r="A212" s="34">
        <v>46274</v>
      </c>
      <c r="B212" s="34">
        <v>46274</v>
      </c>
      <c r="C212" s="5" t="s">
        <v>78</v>
      </c>
      <c r="D212" s="5" t="s">
        <v>79</v>
      </c>
      <c r="E212" s="5" t="s">
        <v>80</v>
      </c>
      <c r="F212" s="5">
        <v>24308</v>
      </c>
      <c r="G212" s="5" t="s">
        <v>730</v>
      </c>
      <c r="H212" s="5" t="s">
        <v>731</v>
      </c>
      <c r="I212" s="5" t="s">
        <v>212</v>
      </c>
      <c r="N212" s="5" t="s">
        <v>732</v>
      </c>
      <c r="O212" s="5">
        <v>594.5</v>
      </c>
      <c r="P212" s="5">
        <v>607.5</v>
      </c>
      <c r="Q212" s="5">
        <v>586.54999999999995</v>
      </c>
      <c r="R212" s="5">
        <v>604.15</v>
      </c>
      <c r="S212" s="5">
        <v>604.9</v>
      </c>
      <c r="T212" s="5">
        <v>594.5</v>
      </c>
      <c r="V212" s="5">
        <v>604.11</v>
      </c>
      <c r="Y212" s="5">
        <v>320490</v>
      </c>
      <c r="Z212" s="5">
        <v>192213250.34999999</v>
      </c>
      <c r="AA212" s="5">
        <v>11069</v>
      </c>
      <c r="AB212" s="5" t="s">
        <v>85</v>
      </c>
      <c r="AC212" s="5">
        <v>1</v>
      </c>
    </row>
    <row r="213" spans="1:29" x14ac:dyDescent="0.3">
      <c r="A213" s="34">
        <v>46274</v>
      </c>
      <c r="B213" s="34">
        <v>46274</v>
      </c>
      <c r="C213" s="5" t="s">
        <v>78</v>
      </c>
      <c r="D213" s="5" t="s">
        <v>79</v>
      </c>
      <c r="E213" s="5" t="s">
        <v>80</v>
      </c>
      <c r="F213" s="5">
        <v>14813</v>
      </c>
      <c r="G213" s="5" t="s">
        <v>733</v>
      </c>
      <c r="H213" s="5" t="s">
        <v>734</v>
      </c>
      <c r="I213" s="5" t="s">
        <v>212</v>
      </c>
      <c r="N213" s="5" t="s">
        <v>735</v>
      </c>
      <c r="O213" s="5">
        <v>101.57</v>
      </c>
      <c r="P213" s="5">
        <v>102.38</v>
      </c>
      <c r="Q213" s="5">
        <v>99.12</v>
      </c>
      <c r="R213" s="5">
        <v>99.68</v>
      </c>
      <c r="S213" s="5">
        <v>99.87</v>
      </c>
      <c r="T213" s="5">
        <v>101.23</v>
      </c>
      <c r="V213" s="5">
        <v>99.68</v>
      </c>
      <c r="Y213" s="5">
        <v>92053</v>
      </c>
      <c r="Z213" s="5">
        <v>9195831.9100000001</v>
      </c>
      <c r="AA213" s="5">
        <v>1795</v>
      </c>
      <c r="AB213" s="5" t="s">
        <v>85</v>
      </c>
      <c r="AC213" s="5">
        <v>1</v>
      </c>
    </row>
    <row r="214" spans="1:29" x14ac:dyDescent="0.3">
      <c r="A214" s="34">
        <v>46274</v>
      </c>
      <c r="B214" s="34">
        <v>46274</v>
      </c>
      <c r="C214" s="5" t="s">
        <v>78</v>
      </c>
      <c r="D214" s="5" t="s">
        <v>79</v>
      </c>
      <c r="E214" s="5" t="s">
        <v>80</v>
      </c>
      <c r="F214" s="5">
        <v>16719</v>
      </c>
      <c r="G214" s="5" t="s">
        <v>736</v>
      </c>
      <c r="H214" s="5" t="s">
        <v>737</v>
      </c>
      <c r="I214" s="5" t="s">
        <v>212</v>
      </c>
      <c r="N214" s="5" t="s">
        <v>738</v>
      </c>
      <c r="O214" s="5">
        <v>19.899999999999999</v>
      </c>
      <c r="P214" s="5">
        <v>19.940000000000001</v>
      </c>
      <c r="Q214" s="5">
        <v>19</v>
      </c>
      <c r="R214" s="5">
        <v>19</v>
      </c>
      <c r="S214" s="5">
        <v>19.07</v>
      </c>
      <c r="T214" s="5">
        <v>19.61</v>
      </c>
      <c r="V214" s="5">
        <v>19</v>
      </c>
      <c r="Y214" s="5">
        <v>212289</v>
      </c>
      <c r="Z214" s="5">
        <v>4076507.83</v>
      </c>
      <c r="AA214" s="5">
        <v>551</v>
      </c>
      <c r="AB214" s="5" t="s">
        <v>85</v>
      </c>
      <c r="AC214" s="5">
        <v>1</v>
      </c>
    </row>
    <row r="215" spans="1:29" x14ac:dyDescent="0.3">
      <c r="A215" s="34">
        <v>46274</v>
      </c>
      <c r="B215" s="34">
        <v>46274</v>
      </c>
      <c r="C215" s="5" t="s">
        <v>78</v>
      </c>
      <c r="D215" s="5" t="s">
        <v>79</v>
      </c>
      <c r="E215" s="5" t="s">
        <v>80</v>
      </c>
      <c r="F215" s="5">
        <v>17675</v>
      </c>
      <c r="G215" s="5" t="s">
        <v>739</v>
      </c>
      <c r="H215" s="5" t="s">
        <v>740</v>
      </c>
      <c r="I215" s="5" t="s">
        <v>212</v>
      </c>
      <c r="N215" s="5" t="s">
        <v>741</v>
      </c>
      <c r="O215" s="5">
        <v>7.49</v>
      </c>
      <c r="P215" s="5">
        <v>7.69</v>
      </c>
      <c r="Q215" s="5">
        <v>7.38</v>
      </c>
      <c r="R215" s="5">
        <v>7.41</v>
      </c>
      <c r="S215" s="5">
        <v>7.45</v>
      </c>
      <c r="T215" s="5">
        <v>7.46</v>
      </c>
      <c r="V215" s="5">
        <v>7.41</v>
      </c>
      <c r="Y215" s="5">
        <v>26216573</v>
      </c>
      <c r="Z215" s="5">
        <v>196362374</v>
      </c>
      <c r="AA215" s="5">
        <v>16400</v>
      </c>
      <c r="AB215" s="5" t="s">
        <v>85</v>
      </c>
      <c r="AC215" s="5">
        <v>1</v>
      </c>
    </row>
    <row r="216" spans="1:29" x14ac:dyDescent="0.3">
      <c r="A216" s="34">
        <v>46274</v>
      </c>
      <c r="B216" s="34">
        <v>46274</v>
      </c>
      <c r="C216" s="5" t="s">
        <v>78</v>
      </c>
      <c r="D216" s="5" t="s">
        <v>79</v>
      </c>
      <c r="E216" s="5" t="s">
        <v>80</v>
      </c>
      <c r="F216" s="5">
        <v>14848</v>
      </c>
      <c r="G216" s="5" t="s">
        <v>742</v>
      </c>
      <c r="H216" s="5" t="s">
        <v>743</v>
      </c>
      <c r="I216" s="5" t="s">
        <v>212</v>
      </c>
      <c r="N216" s="5" t="s">
        <v>744</v>
      </c>
      <c r="O216" s="5">
        <v>63.8</v>
      </c>
      <c r="P216" s="5">
        <v>64.400000000000006</v>
      </c>
      <c r="Q216" s="5">
        <v>62.49</v>
      </c>
      <c r="R216" s="5">
        <v>63.24</v>
      </c>
      <c r="S216" s="5">
        <v>62.9</v>
      </c>
      <c r="T216" s="5">
        <v>63.17</v>
      </c>
      <c r="V216" s="5">
        <v>63.29</v>
      </c>
      <c r="Y216" s="5">
        <v>24550</v>
      </c>
      <c r="Z216" s="5">
        <v>1560657.42</v>
      </c>
      <c r="AA216" s="5">
        <v>295</v>
      </c>
      <c r="AB216" s="5" t="s">
        <v>85</v>
      </c>
      <c r="AC216" s="5">
        <v>1</v>
      </c>
    </row>
    <row r="217" spans="1:29" x14ac:dyDescent="0.3">
      <c r="A217" s="34">
        <v>46274</v>
      </c>
      <c r="B217" s="34">
        <v>46274</v>
      </c>
      <c r="C217" s="5" t="s">
        <v>78</v>
      </c>
      <c r="D217" s="5" t="s">
        <v>79</v>
      </c>
      <c r="E217" s="5" t="s">
        <v>80</v>
      </c>
      <c r="F217" s="5">
        <v>22688</v>
      </c>
      <c r="G217" s="5" t="s">
        <v>745</v>
      </c>
      <c r="H217" s="5" t="s">
        <v>746</v>
      </c>
      <c r="I217" s="5" t="s">
        <v>313</v>
      </c>
      <c r="N217" s="5" t="s">
        <v>747</v>
      </c>
      <c r="O217" s="5">
        <v>924.9</v>
      </c>
      <c r="P217" s="5">
        <v>924.9</v>
      </c>
      <c r="Q217" s="5">
        <v>900</v>
      </c>
      <c r="R217" s="5">
        <v>920.75</v>
      </c>
      <c r="S217" s="5">
        <v>923</v>
      </c>
      <c r="T217" s="5">
        <v>924.9</v>
      </c>
      <c r="V217" s="5">
        <v>920.75</v>
      </c>
      <c r="Y217" s="5">
        <v>42200</v>
      </c>
      <c r="Z217" s="5">
        <v>38627670</v>
      </c>
      <c r="AA217" s="5">
        <v>291</v>
      </c>
      <c r="AB217" s="5" t="s">
        <v>85</v>
      </c>
      <c r="AC217" s="5">
        <v>100</v>
      </c>
    </row>
    <row r="218" spans="1:29" x14ac:dyDescent="0.3">
      <c r="A218" s="34">
        <v>46274</v>
      </c>
      <c r="B218" s="34">
        <v>46274</v>
      </c>
      <c r="C218" s="5" t="s">
        <v>78</v>
      </c>
      <c r="D218" s="5" t="s">
        <v>79</v>
      </c>
      <c r="E218" s="5" t="s">
        <v>80</v>
      </c>
      <c r="F218" s="5">
        <v>14601</v>
      </c>
      <c r="G218" s="5" t="s">
        <v>748</v>
      </c>
      <c r="H218" s="5" t="s">
        <v>749</v>
      </c>
      <c r="I218" s="5" t="s">
        <v>234</v>
      </c>
      <c r="N218" s="5" t="s">
        <v>750</v>
      </c>
      <c r="O218" s="5">
        <v>329.9</v>
      </c>
      <c r="P218" s="5">
        <v>329.9</v>
      </c>
      <c r="Q218" s="5">
        <v>310.3</v>
      </c>
      <c r="R218" s="5">
        <v>325</v>
      </c>
      <c r="S218" s="5">
        <v>323</v>
      </c>
      <c r="T218" s="5">
        <v>323.10000000000002</v>
      </c>
      <c r="V218" s="5">
        <v>325.2</v>
      </c>
      <c r="Y218" s="5">
        <v>11061</v>
      </c>
      <c r="Z218" s="5">
        <v>3587259.8</v>
      </c>
      <c r="AA218" s="5">
        <v>194</v>
      </c>
      <c r="AB218" s="5" t="s">
        <v>85</v>
      </c>
      <c r="AC218" s="5">
        <v>1</v>
      </c>
    </row>
    <row r="219" spans="1:29" x14ac:dyDescent="0.3">
      <c r="A219" s="34">
        <v>46274</v>
      </c>
      <c r="B219" s="34">
        <v>46274</v>
      </c>
      <c r="C219" s="5" t="s">
        <v>78</v>
      </c>
      <c r="D219" s="5" t="s">
        <v>79</v>
      </c>
      <c r="E219" s="5" t="s">
        <v>80</v>
      </c>
      <c r="F219" s="5">
        <v>764186</v>
      </c>
      <c r="G219" s="5" t="s">
        <v>751</v>
      </c>
      <c r="H219" s="5" t="s">
        <v>752</v>
      </c>
      <c r="I219" s="5" t="s">
        <v>212</v>
      </c>
      <c r="N219" s="5" t="s">
        <v>753</v>
      </c>
      <c r="O219" s="5">
        <v>61.95</v>
      </c>
      <c r="P219" s="5">
        <v>62.9</v>
      </c>
      <c r="Q219" s="5">
        <v>57.8</v>
      </c>
      <c r="R219" s="5">
        <v>59.63</v>
      </c>
      <c r="S219" s="5">
        <v>58.87</v>
      </c>
      <c r="T219" s="5">
        <v>62.6</v>
      </c>
      <c r="V219" s="5">
        <v>59.68</v>
      </c>
      <c r="Y219" s="5">
        <v>195019</v>
      </c>
      <c r="Z219" s="5">
        <v>11869580.68</v>
      </c>
      <c r="AA219" s="5">
        <v>1915</v>
      </c>
      <c r="AB219" s="5" t="s">
        <v>85</v>
      </c>
      <c r="AC219" s="5">
        <v>1</v>
      </c>
    </row>
    <row r="220" spans="1:29" x14ac:dyDescent="0.3">
      <c r="A220" s="34">
        <v>46274</v>
      </c>
      <c r="B220" s="34">
        <v>46274</v>
      </c>
      <c r="C220" s="5" t="s">
        <v>78</v>
      </c>
      <c r="D220" s="5" t="s">
        <v>79</v>
      </c>
      <c r="E220" s="5" t="s">
        <v>80</v>
      </c>
      <c r="F220" s="5">
        <v>764578</v>
      </c>
      <c r="G220" s="5" t="s">
        <v>754</v>
      </c>
      <c r="H220" s="5" t="s">
        <v>755</v>
      </c>
      <c r="I220" s="5" t="s">
        <v>212</v>
      </c>
      <c r="N220" s="5" t="s">
        <v>756</v>
      </c>
      <c r="O220" s="5">
        <v>500.1</v>
      </c>
      <c r="P220" s="5">
        <v>503.45</v>
      </c>
      <c r="Q220" s="5">
        <v>483.3</v>
      </c>
      <c r="R220" s="5">
        <v>500.1</v>
      </c>
      <c r="S220" s="5">
        <v>502.95</v>
      </c>
      <c r="T220" s="5">
        <v>503.75</v>
      </c>
      <c r="V220" s="5">
        <v>498.73</v>
      </c>
      <c r="Y220" s="5">
        <v>3191</v>
      </c>
      <c r="Z220" s="5">
        <v>1590185.7</v>
      </c>
      <c r="AA220" s="5">
        <v>290</v>
      </c>
      <c r="AB220" s="5" t="s">
        <v>85</v>
      </c>
      <c r="AC220" s="5">
        <v>1</v>
      </c>
    </row>
    <row r="221" spans="1:29" x14ac:dyDescent="0.3">
      <c r="A221" s="34">
        <v>46274</v>
      </c>
      <c r="B221" s="34">
        <v>46274</v>
      </c>
      <c r="C221" s="5" t="s">
        <v>78</v>
      </c>
      <c r="D221" s="5" t="s">
        <v>79</v>
      </c>
      <c r="E221" s="5" t="s">
        <v>80</v>
      </c>
      <c r="F221" s="5">
        <v>23474</v>
      </c>
      <c r="G221" s="5" t="s">
        <v>757</v>
      </c>
      <c r="H221" s="5" t="s">
        <v>758</v>
      </c>
      <c r="I221" s="5" t="s">
        <v>313</v>
      </c>
      <c r="N221" s="5" t="s">
        <v>759</v>
      </c>
      <c r="O221" s="5">
        <v>46.7</v>
      </c>
      <c r="P221" s="5">
        <v>48.75</v>
      </c>
      <c r="Q221" s="5">
        <v>46.7</v>
      </c>
      <c r="R221" s="5">
        <v>48.65</v>
      </c>
      <c r="S221" s="5">
        <v>48.7</v>
      </c>
      <c r="T221" s="5">
        <v>46.7</v>
      </c>
      <c r="V221" s="5">
        <v>48.65</v>
      </c>
      <c r="Y221" s="5">
        <v>16500</v>
      </c>
      <c r="Z221" s="5">
        <v>794700</v>
      </c>
      <c r="AA221" s="5">
        <v>11</v>
      </c>
      <c r="AB221" s="5" t="s">
        <v>85</v>
      </c>
      <c r="AC221" s="5">
        <v>1500</v>
      </c>
    </row>
    <row r="222" spans="1:29" x14ac:dyDescent="0.3">
      <c r="A222" s="34">
        <v>46274</v>
      </c>
      <c r="B222" s="34">
        <v>46274</v>
      </c>
      <c r="C222" s="5" t="s">
        <v>78</v>
      </c>
      <c r="D222" s="5" t="s">
        <v>79</v>
      </c>
      <c r="E222" s="5" t="s">
        <v>80</v>
      </c>
      <c r="F222" s="5">
        <v>760740</v>
      </c>
      <c r="G222" s="5" t="s">
        <v>760</v>
      </c>
      <c r="H222" s="5" t="s">
        <v>761</v>
      </c>
      <c r="I222" s="5" t="s">
        <v>212</v>
      </c>
      <c r="N222" s="5" t="s">
        <v>762</v>
      </c>
      <c r="O222" s="5">
        <v>577.15</v>
      </c>
      <c r="P222" s="5">
        <v>588.9</v>
      </c>
      <c r="Q222" s="5">
        <v>560</v>
      </c>
      <c r="R222" s="5">
        <v>583.75</v>
      </c>
      <c r="S222" s="5">
        <v>580</v>
      </c>
      <c r="T222" s="5">
        <v>576.15</v>
      </c>
      <c r="V222" s="5">
        <v>583.73</v>
      </c>
      <c r="Y222" s="5">
        <v>513278</v>
      </c>
      <c r="Z222" s="5">
        <v>294945060.39999998</v>
      </c>
      <c r="AA222" s="5">
        <v>15200</v>
      </c>
      <c r="AB222" s="5" t="s">
        <v>85</v>
      </c>
      <c r="AC222" s="5">
        <v>1</v>
      </c>
    </row>
    <row r="223" spans="1:29" x14ac:dyDescent="0.3">
      <c r="A223" s="34">
        <v>46274</v>
      </c>
      <c r="B223" s="34">
        <v>46274</v>
      </c>
      <c r="C223" s="5" t="s">
        <v>78</v>
      </c>
      <c r="D223" s="5" t="s">
        <v>79</v>
      </c>
      <c r="E223" s="5" t="s">
        <v>80</v>
      </c>
      <c r="F223" s="5">
        <v>764583</v>
      </c>
      <c r="G223" s="5" t="s">
        <v>763</v>
      </c>
      <c r="H223" s="5" t="s">
        <v>764</v>
      </c>
      <c r="I223" s="5" t="s">
        <v>212</v>
      </c>
      <c r="N223" s="5" t="s">
        <v>765</v>
      </c>
      <c r="O223" s="5">
        <v>761.9</v>
      </c>
      <c r="P223" s="5">
        <v>763.95</v>
      </c>
      <c r="Q223" s="5">
        <v>736.4</v>
      </c>
      <c r="R223" s="5">
        <v>740.8</v>
      </c>
      <c r="S223" s="5">
        <v>738.05</v>
      </c>
      <c r="T223" s="5">
        <v>757.85</v>
      </c>
      <c r="V223" s="5">
        <v>741.06</v>
      </c>
      <c r="Y223" s="5">
        <v>6623</v>
      </c>
      <c r="Z223" s="5">
        <v>4947776.6500000004</v>
      </c>
      <c r="AA223" s="5">
        <v>525</v>
      </c>
      <c r="AB223" s="5" t="s">
        <v>85</v>
      </c>
      <c r="AC223" s="5">
        <v>1</v>
      </c>
    </row>
    <row r="224" spans="1:29" x14ac:dyDescent="0.3">
      <c r="A224" s="34">
        <v>46274</v>
      </c>
      <c r="B224" s="34">
        <v>46274</v>
      </c>
      <c r="C224" s="5" t="s">
        <v>78</v>
      </c>
      <c r="D224" s="5" t="s">
        <v>79</v>
      </c>
      <c r="E224" s="5" t="s">
        <v>80</v>
      </c>
      <c r="F224" s="5">
        <v>758910</v>
      </c>
      <c r="G224" s="5" t="s">
        <v>766</v>
      </c>
      <c r="H224" s="5" t="s">
        <v>767</v>
      </c>
      <c r="I224" s="5" t="s">
        <v>234</v>
      </c>
      <c r="N224" s="5" t="s">
        <v>768</v>
      </c>
      <c r="O224" s="5">
        <v>205.89</v>
      </c>
      <c r="P224" s="5">
        <v>205.89</v>
      </c>
      <c r="Q224" s="5">
        <v>205.89</v>
      </c>
      <c r="R224" s="5">
        <v>205.89</v>
      </c>
      <c r="S224" s="5">
        <v>205.89</v>
      </c>
      <c r="T224" s="5">
        <v>201.86</v>
      </c>
      <c r="V224" s="5">
        <v>206.65</v>
      </c>
      <c r="Y224" s="5">
        <v>37745</v>
      </c>
      <c r="Z224" s="5">
        <v>7771318.0499999998</v>
      </c>
      <c r="AA224" s="5">
        <v>58</v>
      </c>
      <c r="AB224" s="5" t="s">
        <v>85</v>
      </c>
      <c r="AC224" s="5">
        <v>1</v>
      </c>
    </row>
    <row r="225" spans="1:29" x14ac:dyDescent="0.3">
      <c r="A225" s="34">
        <v>46274</v>
      </c>
      <c r="B225" s="34">
        <v>46274</v>
      </c>
      <c r="C225" s="5" t="s">
        <v>78</v>
      </c>
      <c r="D225" s="5" t="s">
        <v>79</v>
      </c>
      <c r="E225" s="5" t="s">
        <v>80</v>
      </c>
      <c r="F225" s="5">
        <v>100</v>
      </c>
      <c r="G225" s="5" t="s">
        <v>769</v>
      </c>
      <c r="H225" s="5" t="s">
        <v>770</v>
      </c>
      <c r="I225" s="5" t="s">
        <v>212</v>
      </c>
      <c r="N225" s="5" t="s">
        <v>771</v>
      </c>
      <c r="O225" s="5">
        <v>836.3</v>
      </c>
      <c r="P225" s="5">
        <v>842.4</v>
      </c>
      <c r="Q225" s="5">
        <v>830</v>
      </c>
      <c r="R225" s="5">
        <v>832.15</v>
      </c>
      <c r="S225" s="5">
        <v>831</v>
      </c>
      <c r="T225" s="5">
        <v>837.8</v>
      </c>
      <c r="V225" s="5">
        <v>832.19</v>
      </c>
      <c r="Y225" s="5">
        <v>297603</v>
      </c>
      <c r="Z225" s="5">
        <v>249189852.09999999</v>
      </c>
      <c r="AA225" s="5">
        <v>21772</v>
      </c>
      <c r="AB225" s="5" t="s">
        <v>85</v>
      </c>
      <c r="AC225" s="5">
        <v>1</v>
      </c>
    </row>
    <row r="226" spans="1:29" x14ac:dyDescent="0.3">
      <c r="A226" s="34">
        <v>46274</v>
      </c>
      <c r="B226" s="34">
        <v>46274</v>
      </c>
      <c r="C226" s="5" t="s">
        <v>78</v>
      </c>
      <c r="D226" s="5" t="s">
        <v>79</v>
      </c>
      <c r="E226" s="5" t="s">
        <v>80</v>
      </c>
      <c r="F226" s="5">
        <v>764588</v>
      </c>
      <c r="G226" s="5" t="s">
        <v>772</v>
      </c>
      <c r="H226" s="5" t="s">
        <v>773</v>
      </c>
      <c r="I226" s="5" t="s">
        <v>212</v>
      </c>
      <c r="N226" s="5" t="s">
        <v>774</v>
      </c>
      <c r="O226" s="5">
        <v>163</v>
      </c>
      <c r="P226" s="5">
        <v>163</v>
      </c>
      <c r="Q226" s="5">
        <v>160.05000000000001</v>
      </c>
      <c r="R226" s="5">
        <v>160.05000000000001</v>
      </c>
      <c r="S226" s="5">
        <v>160.05000000000001</v>
      </c>
      <c r="T226" s="5">
        <v>161.05000000000001</v>
      </c>
      <c r="V226" s="5">
        <v>160.05000000000001</v>
      </c>
      <c r="Y226" s="5">
        <v>1108</v>
      </c>
      <c r="Z226" s="5">
        <v>179177</v>
      </c>
      <c r="AA226" s="5">
        <v>15</v>
      </c>
      <c r="AB226" s="5" t="s">
        <v>85</v>
      </c>
      <c r="AC226" s="5">
        <v>1</v>
      </c>
    </row>
    <row r="227" spans="1:29" x14ac:dyDescent="0.3">
      <c r="A227" s="34">
        <v>46274</v>
      </c>
      <c r="B227" s="34">
        <v>46274</v>
      </c>
      <c r="C227" s="5" t="s">
        <v>78</v>
      </c>
      <c r="D227" s="5" t="s">
        <v>79</v>
      </c>
      <c r="E227" s="5" t="s">
        <v>80</v>
      </c>
      <c r="F227" s="5">
        <v>763256</v>
      </c>
      <c r="G227" s="5" t="s">
        <v>775</v>
      </c>
      <c r="H227" s="5" t="s">
        <v>776</v>
      </c>
      <c r="I227" s="5" t="s">
        <v>313</v>
      </c>
      <c r="N227" s="5" t="s">
        <v>777</v>
      </c>
      <c r="O227" s="5">
        <v>102.6</v>
      </c>
      <c r="P227" s="5">
        <v>107</v>
      </c>
      <c r="Q227" s="5">
        <v>102.6</v>
      </c>
      <c r="R227" s="5">
        <v>106</v>
      </c>
      <c r="S227" s="5">
        <v>107</v>
      </c>
      <c r="T227" s="5">
        <v>105.75</v>
      </c>
      <c r="V227" s="5">
        <v>106</v>
      </c>
      <c r="Y227" s="5">
        <v>35000</v>
      </c>
      <c r="Z227" s="5">
        <v>3713350</v>
      </c>
      <c r="AA227" s="5">
        <v>22</v>
      </c>
      <c r="AB227" s="5" t="s">
        <v>85</v>
      </c>
      <c r="AC227" s="5">
        <v>1000</v>
      </c>
    </row>
    <row r="228" spans="1:29" x14ac:dyDescent="0.3">
      <c r="A228" s="34">
        <v>46274</v>
      </c>
      <c r="B228" s="34">
        <v>46274</v>
      </c>
      <c r="C228" s="5" t="s">
        <v>78</v>
      </c>
      <c r="D228" s="5" t="s">
        <v>79</v>
      </c>
      <c r="E228" s="5" t="s">
        <v>80</v>
      </c>
      <c r="F228" s="5">
        <v>762546</v>
      </c>
      <c r="G228" s="5" t="s">
        <v>778</v>
      </c>
      <c r="H228" s="5" t="s">
        <v>779</v>
      </c>
      <c r="I228" s="5" t="s">
        <v>234</v>
      </c>
      <c r="N228" s="5" t="s">
        <v>780</v>
      </c>
      <c r="O228" s="5">
        <v>40.619999999999997</v>
      </c>
      <c r="P228" s="5">
        <v>42.79</v>
      </c>
      <c r="Q228" s="5">
        <v>40.619999999999997</v>
      </c>
      <c r="R228" s="5">
        <v>42.43</v>
      </c>
      <c r="S228" s="5">
        <v>42.5</v>
      </c>
      <c r="T228" s="5">
        <v>42.05</v>
      </c>
      <c r="V228" s="5">
        <v>42.37</v>
      </c>
      <c r="Y228" s="5">
        <v>20446</v>
      </c>
      <c r="Z228" s="5">
        <v>855261.29</v>
      </c>
      <c r="AA228" s="5">
        <v>110</v>
      </c>
      <c r="AB228" s="5" t="s">
        <v>85</v>
      </c>
      <c r="AC228" s="5">
        <v>1</v>
      </c>
    </row>
    <row r="229" spans="1:29" x14ac:dyDescent="0.3">
      <c r="A229" s="34">
        <v>46274</v>
      </c>
      <c r="B229" s="34">
        <v>46274</v>
      </c>
      <c r="C229" s="5" t="s">
        <v>78</v>
      </c>
      <c r="D229" s="5" t="s">
        <v>79</v>
      </c>
      <c r="E229" s="5" t="s">
        <v>80</v>
      </c>
      <c r="F229" s="5">
        <v>1185</v>
      </c>
      <c r="G229" s="5" t="s">
        <v>781</v>
      </c>
      <c r="H229" s="5" t="s">
        <v>782</v>
      </c>
      <c r="I229" s="5" t="s">
        <v>212</v>
      </c>
      <c r="N229" s="5" t="s">
        <v>783</v>
      </c>
      <c r="O229" s="5">
        <v>7339</v>
      </c>
      <c r="P229" s="5">
        <v>7362.5</v>
      </c>
      <c r="Q229" s="5">
        <v>7210</v>
      </c>
      <c r="R229" s="5">
        <v>7210</v>
      </c>
      <c r="S229" s="5">
        <v>7210</v>
      </c>
      <c r="T229" s="5">
        <v>7308</v>
      </c>
      <c r="V229" s="5">
        <v>7210.16</v>
      </c>
      <c r="Y229" s="5">
        <v>97425</v>
      </c>
      <c r="Z229" s="5">
        <v>709018595</v>
      </c>
      <c r="AA229" s="5">
        <v>14408</v>
      </c>
      <c r="AB229" s="5" t="s">
        <v>85</v>
      </c>
      <c r="AC229" s="5">
        <v>1</v>
      </c>
    </row>
    <row r="230" spans="1:29" x14ac:dyDescent="0.3">
      <c r="A230" s="34">
        <v>46274</v>
      </c>
      <c r="B230" s="34">
        <v>46274</v>
      </c>
      <c r="C230" s="5" t="s">
        <v>78</v>
      </c>
      <c r="D230" s="5" t="s">
        <v>79</v>
      </c>
      <c r="E230" s="5" t="s">
        <v>80</v>
      </c>
      <c r="F230" s="5">
        <v>11496</v>
      </c>
      <c r="G230" s="5" t="s">
        <v>784</v>
      </c>
      <c r="H230" s="5" t="s">
        <v>785</v>
      </c>
      <c r="I230" s="5" t="s">
        <v>212</v>
      </c>
      <c r="N230" s="5" t="s">
        <v>786</v>
      </c>
      <c r="O230" s="5">
        <v>25.89</v>
      </c>
      <c r="P230" s="5">
        <v>25.89</v>
      </c>
      <c r="Q230" s="5">
        <v>24.76</v>
      </c>
      <c r="R230" s="5">
        <v>25.05</v>
      </c>
      <c r="S230" s="5">
        <v>24.85</v>
      </c>
      <c r="T230" s="5">
        <v>25.44</v>
      </c>
      <c r="V230" s="5">
        <v>25.07</v>
      </c>
      <c r="Y230" s="5">
        <v>34909</v>
      </c>
      <c r="Z230" s="5">
        <v>878840.64</v>
      </c>
      <c r="AA230" s="5">
        <v>265</v>
      </c>
      <c r="AB230" s="5" t="s">
        <v>85</v>
      </c>
      <c r="AC230" s="5">
        <v>1</v>
      </c>
    </row>
    <row r="231" spans="1:29" x14ac:dyDescent="0.3">
      <c r="A231" s="34">
        <v>46274</v>
      </c>
      <c r="B231" s="34">
        <v>46274</v>
      </c>
      <c r="C231" s="5" t="s">
        <v>78</v>
      </c>
      <c r="D231" s="5" t="s">
        <v>79</v>
      </c>
      <c r="E231" s="5" t="s">
        <v>80</v>
      </c>
      <c r="F231" s="5">
        <v>15234</v>
      </c>
      <c r="G231" s="5" t="s">
        <v>787</v>
      </c>
      <c r="H231" s="5" t="s">
        <v>788</v>
      </c>
      <c r="I231" s="5" t="s">
        <v>212</v>
      </c>
      <c r="N231" s="5" t="s">
        <v>789</v>
      </c>
      <c r="O231" s="5">
        <v>1637.1</v>
      </c>
      <c r="P231" s="5">
        <v>1640.8</v>
      </c>
      <c r="Q231" s="5">
        <v>1613.6</v>
      </c>
      <c r="R231" s="5">
        <v>1617.2</v>
      </c>
      <c r="S231" s="5">
        <v>1618.1</v>
      </c>
      <c r="T231" s="5">
        <v>1631.9</v>
      </c>
      <c r="V231" s="5">
        <v>1617.21</v>
      </c>
      <c r="Y231" s="5">
        <v>7772</v>
      </c>
      <c r="Z231" s="5">
        <v>12620670.199999999</v>
      </c>
      <c r="AA231" s="5">
        <v>912</v>
      </c>
      <c r="AB231" s="5" t="s">
        <v>85</v>
      </c>
      <c r="AC231" s="5">
        <v>1</v>
      </c>
    </row>
    <row r="232" spans="1:29" x14ac:dyDescent="0.3">
      <c r="A232" s="34">
        <v>46274</v>
      </c>
      <c r="B232" s="34">
        <v>46274</v>
      </c>
      <c r="C232" s="5" t="s">
        <v>78</v>
      </c>
      <c r="D232" s="5" t="s">
        <v>79</v>
      </c>
      <c r="E232" s="5" t="s">
        <v>80</v>
      </c>
      <c r="F232" s="5">
        <v>1270</v>
      </c>
      <c r="G232" s="5" t="s">
        <v>790</v>
      </c>
      <c r="H232" s="5" t="s">
        <v>791</v>
      </c>
      <c r="I232" s="5" t="s">
        <v>212</v>
      </c>
      <c r="N232" s="5" t="s">
        <v>792</v>
      </c>
      <c r="O232" s="5">
        <v>396.3</v>
      </c>
      <c r="P232" s="5">
        <v>400.8</v>
      </c>
      <c r="Q232" s="5">
        <v>395</v>
      </c>
      <c r="R232" s="5">
        <v>397</v>
      </c>
      <c r="S232" s="5">
        <v>397</v>
      </c>
      <c r="T232" s="5">
        <v>398.3</v>
      </c>
      <c r="V232" s="5">
        <v>396.99</v>
      </c>
      <c r="Y232" s="5">
        <v>862520</v>
      </c>
      <c r="Z232" s="5">
        <v>342773624.55000001</v>
      </c>
      <c r="AA232" s="5">
        <v>18674</v>
      </c>
      <c r="AB232" s="5" t="s">
        <v>85</v>
      </c>
      <c r="AC232" s="5">
        <v>1</v>
      </c>
    </row>
    <row r="233" spans="1:29" x14ac:dyDescent="0.3">
      <c r="A233" s="34">
        <v>46274</v>
      </c>
      <c r="B233" s="34">
        <v>46274</v>
      </c>
      <c r="C233" s="5" t="s">
        <v>78</v>
      </c>
      <c r="D233" s="5" t="s">
        <v>79</v>
      </c>
      <c r="E233" s="5" t="s">
        <v>80</v>
      </c>
      <c r="F233" s="5">
        <v>14398</v>
      </c>
      <c r="G233" s="5" t="s">
        <v>793</v>
      </c>
      <c r="H233" s="5" t="s">
        <v>794</v>
      </c>
      <c r="I233" s="5" t="s">
        <v>212</v>
      </c>
      <c r="N233" s="5" t="s">
        <v>795</v>
      </c>
      <c r="O233" s="5">
        <v>60.02</v>
      </c>
      <c r="P233" s="5">
        <v>61.6</v>
      </c>
      <c r="Q233" s="5">
        <v>55.8</v>
      </c>
      <c r="R233" s="5">
        <v>56.57</v>
      </c>
      <c r="S233" s="5">
        <v>56.9</v>
      </c>
      <c r="T233" s="5">
        <v>60.02</v>
      </c>
      <c r="V233" s="5">
        <v>56.58</v>
      </c>
      <c r="Y233" s="5">
        <v>63479</v>
      </c>
      <c r="Z233" s="5">
        <v>3680602.34</v>
      </c>
      <c r="AA233" s="5">
        <v>1127</v>
      </c>
      <c r="AB233" s="5" t="s">
        <v>85</v>
      </c>
      <c r="AC233" s="5">
        <v>1</v>
      </c>
    </row>
    <row r="234" spans="1:29" x14ac:dyDescent="0.3">
      <c r="A234" s="34">
        <v>46274</v>
      </c>
      <c r="B234" s="34">
        <v>46274</v>
      </c>
      <c r="C234" s="5" t="s">
        <v>78</v>
      </c>
      <c r="D234" s="5" t="s">
        <v>79</v>
      </c>
      <c r="E234" s="5" t="s">
        <v>80</v>
      </c>
      <c r="F234" s="5">
        <v>10898</v>
      </c>
      <c r="G234" s="5" t="s">
        <v>796</v>
      </c>
      <c r="H234" s="5" t="s">
        <v>797</v>
      </c>
      <c r="I234" s="5" t="s">
        <v>313</v>
      </c>
      <c r="N234" s="5" t="s">
        <v>798</v>
      </c>
      <c r="O234" s="5">
        <v>112.5</v>
      </c>
      <c r="P234" s="5">
        <v>114</v>
      </c>
      <c r="Q234" s="5">
        <v>112.5</v>
      </c>
      <c r="R234" s="5">
        <v>114</v>
      </c>
      <c r="S234" s="5">
        <v>114</v>
      </c>
      <c r="T234" s="5">
        <v>112.5</v>
      </c>
      <c r="V234" s="5">
        <v>114</v>
      </c>
      <c r="Y234" s="5">
        <v>19000</v>
      </c>
      <c r="Z234" s="5">
        <v>2164350</v>
      </c>
      <c r="AA234" s="5">
        <v>10</v>
      </c>
      <c r="AB234" s="5" t="s">
        <v>85</v>
      </c>
      <c r="AC234" s="5">
        <v>1000</v>
      </c>
    </row>
    <row r="235" spans="1:29" x14ac:dyDescent="0.3">
      <c r="A235" s="34">
        <v>46274</v>
      </c>
      <c r="B235" s="34">
        <v>46274</v>
      </c>
      <c r="C235" s="5" t="s">
        <v>78</v>
      </c>
      <c r="D235" s="5" t="s">
        <v>79</v>
      </c>
      <c r="E235" s="5" t="s">
        <v>80</v>
      </c>
      <c r="F235" s="5">
        <v>19867</v>
      </c>
      <c r="G235" s="5" t="s">
        <v>799</v>
      </c>
      <c r="H235" s="5" t="s">
        <v>800</v>
      </c>
      <c r="I235" s="5" t="s">
        <v>212</v>
      </c>
      <c r="N235" s="5" t="s">
        <v>801</v>
      </c>
      <c r="O235" s="5">
        <v>168</v>
      </c>
      <c r="P235" s="5">
        <v>169.97</v>
      </c>
      <c r="Q235" s="5">
        <v>165</v>
      </c>
      <c r="R235" s="5">
        <v>167.99</v>
      </c>
      <c r="S235" s="5">
        <v>168</v>
      </c>
      <c r="T235" s="5">
        <v>167.82</v>
      </c>
      <c r="V235" s="5">
        <v>167.99</v>
      </c>
      <c r="Y235" s="5">
        <v>3023</v>
      </c>
      <c r="Z235" s="5">
        <v>505607.73</v>
      </c>
      <c r="AA235" s="5">
        <v>121</v>
      </c>
      <c r="AB235" s="5" t="s">
        <v>85</v>
      </c>
      <c r="AC235" s="5">
        <v>1</v>
      </c>
    </row>
    <row r="236" spans="1:29" x14ac:dyDescent="0.3">
      <c r="A236" s="34">
        <v>46274</v>
      </c>
      <c r="B236" s="34">
        <v>46274</v>
      </c>
      <c r="C236" s="5" t="s">
        <v>78</v>
      </c>
      <c r="D236" s="5" t="s">
        <v>79</v>
      </c>
      <c r="E236" s="5" t="s">
        <v>80</v>
      </c>
      <c r="F236" s="5">
        <v>761670</v>
      </c>
      <c r="G236" s="5" t="s">
        <v>802</v>
      </c>
      <c r="H236" s="5" t="s">
        <v>803</v>
      </c>
      <c r="I236" s="5" t="s">
        <v>212</v>
      </c>
      <c r="N236" s="5" t="s">
        <v>804</v>
      </c>
      <c r="O236" s="5">
        <v>199.31</v>
      </c>
      <c r="P236" s="5">
        <v>204</v>
      </c>
      <c r="Q236" s="5">
        <v>196.52</v>
      </c>
      <c r="R236" s="5">
        <v>199.47</v>
      </c>
      <c r="S236" s="5">
        <v>200.9</v>
      </c>
      <c r="T236" s="5">
        <v>199.31</v>
      </c>
      <c r="V236" s="5">
        <v>199.43</v>
      </c>
      <c r="Y236" s="5">
        <v>287505</v>
      </c>
      <c r="Z236" s="5">
        <v>57372372.140000001</v>
      </c>
      <c r="AA236" s="5">
        <v>4734</v>
      </c>
      <c r="AB236" s="5" t="s">
        <v>85</v>
      </c>
      <c r="AC236" s="5">
        <v>1</v>
      </c>
    </row>
    <row r="237" spans="1:29" x14ac:dyDescent="0.3">
      <c r="A237" s="34">
        <v>46274</v>
      </c>
      <c r="B237" s="34">
        <v>46274</v>
      </c>
      <c r="C237" s="5" t="s">
        <v>78</v>
      </c>
      <c r="D237" s="5" t="s">
        <v>79</v>
      </c>
      <c r="E237" s="5" t="s">
        <v>80</v>
      </c>
      <c r="F237" s="5">
        <v>2598</v>
      </c>
      <c r="G237" s="5" t="s">
        <v>805</v>
      </c>
      <c r="H237" s="5" t="s">
        <v>806</v>
      </c>
      <c r="I237" s="5" t="s">
        <v>212</v>
      </c>
      <c r="N237" s="5" t="s">
        <v>807</v>
      </c>
      <c r="O237" s="5">
        <v>39.22</v>
      </c>
      <c r="P237" s="5">
        <v>39.590000000000003</v>
      </c>
      <c r="Q237" s="5">
        <v>38.5</v>
      </c>
      <c r="R237" s="5">
        <v>38.979999999999997</v>
      </c>
      <c r="S237" s="5">
        <v>38.729999999999997</v>
      </c>
      <c r="T237" s="5">
        <v>39.049999999999997</v>
      </c>
      <c r="V237" s="5">
        <v>38.979999999999997</v>
      </c>
      <c r="Y237" s="5">
        <v>2517</v>
      </c>
      <c r="Z237" s="5">
        <v>98147.839999999997</v>
      </c>
      <c r="AA237" s="5">
        <v>63</v>
      </c>
      <c r="AB237" s="5" t="s">
        <v>85</v>
      </c>
      <c r="AC237" s="5">
        <v>1</v>
      </c>
    </row>
    <row r="238" spans="1:29" x14ac:dyDescent="0.3">
      <c r="A238" s="34">
        <v>46274</v>
      </c>
      <c r="B238" s="34">
        <v>46274</v>
      </c>
      <c r="C238" s="5" t="s">
        <v>78</v>
      </c>
      <c r="D238" s="5" t="s">
        <v>79</v>
      </c>
      <c r="E238" s="5" t="s">
        <v>80</v>
      </c>
      <c r="F238" s="5">
        <v>17547</v>
      </c>
      <c r="G238" s="5" t="s">
        <v>808</v>
      </c>
      <c r="H238" s="5" t="s">
        <v>809</v>
      </c>
      <c r="I238" s="5" t="s">
        <v>212</v>
      </c>
      <c r="N238" s="5" t="s">
        <v>810</v>
      </c>
      <c r="O238" s="5">
        <v>500.45</v>
      </c>
      <c r="P238" s="5">
        <v>512</v>
      </c>
      <c r="Q238" s="5">
        <v>494</v>
      </c>
      <c r="R238" s="5">
        <v>504</v>
      </c>
      <c r="S238" s="5">
        <v>500.1</v>
      </c>
      <c r="T238" s="5">
        <v>500.45</v>
      </c>
      <c r="V238" s="5">
        <v>504</v>
      </c>
      <c r="Y238" s="5">
        <v>74607</v>
      </c>
      <c r="Z238" s="5">
        <v>37703955.25</v>
      </c>
      <c r="AA238" s="5">
        <v>3653</v>
      </c>
      <c r="AB238" s="5" t="s">
        <v>85</v>
      </c>
      <c r="AC238" s="5">
        <v>1</v>
      </c>
    </row>
    <row r="239" spans="1:29" x14ac:dyDescent="0.3">
      <c r="A239" s="34">
        <v>46274</v>
      </c>
      <c r="B239" s="34">
        <v>46274</v>
      </c>
      <c r="C239" s="5" t="s">
        <v>78</v>
      </c>
      <c r="D239" s="5" t="s">
        <v>79</v>
      </c>
      <c r="E239" s="5" t="s">
        <v>80</v>
      </c>
      <c r="F239" s="5">
        <v>759956</v>
      </c>
      <c r="G239" s="5" t="s">
        <v>811</v>
      </c>
      <c r="H239" s="5" t="s">
        <v>812</v>
      </c>
      <c r="I239" s="5" t="s">
        <v>212</v>
      </c>
      <c r="N239" s="5" t="s">
        <v>813</v>
      </c>
      <c r="O239" s="5">
        <v>510.05</v>
      </c>
      <c r="P239" s="5">
        <v>513</v>
      </c>
      <c r="Q239" s="5">
        <v>505</v>
      </c>
      <c r="R239" s="5">
        <v>505.55</v>
      </c>
      <c r="S239" s="5">
        <v>505.55</v>
      </c>
      <c r="T239" s="5">
        <v>513.65</v>
      </c>
      <c r="V239" s="5">
        <v>505.56</v>
      </c>
      <c r="Y239" s="5">
        <v>81100</v>
      </c>
      <c r="Z239" s="5">
        <v>41174994.700000003</v>
      </c>
      <c r="AA239" s="5">
        <v>2475</v>
      </c>
      <c r="AB239" s="5" t="s">
        <v>85</v>
      </c>
      <c r="AC239" s="5">
        <v>1</v>
      </c>
    </row>
    <row r="240" spans="1:29" x14ac:dyDescent="0.3">
      <c r="A240" s="34">
        <v>46274</v>
      </c>
      <c r="B240" s="34">
        <v>46274</v>
      </c>
      <c r="C240" s="5" t="s">
        <v>78</v>
      </c>
      <c r="D240" s="5" t="s">
        <v>79</v>
      </c>
      <c r="E240" s="5" t="s">
        <v>80</v>
      </c>
      <c r="F240" s="5">
        <v>7145</v>
      </c>
      <c r="G240" s="5" t="s">
        <v>814</v>
      </c>
      <c r="H240" s="5" t="s">
        <v>815</v>
      </c>
      <c r="I240" s="5" t="s">
        <v>212</v>
      </c>
      <c r="N240" s="5" t="s">
        <v>816</v>
      </c>
      <c r="O240" s="5">
        <v>2219</v>
      </c>
      <c r="P240" s="5">
        <v>2222.3000000000002</v>
      </c>
      <c r="Q240" s="5">
        <v>2165</v>
      </c>
      <c r="R240" s="5">
        <v>2180.6</v>
      </c>
      <c r="S240" s="5">
        <v>2181</v>
      </c>
      <c r="T240" s="5">
        <v>2229.5</v>
      </c>
      <c r="V240" s="5">
        <v>2180.6</v>
      </c>
      <c r="Y240" s="5">
        <v>228715</v>
      </c>
      <c r="Z240" s="5">
        <v>501350006.69999999</v>
      </c>
      <c r="AA240" s="5">
        <v>18988</v>
      </c>
      <c r="AB240" s="5" t="s">
        <v>85</v>
      </c>
      <c r="AC240" s="5">
        <v>1</v>
      </c>
    </row>
    <row r="241" spans="1:29" x14ac:dyDescent="0.3">
      <c r="A241" s="34">
        <v>46274</v>
      </c>
      <c r="B241" s="34">
        <v>46274</v>
      </c>
      <c r="C241" s="5" t="s">
        <v>78</v>
      </c>
      <c r="D241" s="5" t="s">
        <v>79</v>
      </c>
      <c r="E241" s="5" t="s">
        <v>80</v>
      </c>
      <c r="F241" s="5">
        <v>13620</v>
      </c>
      <c r="G241" s="5" t="s">
        <v>817</v>
      </c>
      <c r="H241" s="5" t="s">
        <v>818</v>
      </c>
      <c r="I241" s="5" t="s">
        <v>212</v>
      </c>
      <c r="N241" s="5" t="s">
        <v>819</v>
      </c>
      <c r="O241" s="5">
        <v>622</v>
      </c>
      <c r="P241" s="5">
        <v>625.79999999999995</v>
      </c>
      <c r="Q241" s="5">
        <v>612.5</v>
      </c>
      <c r="R241" s="5">
        <v>613.6</v>
      </c>
      <c r="S241" s="5">
        <v>613.5</v>
      </c>
      <c r="T241" s="5">
        <v>625.85</v>
      </c>
      <c r="V241" s="5">
        <v>613.59</v>
      </c>
      <c r="Y241" s="5">
        <v>2109667</v>
      </c>
      <c r="Z241" s="5">
        <v>1302754551.25</v>
      </c>
      <c r="AA241" s="5">
        <v>32337</v>
      </c>
      <c r="AB241" s="5" t="s">
        <v>85</v>
      </c>
      <c r="AC241" s="5">
        <v>1</v>
      </c>
    </row>
    <row r="242" spans="1:29" x14ac:dyDescent="0.3">
      <c r="A242" s="34">
        <v>46274</v>
      </c>
      <c r="B242" s="34">
        <v>46274</v>
      </c>
      <c r="C242" s="5" t="s">
        <v>78</v>
      </c>
      <c r="D242" s="5" t="s">
        <v>79</v>
      </c>
      <c r="E242" s="5" t="s">
        <v>80</v>
      </c>
      <c r="F242" s="5">
        <v>759363</v>
      </c>
      <c r="G242" s="5" t="s">
        <v>820</v>
      </c>
      <c r="H242" s="5" t="s">
        <v>821</v>
      </c>
      <c r="I242" s="5" t="s">
        <v>822</v>
      </c>
      <c r="N242" s="5" t="s">
        <v>823</v>
      </c>
      <c r="O242" s="5">
        <v>105.52</v>
      </c>
      <c r="P242" s="5">
        <v>107</v>
      </c>
      <c r="Q242" s="5">
        <v>105.52</v>
      </c>
      <c r="R242" s="5">
        <v>106.98</v>
      </c>
      <c r="S242" s="5">
        <v>106.98</v>
      </c>
      <c r="T242" s="5">
        <v>106.69</v>
      </c>
      <c r="V242" s="5">
        <v>106.98</v>
      </c>
      <c r="Y242" s="5">
        <v>6323</v>
      </c>
      <c r="Z242" s="5">
        <v>675766.27</v>
      </c>
      <c r="AA242" s="5">
        <v>62</v>
      </c>
      <c r="AB242" s="5" t="s">
        <v>85</v>
      </c>
      <c r="AC242" s="5">
        <v>1</v>
      </c>
    </row>
    <row r="243" spans="1:29" x14ac:dyDescent="0.3">
      <c r="A243" s="34">
        <v>46274</v>
      </c>
      <c r="B243" s="34">
        <v>46274</v>
      </c>
      <c r="C243" s="5" t="s">
        <v>78</v>
      </c>
      <c r="D243" s="5" t="s">
        <v>79</v>
      </c>
      <c r="E243" s="5" t="s">
        <v>80</v>
      </c>
      <c r="F243" s="5">
        <v>764446</v>
      </c>
      <c r="G243" s="5" t="s">
        <v>824</v>
      </c>
      <c r="H243" s="5" t="s">
        <v>825</v>
      </c>
      <c r="I243" s="5" t="s">
        <v>313</v>
      </c>
      <c r="N243" s="5" t="s">
        <v>826</v>
      </c>
      <c r="O243" s="5">
        <v>385.05</v>
      </c>
      <c r="P243" s="5">
        <v>425</v>
      </c>
      <c r="Q243" s="5">
        <v>382</v>
      </c>
      <c r="R243" s="5">
        <v>415.25</v>
      </c>
      <c r="S243" s="5">
        <v>418.5</v>
      </c>
      <c r="T243" s="5">
        <v>389.8</v>
      </c>
      <c r="V243" s="5">
        <v>415.25</v>
      </c>
      <c r="Y243" s="5">
        <v>489600</v>
      </c>
      <c r="Z243" s="5">
        <v>198623240</v>
      </c>
      <c r="AA243" s="5">
        <v>943</v>
      </c>
      <c r="AB243" s="5" t="s">
        <v>85</v>
      </c>
      <c r="AC243" s="5">
        <v>400</v>
      </c>
    </row>
    <row r="244" spans="1:29" x14ac:dyDescent="0.3">
      <c r="A244" s="34">
        <v>46274</v>
      </c>
      <c r="B244" s="34">
        <v>46274</v>
      </c>
      <c r="C244" s="5" t="s">
        <v>78</v>
      </c>
      <c r="D244" s="5" t="s">
        <v>79</v>
      </c>
      <c r="E244" s="5" t="s">
        <v>80</v>
      </c>
      <c r="F244" s="5">
        <v>758427</v>
      </c>
      <c r="G244" s="5" t="s">
        <v>827</v>
      </c>
      <c r="H244" s="5" t="s">
        <v>828</v>
      </c>
      <c r="I244" s="5" t="s">
        <v>313</v>
      </c>
      <c r="N244" s="5" t="s">
        <v>829</v>
      </c>
      <c r="O244" s="5">
        <v>360.5</v>
      </c>
      <c r="P244" s="5">
        <v>365</v>
      </c>
      <c r="Q244" s="5">
        <v>360.05</v>
      </c>
      <c r="R244" s="5">
        <v>360.05</v>
      </c>
      <c r="S244" s="5">
        <v>360.05</v>
      </c>
      <c r="T244" s="5">
        <v>383</v>
      </c>
      <c r="V244" s="5">
        <v>360.05</v>
      </c>
      <c r="Y244" s="5">
        <v>2000</v>
      </c>
      <c r="Z244" s="5">
        <v>726220</v>
      </c>
      <c r="AA244" s="5">
        <v>5</v>
      </c>
      <c r="AB244" s="5" t="s">
        <v>85</v>
      </c>
      <c r="AC244" s="5">
        <v>400</v>
      </c>
    </row>
    <row r="245" spans="1:29" x14ac:dyDescent="0.3">
      <c r="A245" s="34">
        <v>46274</v>
      </c>
      <c r="B245" s="34">
        <v>46274</v>
      </c>
      <c r="C245" s="5" t="s">
        <v>78</v>
      </c>
      <c r="D245" s="5" t="s">
        <v>79</v>
      </c>
      <c r="E245" s="5" t="s">
        <v>80</v>
      </c>
      <c r="F245" s="5">
        <v>15420</v>
      </c>
      <c r="G245" s="5" t="s">
        <v>830</v>
      </c>
      <c r="H245" s="5" t="s">
        <v>831</v>
      </c>
      <c r="I245" s="5" t="s">
        <v>212</v>
      </c>
      <c r="N245" s="5" t="s">
        <v>832</v>
      </c>
      <c r="O245" s="5">
        <v>42.95</v>
      </c>
      <c r="P245" s="5">
        <v>43.49</v>
      </c>
      <c r="Q245" s="5">
        <v>42.5</v>
      </c>
      <c r="R245" s="5">
        <v>43.21</v>
      </c>
      <c r="S245" s="5">
        <v>42.73</v>
      </c>
      <c r="T245" s="5">
        <v>42.29</v>
      </c>
      <c r="V245" s="5">
        <v>43.22</v>
      </c>
      <c r="Y245" s="5">
        <v>5707</v>
      </c>
      <c r="Z245" s="5">
        <v>245529.65</v>
      </c>
      <c r="AA245" s="5">
        <v>177</v>
      </c>
      <c r="AB245" s="5" t="s">
        <v>85</v>
      </c>
      <c r="AC245" s="5">
        <v>1</v>
      </c>
    </row>
    <row r="246" spans="1:29" x14ac:dyDescent="0.3">
      <c r="A246" s="34">
        <v>46274</v>
      </c>
      <c r="B246" s="34">
        <v>46274</v>
      </c>
      <c r="C246" s="5" t="s">
        <v>78</v>
      </c>
      <c r="D246" s="5" t="s">
        <v>79</v>
      </c>
      <c r="E246" s="5" t="s">
        <v>80</v>
      </c>
      <c r="F246" s="5">
        <v>166</v>
      </c>
      <c r="G246" s="5" t="s">
        <v>833</v>
      </c>
      <c r="H246" s="5" t="s">
        <v>834</v>
      </c>
      <c r="I246" s="5" t="s">
        <v>212</v>
      </c>
      <c r="N246" s="5" t="s">
        <v>835</v>
      </c>
      <c r="O246" s="5">
        <v>69.16</v>
      </c>
      <c r="P246" s="5">
        <v>71.56</v>
      </c>
      <c r="Q246" s="5">
        <v>67.5</v>
      </c>
      <c r="R246" s="5">
        <v>68.08</v>
      </c>
      <c r="S246" s="5">
        <v>68.02</v>
      </c>
      <c r="T246" s="5">
        <v>72.09</v>
      </c>
      <c r="V246" s="5">
        <v>68.08</v>
      </c>
      <c r="Y246" s="5">
        <v>2940986</v>
      </c>
      <c r="Z246" s="5">
        <v>203075858.25</v>
      </c>
      <c r="AA246" s="5">
        <v>21032</v>
      </c>
      <c r="AB246" s="5" t="s">
        <v>85</v>
      </c>
      <c r="AC246" s="5">
        <v>1</v>
      </c>
    </row>
    <row r="247" spans="1:29" x14ac:dyDescent="0.3">
      <c r="A247" s="34">
        <v>46274</v>
      </c>
      <c r="B247" s="34">
        <v>46274</v>
      </c>
      <c r="C247" s="5" t="s">
        <v>78</v>
      </c>
      <c r="D247" s="5" t="s">
        <v>79</v>
      </c>
      <c r="E247" s="5" t="s">
        <v>80</v>
      </c>
      <c r="F247" s="5">
        <v>136</v>
      </c>
      <c r="G247" s="5" t="s">
        <v>836</v>
      </c>
      <c r="H247" s="5" t="s">
        <v>837</v>
      </c>
      <c r="I247" s="5" t="s">
        <v>212</v>
      </c>
      <c r="N247" s="5" t="s">
        <v>838</v>
      </c>
      <c r="O247" s="5">
        <v>99.4</v>
      </c>
      <c r="P247" s="5">
        <v>99.57</v>
      </c>
      <c r="Q247" s="5">
        <v>97.1</v>
      </c>
      <c r="R247" s="5">
        <v>97.75</v>
      </c>
      <c r="S247" s="5">
        <v>97.65</v>
      </c>
      <c r="T247" s="5">
        <v>98.79</v>
      </c>
      <c r="V247" s="5">
        <v>97.75</v>
      </c>
      <c r="Y247" s="5">
        <v>311807</v>
      </c>
      <c r="Z247" s="5">
        <v>30495267.079999998</v>
      </c>
      <c r="AA247" s="5">
        <v>3891</v>
      </c>
      <c r="AB247" s="5" t="s">
        <v>85</v>
      </c>
      <c r="AC247" s="5">
        <v>1</v>
      </c>
    </row>
    <row r="248" spans="1:29" x14ac:dyDescent="0.3">
      <c r="A248" s="34">
        <v>46274</v>
      </c>
      <c r="B248" s="34">
        <v>46274</v>
      </c>
      <c r="C248" s="5" t="s">
        <v>78</v>
      </c>
      <c r="D248" s="5" t="s">
        <v>79</v>
      </c>
      <c r="E248" s="5" t="s">
        <v>80</v>
      </c>
      <c r="F248" s="5">
        <v>5206</v>
      </c>
      <c r="G248" s="5" t="s">
        <v>839</v>
      </c>
      <c r="H248" s="5" t="s">
        <v>840</v>
      </c>
      <c r="I248" s="5" t="s">
        <v>212</v>
      </c>
      <c r="N248" s="5" t="s">
        <v>841</v>
      </c>
      <c r="O248" s="5">
        <v>26.9</v>
      </c>
      <c r="P248" s="5">
        <v>27.98</v>
      </c>
      <c r="Q248" s="5">
        <v>26.53</v>
      </c>
      <c r="R248" s="5">
        <v>26.73</v>
      </c>
      <c r="S248" s="5">
        <v>26.53</v>
      </c>
      <c r="T248" s="5">
        <v>27.18</v>
      </c>
      <c r="V248" s="5">
        <v>26.74</v>
      </c>
      <c r="Y248" s="5">
        <v>70262</v>
      </c>
      <c r="Z248" s="5">
        <v>1897223.27</v>
      </c>
      <c r="AA248" s="5">
        <v>496</v>
      </c>
      <c r="AB248" s="5" t="s">
        <v>85</v>
      </c>
      <c r="AC248" s="5">
        <v>1</v>
      </c>
    </row>
    <row r="249" spans="1:29" x14ac:dyDescent="0.3">
      <c r="A249" s="34">
        <v>46274</v>
      </c>
      <c r="B249" s="34">
        <v>46274</v>
      </c>
      <c r="C249" s="5" t="s">
        <v>78</v>
      </c>
      <c r="D249" s="5" t="s">
        <v>79</v>
      </c>
      <c r="E249" s="5" t="s">
        <v>80</v>
      </c>
      <c r="F249" s="5">
        <v>324</v>
      </c>
      <c r="G249" s="5" t="s">
        <v>842</v>
      </c>
      <c r="H249" s="5" t="s">
        <v>843</v>
      </c>
      <c r="I249" s="5" t="s">
        <v>212</v>
      </c>
      <c r="N249" s="5" t="s">
        <v>844</v>
      </c>
      <c r="O249" s="5">
        <v>297.95</v>
      </c>
      <c r="P249" s="5">
        <v>303.64999999999998</v>
      </c>
      <c r="Q249" s="5">
        <v>291.60000000000002</v>
      </c>
      <c r="R249" s="5">
        <v>299.05</v>
      </c>
      <c r="S249" s="5">
        <v>299.05</v>
      </c>
      <c r="T249" s="5">
        <v>298</v>
      </c>
      <c r="V249" s="5">
        <v>299.05</v>
      </c>
      <c r="Y249" s="5">
        <v>7856510</v>
      </c>
      <c r="Z249" s="5">
        <v>2344903913.8499999</v>
      </c>
      <c r="AA249" s="5">
        <v>50246</v>
      </c>
      <c r="AB249" s="5" t="s">
        <v>85</v>
      </c>
      <c r="AC249" s="5">
        <v>1</v>
      </c>
    </row>
    <row r="250" spans="1:29" x14ac:dyDescent="0.3">
      <c r="A250" s="34">
        <v>46274</v>
      </c>
      <c r="B250" s="34">
        <v>46274</v>
      </c>
      <c r="C250" s="5" t="s">
        <v>78</v>
      </c>
      <c r="D250" s="5" t="s">
        <v>79</v>
      </c>
      <c r="E250" s="5" t="s">
        <v>80</v>
      </c>
      <c r="F250" s="5">
        <v>16657</v>
      </c>
      <c r="G250" s="5" t="s">
        <v>845</v>
      </c>
      <c r="H250" s="5" t="s">
        <v>846</v>
      </c>
      <c r="I250" s="5" t="s">
        <v>212</v>
      </c>
      <c r="N250" s="5" t="s">
        <v>847</v>
      </c>
      <c r="O250" s="5">
        <v>45</v>
      </c>
      <c r="P250" s="5">
        <v>45.7</v>
      </c>
      <c r="Q250" s="5">
        <v>44.02</v>
      </c>
      <c r="R250" s="5">
        <v>44.72</v>
      </c>
      <c r="S250" s="5">
        <v>44.99</v>
      </c>
      <c r="T250" s="5">
        <v>45.21</v>
      </c>
      <c r="V250" s="5">
        <v>44.74</v>
      </c>
      <c r="Y250" s="5">
        <v>1479</v>
      </c>
      <c r="Z250" s="5">
        <v>66696.259999999995</v>
      </c>
      <c r="AA250" s="5">
        <v>81</v>
      </c>
      <c r="AB250" s="5" t="s">
        <v>85</v>
      </c>
      <c r="AC250" s="5">
        <v>1</v>
      </c>
    </row>
    <row r="251" spans="1:29" x14ac:dyDescent="0.3">
      <c r="A251" s="34">
        <v>46274</v>
      </c>
      <c r="B251" s="34">
        <v>46274</v>
      </c>
      <c r="C251" s="5" t="s">
        <v>78</v>
      </c>
      <c r="D251" s="5" t="s">
        <v>79</v>
      </c>
      <c r="E251" s="5" t="s">
        <v>80</v>
      </c>
      <c r="F251" s="5">
        <v>20453</v>
      </c>
      <c r="G251" s="5" t="s">
        <v>848</v>
      </c>
      <c r="H251" s="5" t="s">
        <v>849</v>
      </c>
      <c r="I251" s="5" t="s">
        <v>212</v>
      </c>
      <c r="N251" s="5" t="s">
        <v>850</v>
      </c>
      <c r="O251" s="5">
        <v>98.5</v>
      </c>
      <c r="P251" s="5">
        <v>102.8</v>
      </c>
      <c r="Q251" s="5">
        <v>98.5</v>
      </c>
      <c r="R251" s="5">
        <v>100.41</v>
      </c>
      <c r="S251" s="5">
        <v>100.1</v>
      </c>
      <c r="T251" s="5">
        <v>100.32</v>
      </c>
      <c r="V251" s="5">
        <v>100.43</v>
      </c>
      <c r="Y251" s="5">
        <v>3129</v>
      </c>
      <c r="Z251" s="5">
        <v>314298.84999999998</v>
      </c>
      <c r="AA251" s="5">
        <v>74</v>
      </c>
      <c r="AB251" s="5" t="s">
        <v>85</v>
      </c>
      <c r="AC251" s="5">
        <v>1</v>
      </c>
    </row>
    <row r="252" spans="1:29" x14ac:dyDescent="0.3">
      <c r="A252" s="34">
        <v>46274</v>
      </c>
      <c r="B252" s="34">
        <v>46274</v>
      </c>
      <c r="C252" s="5" t="s">
        <v>78</v>
      </c>
      <c r="D252" s="5" t="s">
        <v>79</v>
      </c>
      <c r="E252" s="5" t="s">
        <v>80</v>
      </c>
      <c r="F252" s="5">
        <v>25878</v>
      </c>
      <c r="G252" s="5" t="s">
        <v>851</v>
      </c>
      <c r="H252" s="5" t="s">
        <v>852</v>
      </c>
      <c r="I252" s="5" t="s">
        <v>614</v>
      </c>
      <c r="N252" s="5" t="s">
        <v>853</v>
      </c>
      <c r="O252" s="5">
        <v>1.61</v>
      </c>
      <c r="P252" s="5">
        <v>1.66</v>
      </c>
      <c r="Q252" s="5">
        <v>1.61</v>
      </c>
      <c r="R252" s="5">
        <v>1.62</v>
      </c>
      <c r="S252" s="5">
        <v>1.62</v>
      </c>
      <c r="T252" s="5">
        <v>1.64</v>
      </c>
      <c r="V252" s="5">
        <v>1.62</v>
      </c>
      <c r="Y252" s="5">
        <v>17086</v>
      </c>
      <c r="Z252" s="5">
        <v>27625.83</v>
      </c>
      <c r="AA252" s="5">
        <v>20</v>
      </c>
      <c r="AB252" s="5" t="s">
        <v>85</v>
      </c>
      <c r="AC252" s="5">
        <v>1</v>
      </c>
    </row>
    <row r="253" spans="1:29" x14ac:dyDescent="0.3">
      <c r="A253" s="34">
        <v>46274</v>
      </c>
      <c r="B253" s="34">
        <v>46274</v>
      </c>
      <c r="C253" s="5" t="s">
        <v>78</v>
      </c>
      <c r="D253" s="5" t="s">
        <v>79</v>
      </c>
      <c r="E253" s="5" t="s">
        <v>80</v>
      </c>
      <c r="F253" s="5">
        <v>758968</v>
      </c>
      <c r="G253" s="5" t="s">
        <v>854</v>
      </c>
      <c r="H253" s="5" t="s">
        <v>855</v>
      </c>
      <c r="I253" s="5" t="s">
        <v>212</v>
      </c>
      <c r="N253" s="5" t="s">
        <v>856</v>
      </c>
      <c r="O253" s="5">
        <v>15.62</v>
      </c>
      <c r="P253" s="5">
        <v>16.68</v>
      </c>
      <c r="Q253" s="5">
        <v>15.62</v>
      </c>
      <c r="R253" s="5">
        <v>16.28</v>
      </c>
      <c r="S253" s="5">
        <v>16.18</v>
      </c>
      <c r="T253" s="5">
        <v>15.61</v>
      </c>
      <c r="V253" s="5">
        <v>16.28</v>
      </c>
      <c r="Y253" s="5">
        <v>17458736</v>
      </c>
      <c r="Z253" s="5">
        <v>283168517.16000003</v>
      </c>
      <c r="AA253" s="5">
        <v>49952</v>
      </c>
      <c r="AB253" s="5" t="s">
        <v>85</v>
      </c>
      <c r="AC253" s="5">
        <v>1</v>
      </c>
    </row>
    <row r="254" spans="1:29" x14ac:dyDescent="0.3">
      <c r="A254" s="34">
        <v>46274</v>
      </c>
      <c r="B254" s="34">
        <v>46274</v>
      </c>
      <c r="C254" s="5" t="s">
        <v>78</v>
      </c>
      <c r="D254" s="5" t="s">
        <v>79</v>
      </c>
      <c r="E254" s="5" t="s">
        <v>80</v>
      </c>
      <c r="F254" s="5">
        <v>13657</v>
      </c>
      <c r="G254" s="5" t="s">
        <v>857</v>
      </c>
      <c r="H254" s="5" t="s">
        <v>858</v>
      </c>
      <c r="I254" s="5" t="s">
        <v>313</v>
      </c>
      <c r="N254" s="5" t="s">
        <v>859</v>
      </c>
      <c r="O254" s="5">
        <v>655</v>
      </c>
      <c r="P254" s="5">
        <v>660</v>
      </c>
      <c r="Q254" s="5">
        <v>640</v>
      </c>
      <c r="R254" s="5">
        <v>647</v>
      </c>
      <c r="S254" s="5">
        <v>644.04999999999995</v>
      </c>
      <c r="T254" s="5">
        <v>680</v>
      </c>
      <c r="V254" s="5">
        <v>647</v>
      </c>
      <c r="Y254" s="5">
        <v>6800</v>
      </c>
      <c r="Z254" s="5">
        <v>4405780</v>
      </c>
      <c r="AA254" s="5">
        <v>17</v>
      </c>
      <c r="AB254" s="5" t="s">
        <v>85</v>
      </c>
      <c r="AC254" s="5">
        <v>400</v>
      </c>
    </row>
    <row r="255" spans="1:29" x14ac:dyDescent="0.3">
      <c r="A255" s="34">
        <v>46274</v>
      </c>
      <c r="B255" s="34">
        <v>46274</v>
      </c>
      <c r="C255" s="5" t="s">
        <v>78</v>
      </c>
      <c r="D255" s="5" t="s">
        <v>79</v>
      </c>
      <c r="E255" s="5" t="s">
        <v>80</v>
      </c>
      <c r="F255" s="5">
        <v>3727</v>
      </c>
      <c r="G255" s="5" t="s">
        <v>860</v>
      </c>
      <c r="H255" s="5" t="s">
        <v>861</v>
      </c>
      <c r="I255" s="5" t="s">
        <v>212</v>
      </c>
      <c r="N255" s="5" t="s">
        <v>862</v>
      </c>
      <c r="O255" s="5">
        <v>11.48</v>
      </c>
      <c r="P255" s="5">
        <v>13.65</v>
      </c>
      <c r="Q255" s="5">
        <v>11.05</v>
      </c>
      <c r="R255" s="5">
        <v>13.63</v>
      </c>
      <c r="S255" s="5">
        <v>13.65</v>
      </c>
      <c r="T255" s="5">
        <v>11.38</v>
      </c>
      <c r="V255" s="5">
        <v>13.62</v>
      </c>
      <c r="Y255" s="5">
        <v>2032233</v>
      </c>
      <c r="Z255" s="5">
        <v>26980649.91</v>
      </c>
      <c r="AA255" s="5">
        <v>4296</v>
      </c>
      <c r="AB255" s="5" t="s">
        <v>85</v>
      </c>
      <c r="AC255" s="5">
        <v>1</v>
      </c>
    </row>
    <row r="256" spans="1:29" x14ac:dyDescent="0.3">
      <c r="A256" s="34">
        <v>46274</v>
      </c>
      <c r="B256" s="34">
        <v>46274</v>
      </c>
      <c r="C256" s="5" t="s">
        <v>78</v>
      </c>
      <c r="D256" s="5" t="s">
        <v>79</v>
      </c>
      <c r="E256" s="5" t="s">
        <v>80</v>
      </c>
      <c r="F256" s="5">
        <v>764471</v>
      </c>
      <c r="G256" s="5" t="s">
        <v>863</v>
      </c>
      <c r="H256" s="5" t="s">
        <v>864</v>
      </c>
      <c r="I256" s="5" t="s">
        <v>212</v>
      </c>
      <c r="N256" s="5" t="s">
        <v>865</v>
      </c>
      <c r="O256" s="5">
        <v>140.25</v>
      </c>
      <c r="P256" s="5">
        <v>140.25</v>
      </c>
      <c r="Q256" s="5">
        <v>136.93</v>
      </c>
      <c r="R256" s="5">
        <v>137.68</v>
      </c>
      <c r="S256" s="5">
        <v>137</v>
      </c>
      <c r="T256" s="5">
        <v>139.9</v>
      </c>
      <c r="V256" s="5">
        <v>137.68</v>
      </c>
      <c r="Y256" s="5">
        <v>24785</v>
      </c>
      <c r="Z256" s="5">
        <v>3423630.07</v>
      </c>
      <c r="AA256" s="5">
        <v>344</v>
      </c>
      <c r="AB256" s="5" t="s">
        <v>85</v>
      </c>
      <c r="AC256" s="5">
        <v>1</v>
      </c>
    </row>
    <row r="257" spans="1:29" x14ac:dyDescent="0.3">
      <c r="A257" s="34">
        <v>46274</v>
      </c>
      <c r="B257" s="34">
        <v>46274</v>
      </c>
      <c r="C257" s="5" t="s">
        <v>78</v>
      </c>
      <c r="D257" s="5" t="s">
        <v>79</v>
      </c>
      <c r="E257" s="5" t="s">
        <v>80</v>
      </c>
      <c r="F257" s="5">
        <v>765503</v>
      </c>
      <c r="G257" s="5" t="s">
        <v>866</v>
      </c>
      <c r="H257" s="5" t="s">
        <v>867</v>
      </c>
      <c r="I257" s="5" t="s">
        <v>234</v>
      </c>
      <c r="N257" s="5" t="s">
        <v>868</v>
      </c>
      <c r="O257" s="5">
        <v>58.51</v>
      </c>
      <c r="P257" s="5">
        <v>58.51</v>
      </c>
      <c r="Q257" s="5">
        <v>58.51</v>
      </c>
      <c r="R257" s="5">
        <v>58.51</v>
      </c>
      <c r="S257" s="5">
        <v>58.51</v>
      </c>
      <c r="T257" s="5">
        <v>61.58</v>
      </c>
      <c r="V257" s="5">
        <v>58.65</v>
      </c>
      <c r="Y257" s="5">
        <v>188774</v>
      </c>
      <c r="Z257" s="5">
        <v>11045166.74</v>
      </c>
      <c r="AA257" s="5">
        <v>1723</v>
      </c>
      <c r="AB257" s="5" t="s">
        <v>85</v>
      </c>
      <c r="AC257" s="5">
        <v>1</v>
      </c>
    </row>
    <row r="258" spans="1:29" x14ac:dyDescent="0.3">
      <c r="A258" s="34">
        <v>46274</v>
      </c>
      <c r="B258" s="34">
        <v>46274</v>
      </c>
      <c r="C258" s="5" t="s">
        <v>78</v>
      </c>
      <c r="D258" s="5" t="s">
        <v>79</v>
      </c>
      <c r="E258" s="5" t="s">
        <v>80</v>
      </c>
      <c r="F258" s="5">
        <v>758740</v>
      </c>
      <c r="G258" s="5" t="s">
        <v>869</v>
      </c>
      <c r="H258" s="5" t="s">
        <v>870</v>
      </c>
      <c r="I258" s="5" t="s">
        <v>313</v>
      </c>
      <c r="N258" s="5" t="s">
        <v>871</v>
      </c>
      <c r="O258" s="5">
        <v>1142</v>
      </c>
      <c r="P258" s="5">
        <v>1171.95</v>
      </c>
      <c r="Q258" s="5">
        <v>1102.0999999999999</v>
      </c>
      <c r="R258" s="5">
        <v>1144.3499999999999</v>
      </c>
      <c r="S258" s="5">
        <v>1145.8</v>
      </c>
      <c r="T258" s="5">
        <v>1178.5999999999999</v>
      </c>
      <c r="V258" s="5">
        <v>1144.3499999999999</v>
      </c>
      <c r="Y258" s="5">
        <v>59400</v>
      </c>
      <c r="Z258" s="5">
        <v>67036590</v>
      </c>
      <c r="AA258" s="5">
        <v>247</v>
      </c>
      <c r="AB258" s="5" t="s">
        <v>85</v>
      </c>
      <c r="AC258" s="5">
        <v>200</v>
      </c>
    </row>
    <row r="259" spans="1:29" x14ac:dyDescent="0.3">
      <c r="A259" s="34">
        <v>46274</v>
      </c>
      <c r="B259" s="34">
        <v>46274</v>
      </c>
      <c r="C259" s="5" t="s">
        <v>78</v>
      </c>
      <c r="D259" s="5" t="s">
        <v>79</v>
      </c>
      <c r="E259" s="5" t="s">
        <v>80</v>
      </c>
      <c r="F259" s="5">
        <v>765942</v>
      </c>
      <c r="G259" s="5" t="s">
        <v>872</v>
      </c>
      <c r="H259" s="5" t="s">
        <v>873</v>
      </c>
      <c r="I259" s="5" t="s">
        <v>392</v>
      </c>
      <c r="N259" s="5" t="s">
        <v>874</v>
      </c>
      <c r="O259" s="5">
        <v>246</v>
      </c>
      <c r="P259" s="5">
        <v>246</v>
      </c>
      <c r="Q259" s="5">
        <v>137.19999999999999</v>
      </c>
      <c r="R259" s="5">
        <v>170</v>
      </c>
      <c r="S259" s="5">
        <v>189</v>
      </c>
      <c r="T259" s="5">
        <v>228.6</v>
      </c>
      <c r="V259" s="5">
        <v>170</v>
      </c>
      <c r="Y259" s="5">
        <v>44150</v>
      </c>
      <c r="Z259" s="5">
        <v>6559958.5</v>
      </c>
      <c r="AA259" s="5">
        <v>479</v>
      </c>
      <c r="AB259" s="5" t="s">
        <v>85</v>
      </c>
      <c r="AC259" s="5">
        <v>10</v>
      </c>
    </row>
    <row r="260" spans="1:29" x14ac:dyDescent="0.3">
      <c r="A260" s="34">
        <v>46274</v>
      </c>
      <c r="B260" s="34">
        <v>46274</v>
      </c>
      <c r="C260" s="5" t="s">
        <v>78</v>
      </c>
      <c r="D260" s="5" t="s">
        <v>79</v>
      </c>
      <c r="E260" s="5" t="s">
        <v>80</v>
      </c>
      <c r="F260" s="5">
        <v>765020</v>
      </c>
      <c r="G260" s="5" t="s">
        <v>875</v>
      </c>
      <c r="H260" s="5" t="s">
        <v>876</v>
      </c>
      <c r="I260" s="5" t="s">
        <v>212</v>
      </c>
      <c r="N260" s="5" t="s">
        <v>877</v>
      </c>
      <c r="O260" s="5">
        <v>82.5</v>
      </c>
      <c r="P260" s="5">
        <v>82.5</v>
      </c>
      <c r="Q260" s="5">
        <v>75</v>
      </c>
      <c r="R260" s="5">
        <v>77.150000000000006</v>
      </c>
      <c r="S260" s="5">
        <v>76</v>
      </c>
      <c r="T260" s="5">
        <v>82.5</v>
      </c>
      <c r="V260" s="5">
        <v>77.150000000000006</v>
      </c>
      <c r="Y260" s="5">
        <v>667</v>
      </c>
      <c r="Z260" s="5">
        <v>52003.8</v>
      </c>
      <c r="AA260" s="5">
        <v>19</v>
      </c>
      <c r="AB260" s="5" t="s">
        <v>85</v>
      </c>
      <c r="AC260" s="5">
        <v>1</v>
      </c>
    </row>
    <row r="261" spans="1:29" x14ac:dyDescent="0.3">
      <c r="A261" s="34">
        <v>46274</v>
      </c>
      <c r="B261" s="34">
        <v>46274</v>
      </c>
      <c r="C261" s="5" t="s">
        <v>78</v>
      </c>
      <c r="D261" s="5" t="s">
        <v>79</v>
      </c>
      <c r="E261" s="5" t="s">
        <v>80</v>
      </c>
      <c r="F261" s="5">
        <v>19677</v>
      </c>
      <c r="G261" s="5" t="s">
        <v>878</v>
      </c>
      <c r="H261" s="5" t="s">
        <v>879</v>
      </c>
      <c r="I261" s="5" t="s">
        <v>614</v>
      </c>
      <c r="N261" s="5" t="s">
        <v>880</v>
      </c>
      <c r="O261" s="5">
        <v>3.4</v>
      </c>
      <c r="P261" s="5">
        <v>3.46</v>
      </c>
      <c r="Q261" s="5">
        <v>3.4</v>
      </c>
      <c r="R261" s="5">
        <v>3.44</v>
      </c>
      <c r="S261" s="5">
        <v>3.45</v>
      </c>
      <c r="T261" s="5">
        <v>3.41</v>
      </c>
      <c r="V261" s="5">
        <v>3.44</v>
      </c>
      <c r="Y261" s="5">
        <v>45097</v>
      </c>
      <c r="Z261" s="5">
        <v>154843.53</v>
      </c>
      <c r="AA261" s="5">
        <v>65</v>
      </c>
      <c r="AB261" s="5" t="s">
        <v>85</v>
      </c>
      <c r="AC261" s="5">
        <v>1</v>
      </c>
    </row>
    <row r="262" spans="1:29" x14ac:dyDescent="0.3">
      <c r="A262" s="34">
        <v>46274</v>
      </c>
      <c r="B262" s="34">
        <v>46274</v>
      </c>
      <c r="C262" s="5" t="s">
        <v>78</v>
      </c>
      <c r="D262" s="5" t="s">
        <v>79</v>
      </c>
      <c r="E262" s="5" t="s">
        <v>80</v>
      </c>
      <c r="F262" s="5">
        <v>5194</v>
      </c>
      <c r="G262" s="5" t="s">
        <v>881</v>
      </c>
      <c r="H262" s="5" t="s">
        <v>882</v>
      </c>
      <c r="I262" s="5" t="s">
        <v>212</v>
      </c>
      <c r="N262" s="5" t="s">
        <v>883</v>
      </c>
      <c r="O262" s="5">
        <v>0.73</v>
      </c>
      <c r="P262" s="5">
        <v>0.73</v>
      </c>
      <c r="Q262" s="5">
        <v>0.71</v>
      </c>
      <c r="R262" s="5">
        <v>0.72</v>
      </c>
      <c r="S262" s="5">
        <v>0.73</v>
      </c>
      <c r="T262" s="5">
        <v>0.72</v>
      </c>
      <c r="V262" s="5">
        <v>0.72</v>
      </c>
      <c r="Y262" s="5">
        <v>406041</v>
      </c>
      <c r="Z262" s="5">
        <v>291736.51</v>
      </c>
      <c r="AA262" s="5">
        <v>160</v>
      </c>
      <c r="AB262" s="5" t="s">
        <v>85</v>
      </c>
      <c r="AC262" s="5">
        <v>1</v>
      </c>
    </row>
    <row r="263" spans="1:29" x14ac:dyDescent="0.3">
      <c r="A263" s="34">
        <v>46274</v>
      </c>
      <c r="B263" s="34">
        <v>46274</v>
      </c>
      <c r="C263" s="5" t="s">
        <v>78</v>
      </c>
      <c r="D263" s="5" t="s">
        <v>79</v>
      </c>
      <c r="E263" s="5" t="s">
        <v>80</v>
      </c>
      <c r="F263" s="5">
        <v>13598</v>
      </c>
      <c r="G263" s="5" t="s">
        <v>884</v>
      </c>
      <c r="H263" s="5" t="s">
        <v>885</v>
      </c>
      <c r="I263" s="5" t="s">
        <v>212</v>
      </c>
      <c r="N263" s="5" t="s">
        <v>886</v>
      </c>
      <c r="O263" s="5">
        <v>1116.8</v>
      </c>
      <c r="P263" s="5">
        <v>1218.3</v>
      </c>
      <c r="Q263" s="5">
        <v>1107.45</v>
      </c>
      <c r="R263" s="5">
        <v>1169.4000000000001</v>
      </c>
      <c r="S263" s="5">
        <v>1149.5</v>
      </c>
      <c r="T263" s="5">
        <v>1099.1500000000001</v>
      </c>
      <c r="V263" s="5">
        <v>1169.49</v>
      </c>
      <c r="Y263" s="5">
        <v>13072209</v>
      </c>
      <c r="Z263" s="5">
        <v>15465039966.65</v>
      </c>
      <c r="AA263" s="5">
        <v>441670</v>
      </c>
      <c r="AB263" s="5" t="s">
        <v>85</v>
      </c>
      <c r="AC263" s="5">
        <v>1</v>
      </c>
    </row>
    <row r="264" spans="1:29" x14ac:dyDescent="0.3">
      <c r="A264" s="34">
        <v>46274</v>
      </c>
      <c r="B264" s="34">
        <v>46274</v>
      </c>
      <c r="C264" s="5" t="s">
        <v>78</v>
      </c>
      <c r="D264" s="5" t="s">
        <v>79</v>
      </c>
      <c r="E264" s="5" t="s">
        <v>80</v>
      </c>
      <c r="F264" s="5">
        <v>757885</v>
      </c>
      <c r="G264" s="5" t="s">
        <v>887</v>
      </c>
      <c r="H264" s="5" t="s">
        <v>888</v>
      </c>
      <c r="I264" s="5" t="s">
        <v>212</v>
      </c>
      <c r="N264" s="5" t="s">
        <v>889</v>
      </c>
      <c r="O264" s="5">
        <v>957.7</v>
      </c>
      <c r="P264" s="5">
        <v>977.55</v>
      </c>
      <c r="Q264" s="5">
        <v>940.45</v>
      </c>
      <c r="R264" s="5">
        <v>942.95</v>
      </c>
      <c r="S264" s="5">
        <v>944</v>
      </c>
      <c r="T264" s="5">
        <v>957.8</v>
      </c>
      <c r="V264" s="5">
        <v>942.97</v>
      </c>
      <c r="Y264" s="5">
        <v>928217</v>
      </c>
      <c r="Z264" s="5">
        <v>889215972.45000005</v>
      </c>
      <c r="AA264" s="5">
        <v>55331</v>
      </c>
      <c r="AB264" s="5" t="s">
        <v>85</v>
      </c>
      <c r="AC264" s="5">
        <v>1</v>
      </c>
    </row>
    <row r="265" spans="1:29" x14ac:dyDescent="0.3">
      <c r="A265" s="34">
        <v>46274</v>
      </c>
      <c r="B265" s="34">
        <v>46274</v>
      </c>
      <c r="C265" s="5" t="s">
        <v>78</v>
      </c>
      <c r="D265" s="5" t="s">
        <v>79</v>
      </c>
      <c r="E265" s="5" t="s">
        <v>80</v>
      </c>
      <c r="F265" s="5">
        <v>1797</v>
      </c>
      <c r="G265" s="5" t="s">
        <v>890</v>
      </c>
      <c r="H265" s="5" t="s">
        <v>891</v>
      </c>
      <c r="I265" s="5" t="s">
        <v>212</v>
      </c>
      <c r="N265" s="5" t="s">
        <v>892</v>
      </c>
      <c r="O265" s="5">
        <v>362.65</v>
      </c>
      <c r="P265" s="5">
        <v>384</v>
      </c>
      <c r="Q265" s="5">
        <v>362.55</v>
      </c>
      <c r="R265" s="5">
        <v>376.15</v>
      </c>
      <c r="S265" s="5">
        <v>377</v>
      </c>
      <c r="T265" s="5">
        <v>365.75</v>
      </c>
      <c r="V265" s="5">
        <v>376.18</v>
      </c>
      <c r="Y265" s="5">
        <v>145249</v>
      </c>
      <c r="Z265" s="5">
        <v>54467252.950000003</v>
      </c>
      <c r="AA265" s="5">
        <v>5363</v>
      </c>
      <c r="AB265" s="5" t="s">
        <v>85</v>
      </c>
      <c r="AC265" s="5">
        <v>1</v>
      </c>
    </row>
    <row r="266" spans="1:29" x14ac:dyDescent="0.3">
      <c r="A266" s="34">
        <v>46274</v>
      </c>
      <c r="B266" s="34">
        <v>46274</v>
      </c>
      <c r="C266" s="5" t="s">
        <v>78</v>
      </c>
      <c r="D266" s="5" t="s">
        <v>79</v>
      </c>
      <c r="E266" s="5" t="s">
        <v>80</v>
      </c>
      <c r="F266" s="5">
        <v>28314</v>
      </c>
      <c r="G266" s="5" t="s">
        <v>893</v>
      </c>
      <c r="H266" s="5" t="s">
        <v>894</v>
      </c>
      <c r="I266" s="5" t="s">
        <v>212</v>
      </c>
      <c r="N266" s="5" t="s">
        <v>895</v>
      </c>
      <c r="O266" s="5">
        <v>96</v>
      </c>
      <c r="P266" s="5">
        <v>99.5</v>
      </c>
      <c r="Q266" s="5">
        <v>96</v>
      </c>
      <c r="R266" s="5">
        <v>96.74</v>
      </c>
      <c r="S266" s="5">
        <v>96.95</v>
      </c>
      <c r="T266" s="5">
        <v>95.53</v>
      </c>
      <c r="V266" s="5">
        <v>96.72</v>
      </c>
      <c r="Y266" s="5">
        <v>626549</v>
      </c>
      <c r="Z266" s="5">
        <v>61510379.32</v>
      </c>
      <c r="AA266" s="5">
        <v>6741</v>
      </c>
      <c r="AB266" s="5" t="s">
        <v>85</v>
      </c>
      <c r="AC266" s="5">
        <v>1</v>
      </c>
    </row>
    <row r="267" spans="1:29" x14ac:dyDescent="0.3">
      <c r="A267" s="34">
        <v>46274</v>
      </c>
      <c r="B267" s="34">
        <v>46274</v>
      </c>
      <c r="C267" s="5" t="s">
        <v>78</v>
      </c>
      <c r="D267" s="5" t="s">
        <v>79</v>
      </c>
      <c r="E267" s="5" t="s">
        <v>80</v>
      </c>
      <c r="F267" s="5">
        <v>2829</v>
      </c>
      <c r="G267" s="5" t="s">
        <v>896</v>
      </c>
      <c r="H267" s="5" t="s">
        <v>897</v>
      </c>
      <c r="I267" s="5" t="s">
        <v>212</v>
      </c>
      <c r="N267" s="5" t="s">
        <v>898</v>
      </c>
      <c r="O267" s="5">
        <v>1235</v>
      </c>
      <c r="P267" s="5">
        <v>1238.5</v>
      </c>
      <c r="Q267" s="5">
        <v>1223.5</v>
      </c>
      <c r="R267" s="5">
        <v>1229.5999999999999</v>
      </c>
      <c r="S267" s="5">
        <v>1226.5</v>
      </c>
      <c r="T267" s="5">
        <v>1233.4000000000001</v>
      </c>
      <c r="V267" s="5">
        <v>1229.5899999999999</v>
      </c>
      <c r="Y267" s="5">
        <v>204066</v>
      </c>
      <c r="Z267" s="5">
        <v>250924256.80000001</v>
      </c>
      <c r="AA267" s="5">
        <v>3813</v>
      </c>
      <c r="AB267" s="5" t="s">
        <v>85</v>
      </c>
      <c r="AC267" s="5">
        <v>1</v>
      </c>
    </row>
    <row r="268" spans="1:29" x14ac:dyDescent="0.3">
      <c r="A268" s="34">
        <v>46274</v>
      </c>
      <c r="B268" s="34">
        <v>46274</v>
      </c>
      <c r="C268" s="5" t="s">
        <v>78</v>
      </c>
      <c r="D268" s="5" t="s">
        <v>79</v>
      </c>
      <c r="E268" s="5" t="s">
        <v>80</v>
      </c>
      <c r="F268" s="5">
        <v>28983</v>
      </c>
      <c r="G268" s="5" t="s">
        <v>899</v>
      </c>
      <c r="H268" s="5" t="s">
        <v>900</v>
      </c>
      <c r="I268" s="5" t="s">
        <v>313</v>
      </c>
      <c r="N268" s="5" t="s">
        <v>901</v>
      </c>
      <c r="O268" s="5">
        <v>15.15</v>
      </c>
      <c r="P268" s="5">
        <v>15.15</v>
      </c>
      <c r="Q268" s="5">
        <v>14.25</v>
      </c>
      <c r="R268" s="5">
        <v>15.05</v>
      </c>
      <c r="S268" s="5">
        <v>15.05</v>
      </c>
      <c r="T268" s="5">
        <v>15.25</v>
      </c>
      <c r="V268" s="5">
        <v>15.05</v>
      </c>
      <c r="Y268" s="5">
        <v>30000</v>
      </c>
      <c r="Z268" s="5">
        <v>447500</v>
      </c>
      <c r="AA268" s="5">
        <v>6</v>
      </c>
      <c r="AB268" s="5" t="s">
        <v>85</v>
      </c>
      <c r="AC268" s="5">
        <v>5000</v>
      </c>
    </row>
    <row r="269" spans="1:29" x14ac:dyDescent="0.3">
      <c r="A269" s="34">
        <v>46274</v>
      </c>
      <c r="B269" s="34">
        <v>46274</v>
      </c>
      <c r="C269" s="5" t="s">
        <v>78</v>
      </c>
      <c r="D269" s="5" t="s">
        <v>79</v>
      </c>
      <c r="E269" s="5" t="s">
        <v>80</v>
      </c>
      <c r="F269" s="5">
        <v>11945</v>
      </c>
      <c r="G269" s="5" t="s">
        <v>902</v>
      </c>
      <c r="H269" s="5" t="s">
        <v>903</v>
      </c>
      <c r="I269" s="5" t="s">
        <v>822</v>
      </c>
      <c r="N269" s="5" t="s">
        <v>904</v>
      </c>
      <c r="O269" s="5">
        <v>129.30000000000001</v>
      </c>
      <c r="P269" s="5">
        <v>129.30000000000001</v>
      </c>
      <c r="Q269" s="5">
        <v>129.30000000000001</v>
      </c>
      <c r="R269" s="5">
        <v>129.30000000000001</v>
      </c>
      <c r="S269" s="5">
        <v>129.30000000000001</v>
      </c>
      <c r="T269" s="5">
        <v>129</v>
      </c>
      <c r="V269" s="5">
        <v>129.30000000000001</v>
      </c>
      <c r="Y269" s="5">
        <v>25000</v>
      </c>
      <c r="Z269" s="5">
        <v>3232500</v>
      </c>
      <c r="AA269" s="5">
        <v>1</v>
      </c>
      <c r="AB269" s="5" t="s">
        <v>85</v>
      </c>
      <c r="AC269" s="5">
        <v>25000</v>
      </c>
    </row>
    <row r="270" spans="1:29" x14ac:dyDescent="0.3">
      <c r="A270" s="34">
        <v>46274</v>
      </c>
      <c r="B270" s="34">
        <v>46274</v>
      </c>
      <c r="C270" s="5" t="s">
        <v>78</v>
      </c>
      <c r="D270" s="5" t="s">
        <v>79</v>
      </c>
      <c r="E270" s="5" t="s">
        <v>80</v>
      </c>
      <c r="F270" s="5">
        <v>758904</v>
      </c>
      <c r="G270" s="5" t="s">
        <v>905</v>
      </c>
      <c r="H270" s="5" t="s">
        <v>906</v>
      </c>
      <c r="I270" s="5" t="s">
        <v>212</v>
      </c>
      <c r="N270" s="5" t="s">
        <v>907</v>
      </c>
      <c r="O270" s="5">
        <v>14.15</v>
      </c>
      <c r="P270" s="5">
        <v>14.28</v>
      </c>
      <c r="Q270" s="5">
        <v>14.05</v>
      </c>
      <c r="R270" s="5">
        <v>14.2</v>
      </c>
      <c r="S270" s="5">
        <v>14.22</v>
      </c>
      <c r="T270" s="5">
        <v>14.2</v>
      </c>
      <c r="V270" s="5">
        <v>14.2</v>
      </c>
      <c r="Y270" s="5">
        <v>191081</v>
      </c>
      <c r="Z270" s="5">
        <v>2711999.02</v>
      </c>
      <c r="AA270" s="5">
        <v>1164</v>
      </c>
      <c r="AB270" s="5" t="s">
        <v>85</v>
      </c>
      <c r="AC270" s="5">
        <v>1</v>
      </c>
    </row>
    <row r="271" spans="1:29" x14ac:dyDescent="0.3">
      <c r="A271" s="34">
        <v>46274</v>
      </c>
      <c r="B271" s="34">
        <v>46274</v>
      </c>
      <c r="C271" s="5" t="s">
        <v>78</v>
      </c>
      <c r="D271" s="5" t="s">
        <v>79</v>
      </c>
      <c r="E271" s="5" t="s">
        <v>80</v>
      </c>
      <c r="F271" s="5">
        <v>30472</v>
      </c>
      <c r="G271" s="5" t="s">
        <v>908</v>
      </c>
      <c r="H271" s="5" t="s">
        <v>909</v>
      </c>
      <c r="I271" s="5" t="s">
        <v>212</v>
      </c>
      <c r="N271" s="5" t="s">
        <v>910</v>
      </c>
      <c r="O271" s="5">
        <v>1076.08</v>
      </c>
      <c r="P271" s="5">
        <v>1076.08</v>
      </c>
      <c r="Q271" s="5">
        <v>1076.06</v>
      </c>
      <c r="R271" s="5">
        <v>1076.06</v>
      </c>
      <c r="S271" s="5">
        <v>1076.06</v>
      </c>
      <c r="T271" s="5">
        <v>1075.94</v>
      </c>
      <c r="V271" s="5">
        <v>1076.06</v>
      </c>
      <c r="Y271" s="5">
        <v>26546</v>
      </c>
      <c r="Z271" s="5">
        <v>28565495.27</v>
      </c>
      <c r="AA271" s="5">
        <v>87</v>
      </c>
      <c r="AB271" s="5" t="s">
        <v>85</v>
      </c>
      <c r="AC271" s="5">
        <v>1</v>
      </c>
    </row>
    <row r="272" spans="1:29" x14ac:dyDescent="0.3">
      <c r="A272" s="34">
        <v>46274</v>
      </c>
      <c r="B272" s="34">
        <v>46274</v>
      </c>
      <c r="C272" s="5" t="s">
        <v>78</v>
      </c>
      <c r="D272" s="5" t="s">
        <v>79</v>
      </c>
      <c r="E272" s="5" t="s">
        <v>80</v>
      </c>
      <c r="F272" s="5">
        <v>757096</v>
      </c>
      <c r="G272" s="5" t="s">
        <v>911</v>
      </c>
      <c r="H272" s="5" t="s">
        <v>912</v>
      </c>
      <c r="I272" s="5" t="s">
        <v>212</v>
      </c>
      <c r="N272" s="5" t="s">
        <v>913</v>
      </c>
      <c r="O272" s="5">
        <v>9.7899999999999991</v>
      </c>
      <c r="P272" s="5">
        <v>9.83</v>
      </c>
      <c r="Q272" s="5">
        <v>9.6199999999999992</v>
      </c>
      <c r="R272" s="5">
        <v>9.7200000000000006</v>
      </c>
      <c r="S272" s="5">
        <v>9.73</v>
      </c>
      <c r="T272" s="5">
        <v>9.7899999999999991</v>
      </c>
      <c r="V272" s="5">
        <v>9.7200000000000006</v>
      </c>
      <c r="Y272" s="5">
        <v>133129</v>
      </c>
      <c r="Z272" s="5">
        <v>1295886.3899999999</v>
      </c>
      <c r="AA272" s="5">
        <v>1306</v>
      </c>
      <c r="AB272" s="5" t="s">
        <v>85</v>
      </c>
      <c r="AC272" s="5">
        <v>1</v>
      </c>
    </row>
    <row r="273" spans="1:29" x14ac:dyDescent="0.3">
      <c r="A273" s="34">
        <v>46274</v>
      </c>
      <c r="B273" s="34">
        <v>46274</v>
      </c>
      <c r="C273" s="5" t="s">
        <v>78</v>
      </c>
      <c r="D273" s="5" t="s">
        <v>79</v>
      </c>
      <c r="E273" s="5" t="s">
        <v>80</v>
      </c>
      <c r="F273" s="5">
        <v>760193</v>
      </c>
      <c r="G273" s="5" t="s">
        <v>914</v>
      </c>
      <c r="H273" s="5" t="s">
        <v>915</v>
      </c>
      <c r="I273" s="5" t="s">
        <v>212</v>
      </c>
      <c r="N273" s="5" t="s">
        <v>916</v>
      </c>
      <c r="O273" s="5">
        <v>8.86</v>
      </c>
      <c r="P273" s="5">
        <v>8.94</v>
      </c>
      <c r="Q273" s="5">
        <v>8.81</v>
      </c>
      <c r="R273" s="5">
        <v>8.8800000000000008</v>
      </c>
      <c r="S273" s="5">
        <v>8.86</v>
      </c>
      <c r="T273" s="5">
        <v>8.82</v>
      </c>
      <c r="V273" s="5">
        <v>8.8800000000000008</v>
      </c>
      <c r="Y273" s="5">
        <v>322568</v>
      </c>
      <c r="Z273" s="5">
        <v>2863491.86</v>
      </c>
      <c r="AA273" s="5">
        <v>1008</v>
      </c>
      <c r="AB273" s="5" t="s">
        <v>85</v>
      </c>
      <c r="AC273" s="5">
        <v>1</v>
      </c>
    </row>
    <row r="274" spans="1:29" x14ac:dyDescent="0.3">
      <c r="A274" s="34">
        <v>46274</v>
      </c>
      <c r="B274" s="34">
        <v>46274</v>
      </c>
      <c r="C274" s="5" t="s">
        <v>78</v>
      </c>
      <c r="D274" s="5" t="s">
        <v>79</v>
      </c>
      <c r="E274" s="5" t="s">
        <v>80</v>
      </c>
      <c r="F274" s="5">
        <v>759992</v>
      </c>
      <c r="G274" s="5" t="s">
        <v>917</v>
      </c>
      <c r="H274" s="5" t="s">
        <v>918</v>
      </c>
      <c r="I274" s="5" t="s">
        <v>212</v>
      </c>
      <c r="N274" s="5" t="s">
        <v>919</v>
      </c>
      <c r="O274" s="5">
        <v>10.4</v>
      </c>
      <c r="P274" s="5">
        <v>10.46</v>
      </c>
      <c r="Q274" s="5">
        <v>10.36</v>
      </c>
      <c r="R274" s="5">
        <v>10.4</v>
      </c>
      <c r="S274" s="5">
        <v>10.42</v>
      </c>
      <c r="T274" s="5">
        <v>10.35</v>
      </c>
      <c r="V274" s="5">
        <v>10.4</v>
      </c>
      <c r="Y274" s="5">
        <v>37525</v>
      </c>
      <c r="Z274" s="5">
        <v>390022.8</v>
      </c>
      <c r="AA274" s="5">
        <v>274</v>
      </c>
      <c r="AB274" s="5" t="s">
        <v>85</v>
      </c>
      <c r="AC274" s="5">
        <v>1</v>
      </c>
    </row>
    <row r="275" spans="1:29" x14ac:dyDescent="0.3">
      <c r="A275" s="34">
        <v>46274</v>
      </c>
      <c r="B275" s="34">
        <v>46274</v>
      </c>
      <c r="C275" s="5" t="s">
        <v>78</v>
      </c>
      <c r="D275" s="5" t="s">
        <v>79</v>
      </c>
      <c r="E275" s="5" t="s">
        <v>80</v>
      </c>
      <c r="F275" s="5">
        <v>29975</v>
      </c>
      <c r="G275" s="5" t="s">
        <v>920</v>
      </c>
      <c r="H275" s="5" t="s">
        <v>921</v>
      </c>
      <c r="I275" s="5" t="s">
        <v>212</v>
      </c>
      <c r="N275" s="5" t="s">
        <v>922</v>
      </c>
      <c r="O275" s="5">
        <v>11.86</v>
      </c>
      <c r="P275" s="5">
        <v>11.86</v>
      </c>
      <c r="Q275" s="5">
        <v>11.73</v>
      </c>
      <c r="R275" s="5">
        <v>11.76</v>
      </c>
      <c r="S275" s="5">
        <v>11.79</v>
      </c>
      <c r="T275" s="5">
        <v>11.81</v>
      </c>
      <c r="V275" s="5">
        <v>11.76</v>
      </c>
      <c r="Y275" s="5">
        <v>184344</v>
      </c>
      <c r="Z275" s="5">
        <v>2169788.59</v>
      </c>
      <c r="AA275" s="5">
        <v>1158</v>
      </c>
      <c r="AB275" s="5" t="s">
        <v>85</v>
      </c>
      <c r="AC275" s="5">
        <v>1</v>
      </c>
    </row>
    <row r="276" spans="1:29" x14ac:dyDescent="0.3">
      <c r="A276" s="34">
        <v>46274</v>
      </c>
      <c r="B276" s="34">
        <v>46274</v>
      </c>
      <c r="C276" s="5" t="s">
        <v>78</v>
      </c>
      <c r="D276" s="5" t="s">
        <v>79</v>
      </c>
      <c r="E276" s="5" t="s">
        <v>80</v>
      </c>
      <c r="F276" s="5">
        <v>11491</v>
      </c>
      <c r="G276" s="5" t="s">
        <v>923</v>
      </c>
      <c r="H276" s="5" t="s">
        <v>924</v>
      </c>
      <c r="I276" s="5" t="s">
        <v>212</v>
      </c>
      <c r="N276" s="5" t="s">
        <v>925</v>
      </c>
      <c r="O276" s="5">
        <v>17639</v>
      </c>
      <c r="P276" s="5">
        <v>18132</v>
      </c>
      <c r="Q276" s="5">
        <v>17350</v>
      </c>
      <c r="R276" s="5">
        <v>17448</v>
      </c>
      <c r="S276" s="5">
        <v>17451</v>
      </c>
      <c r="T276" s="5">
        <v>17635</v>
      </c>
      <c r="V276" s="5">
        <v>17447.88</v>
      </c>
      <c r="Y276" s="5">
        <v>105567</v>
      </c>
      <c r="Z276" s="5">
        <v>1856641468</v>
      </c>
      <c r="AA276" s="5">
        <v>32423</v>
      </c>
      <c r="AB276" s="5" t="s">
        <v>85</v>
      </c>
      <c r="AC276" s="5">
        <v>1</v>
      </c>
    </row>
    <row r="277" spans="1:29" x14ac:dyDescent="0.3">
      <c r="A277" s="34">
        <v>46274</v>
      </c>
      <c r="B277" s="34">
        <v>46274</v>
      </c>
      <c r="C277" s="5" t="s">
        <v>78</v>
      </c>
      <c r="D277" s="5" t="s">
        <v>79</v>
      </c>
      <c r="E277" s="5" t="s">
        <v>80</v>
      </c>
      <c r="F277" s="5">
        <v>154</v>
      </c>
      <c r="G277" s="5" t="s">
        <v>926</v>
      </c>
      <c r="H277" s="5" t="s">
        <v>927</v>
      </c>
      <c r="I277" s="5" t="s">
        <v>212</v>
      </c>
      <c r="N277" s="5" t="s">
        <v>928</v>
      </c>
      <c r="O277" s="5">
        <v>610.15</v>
      </c>
      <c r="P277" s="5">
        <v>618.9</v>
      </c>
      <c r="Q277" s="5">
        <v>606.04999999999995</v>
      </c>
      <c r="R277" s="5">
        <v>615.45000000000005</v>
      </c>
      <c r="S277" s="5">
        <v>615</v>
      </c>
      <c r="T277" s="5">
        <v>612.15</v>
      </c>
      <c r="V277" s="5">
        <v>615.5</v>
      </c>
      <c r="Y277" s="5">
        <v>67048</v>
      </c>
      <c r="Z277" s="5">
        <v>40995686.5</v>
      </c>
      <c r="AA277" s="5">
        <v>3627</v>
      </c>
      <c r="AB277" s="5" t="s">
        <v>85</v>
      </c>
      <c r="AC277" s="5">
        <v>1</v>
      </c>
    </row>
    <row r="278" spans="1:29" x14ac:dyDescent="0.3">
      <c r="A278" s="34">
        <v>46274</v>
      </c>
      <c r="B278" s="34">
        <v>46274</v>
      </c>
      <c r="C278" s="5" t="s">
        <v>78</v>
      </c>
      <c r="D278" s="5" t="s">
        <v>79</v>
      </c>
      <c r="E278" s="5" t="s">
        <v>80</v>
      </c>
      <c r="F278" s="5">
        <v>27291</v>
      </c>
      <c r="G278" s="5" t="s">
        <v>929</v>
      </c>
      <c r="H278" s="5" t="s">
        <v>930</v>
      </c>
      <c r="I278" s="5" t="s">
        <v>392</v>
      </c>
      <c r="N278" s="5" t="s">
        <v>931</v>
      </c>
      <c r="O278" s="5">
        <v>268</v>
      </c>
      <c r="P278" s="5">
        <v>287.5</v>
      </c>
      <c r="Q278" s="5">
        <v>268</v>
      </c>
      <c r="R278" s="5">
        <v>280</v>
      </c>
      <c r="S278" s="5">
        <v>280</v>
      </c>
      <c r="T278" s="5">
        <v>279.55</v>
      </c>
      <c r="V278" s="5">
        <v>280</v>
      </c>
      <c r="Y278" s="5">
        <v>28800</v>
      </c>
      <c r="Z278" s="5">
        <v>8024560</v>
      </c>
      <c r="AA278" s="5">
        <v>18</v>
      </c>
      <c r="AB278" s="5" t="s">
        <v>85</v>
      </c>
      <c r="AC278" s="5">
        <v>800</v>
      </c>
    </row>
    <row r="279" spans="1:29" x14ac:dyDescent="0.3">
      <c r="A279" s="34">
        <v>46274</v>
      </c>
      <c r="B279" s="34">
        <v>46274</v>
      </c>
      <c r="C279" s="5" t="s">
        <v>78</v>
      </c>
      <c r="D279" s="5" t="s">
        <v>79</v>
      </c>
      <c r="E279" s="5" t="s">
        <v>80</v>
      </c>
      <c r="F279" s="5">
        <v>21623</v>
      </c>
      <c r="G279" s="5" t="s">
        <v>932</v>
      </c>
      <c r="H279" s="5" t="s">
        <v>933</v>
      </c>
      <c r="I279" s="5" t="s">
        <v>212</v>
      </c>
      <c r="N279" s="5" t="s">
        <v>934</v>
      </c>
      <c r="O279" s="5">
        <v>385.4</v>
      </c>
      <c r="P279" s="5">
        <v>385.95</v>
      </c>
      <c r="Q279" s="5">
        <v>376</v>
      </c>
      <c r="R279" s="5">
        <v>380.55</v>
      </c>
      <c r="S279" s="5">
        <v>379.9</v>
      </c>
      <c r="T279" s="5">
        <v>384.2</v>
      </c>
      <c r="V279" s="5">
        <v>380.52</v>
      </c>
      <c r="Y279" s="5">
        <v>93004</v>
      </c>
      <c r="Z279" s="5">
        <v>35350774.299999997</v>
      </c>
      <c r="AA279" s="5">
        <v>4167</v>
      </c>
      <c r="AB279" s="5" t="s">
        <v>85</v>
      </c>
      <c r="AC279" s="5">
        <v>1</v>
      </c>
    </row>
    <row r="280" spans="1:29" x14ac:dyDescent="0.3">
      <c r="A280" s="34">
        <v>46274</v>
      </c>
      <c r="B280" s="34">
        <v>46274</v>
      </c>
      <c r="C280" s="5" t="s">
        <v>78</v>
      </c>
      <c r="D280" s="5" t="s">
        <v>79</v>
      </c>
      <c r="E280" s="5" t="s">
        <v>80</v>
      </c>
      <c r="F280" s="5">
        <v>25780</v>
      </c>
      <c r="G280" s="5" t="s">
        <v>935</v>
      </c>
      <c r="H280" s="5" t="s">
        <v>936</v>
      </c>
      <c r="I280" s="5" t="s">
        <v>212</v>
      </c>
      <c r="N280" s="5" t="s">
        <v>937</v>
      </c>
      <c r="O280" s="5">
        <v>2182</v>
      </c>
      <c r="P280" s="5">
        <v>2194.9</v>
      </c>
      <c r="Q280" s="5">
        <v>2165</v>
      </c>
      <c r="R280" s="5">
        <v>2168</v>
      </c>
      <c r="S280" s="5">
        <v>2168</v>
      </c>
      <c r="T280" s="5">
        <v>2185</v>
      </c>
      <c r="V280" s="5">
        <v>2168</v>
      </c>
      <c r="Y280" s="5">
        <v>270373</v>
      </c>
      <c r="Z280" s="5">
        <v>589241870.70000005</v>
      </c>
      <c r="AA280" s="5">
        <v>14756</v>
      </c>
      <c r="AB280" s="5" t="s">
        <v>85</v>
      </c>
      <c r="AC280" s="5">
        <v>1</v>
      </c>
    </row>
    <row r="281" spans="1:29" x14ac:dyDescent="0.3">
      <c r="A281" s="34">
        <v>46274</v>
      </c>
      <c r="B281" s="34">
        <v>46274</v>
      </c>
      <c r="C281" s="5" t="s">
        <v>78</v>
      </c>
      <c r="D281" s="5" t="s">
        <v>79</v>
      </c>
      <c r="E281" s="5" t="s">
        <v>80</v>
      </c>
      <c r="F281" s="5">
        <v>757174</v>
      </c>
      <c r="G281" s="5" t="s">
        <v>938</v>
      </c>
      <c r="H281" s="5" t="s">
        <v>939</v>
      </c>
      <c r="I281" s="5" t="s">
        <v>580</v>
      </c>
      <c r="N281" s="5" t="s">
        <v>940</v>
      </c>
      <c r="O281" s="5">
        <v>107642.4</v>
      </c>
      <c r="P281" s="5">
        <v>107642.4</v>
      </c>
      <c r="Q281" s="5">
        <v>107642.4</v>
      </c>
      <c r="R281" s="5">
        <v>107642.4</v>
      </c>
      <c r="S281" s="5">
        <v>107642.4</v>
      </c>
      <c r="T281" s="5">
        <v>106570</v>
      </c>
      <c r="V281" s="5">
        <v>107642.4</v>
      </c>
      <c r="Y281" s="5">
        <v>3</v>
      </c>
      <c r="Z281" s="5">
        <v>322927.2</v>
      </c>
      <c r="AA281" s="5">
        <v>1</v>
      </c>
      <c r="AB281" s="5" t="s">
        <v>85</v>
      </c>
      <c r="AC281" s="5">
        <v>1</v>
      </c>
    </row>
    <row r="282" spans="1:29" x14ac:dyDescent="0.3">
      <c r="A282" s="34">
        <v>46274</v>
      </c>
      <c r="B282" s="34">
        <v>46274</v>
      </c>
      <c r="C282" s="5" t="s">
        <v>78</v>
      </c>
      <c r="D282" s="5" t="s">
        <v>79</v>
      </c>
      <c r="E282" s="5" t="s">
        <v>80</v>
      </c>
      <c r="F282" s="5">
        <v>157</v>
      </c>
      <c r="G282" s="5" t="s">
        <v>941</v>
      </c>
      <c r="H282" s="5" t="s">
        <v>942</v>
      </c>
      <c r="I282" s="5" t="s">
        <v>212</v>
      </c>
      <c r="N282" s="5" t="s">
        <v>943</v>
      </c>
      <c r="O282" s="5">
        <v>8825</v>
      </c>
      <c r="P282" s="5">
        <v>8974.5</v>
      </c>
      <c r="Q282" s="5">
        <v>8803.5</v>
      </c>
      <c r="R282" s="5">
        <v>8967</v>
      </c>
      <c r="S282" s="5">
        <v>8967</v>
      </c>
      <c r="T282" s="5">
        <v>8837.5</v>
      </c>
      <c r="V282" s="5">
        <v>8966.98</v>
      </c>
      <c r="Y282" s="5">
        <v>375525</v>
      </c>
      <c r="Z282" s="5">
        <v>3355862316.5</v>
      </c>
      <c r="AA282" s="5">
        <v>39287</v>
      </c>
      <c r="AB282" s="5" t="s">
        <v>85</v>
      </c>
      <c r="AC282" s="5">
        <v>1</v>
      </c>
    </row>
    <row r="283" spans="1:29" x14ac:dyDescent="0.3">
      <c r="A283" s="34">
        <v>46274</v>
      </c>
      <c r="B283" s="34">
        <v>46274</v>
      </c>
      <c r="C283" s="5" t="s">
        <v>78</v>
      </c>
      <c r="D283" s="5" t="s">
        <v>79</v>
      </c>
      <c r="E283" s="5" t="s">
        <v>80</v>
      </c>
      <c r="F283" s="5">
        <v>1134</v>
      </c>
      <c r="G283" s="5" t="s">
        <v>944</v>
      </c>
      <c r="H283" s="5" t="s">
        <v>945</v>
      </c>
      <c r="I283" s="5" t="s">
        <v>212</v>
      </c>
      <c r="N283" s="5" t="s">
        <v>946</v>
      </c>
      <c r="O283" s="5">
        <v>419.4</v>
      </c>
      <c r="P283" s="5">
        <v>427.95</v>
      </c>
      <c r="Q283" s="5">
        <v>415.1</v>
      </c>
      <c r="R283" s="5">
        <v>422.45</v>
      </c>
      <c r="S283" s="5">
        <v>420.5</v>
      </c>
      <c r="T283" s="5">
        <v>417.9</v>
      </c>
      <c r="V283" s="5">
        <v>422.44</v>
      </c>
      <c r="Y283" s="5">
        <v>10424699</v>
      </c>
      <c r="Z283" s="5">
        <v>4407387529.3999996</v>
      </c>
      <c r="AA283" s="5">
        <v>95986</v>
      </c>
      <c r="AB283" s="5" t="s">
        <v>85</v>
      </c>
      <c r="AC283" s="5">
        <v>1</v>
      </c>
    </row>
    <row r="284" spans="1:29" x14ac:dyDescent="0.3">
      <c r="A284" s="34">
        <v>46274</v>
      </c>
      <c r="B284" s="34">
        <v>46274</v>
      </c>
      <c r="C284" s="5" t="s">
        <v>78</v>
      </c>
      <c r="D284" s="5" t="s">
        <v>79</v>
      </c>
      <c r="E284" s="5" t="s">
        <v>80</v>
      </c>
      <c r="F284" s="5">
        <v>14361</v>
      </c>
      <c r="G284" s="5" t="s">
        <v>947</v>
      </c>
      <c r="H284" s="5" t="s">
        <v>948</v>
      </c>
      <c r="I284" s="5" t="s">
        <v>212</v>
      </c>
      <c r="N284" s="5" t="s">
        <v>949</v>
      </c>
      <c r="O284" s="5">
        <v>592</v>
      </c>
      <c r="P284" s="5">
        <v>593.5</v>
      </c>
      <c r="Q284" s="5">
        <v>574.1</v>
      </c>
      <c r="R284" s="5">
        <v>577.6</v>
      </c>
      <c r="S284" s="5">
        <v>579.85</v>
      </c>
      <c r="T284" s="5">
        <v>591.20000000000005</v>
      </c>
      <c r="V284" s="5">
        <v>577.6</v>
      </c>
      <c r="Y284" s="5">
        <v>132926</v>
      </c>
      <c r="Z284" s="5">
        <v>77478383.799999997</v>
      </c>
      <c r="AA284" s="5">
        <v>5939</v>
      </c>
      <c r="AB284" s="5" t="s">
        <v>85</v>
      </c>
      <c r="AC284" s="5">
        <v>1</v>
      </c>
    </row>
    <row r="285" spans="1:29" x14ac:dyDescent="0.3">
      <c r="A285" s="34">
        <v>46274</v>
      </c>
      <c r="B285" s="34">
        <v>46274</v>
      </c>
      <c r="C285" s="5" t="s">
        <v>78</v>
      </c>
      <c r="D285" s="5" t="s">
        <v>79</v>
      </c>
      <c r="E285" s="5" t="s">
        <v>80</v>
      </c>
      <c r="F285" s="5">
        <v>6302</v>
      </c>
      <c r="G285" s="5" t="s">
        <v>950</v>
      </c>
      <c r="H285" s="5" t="s">
        <v>951</v>
      </c>
      <c r="I285" s="5" t="s">
        <v>212</v>
      </c>
      <c r="N285" s="5" t="s">
        <v>952</v>
      </c>
      <c r="O285" s="5">
        <v>1221.5</v>
      </c>
      <c r="P285" s="5">
        <v>1225</v>
      </c>
      <c r="Q285" s="5">
        <v>1208.5999999999999</v>
      </c>
      <c r="R285" s="5">
        <v>1220.5</v>
      </c>
      <c r="S285" s="5">
        <v>1211</v>
      </c>
      <c r="T285" s="5">
        <v>1209.0999999999999</v>
      </c>
      <c r="V285" s="5">
        <v>1220.5</v>
      </c>
      <c r="Y285" s="5">
        <v>876</v>
      </c>
      <c r="Z285" s="5">
        <v>1067925.7</v>
      </c>
      <c r="AA285" s="5">
        <v>119</v>
      </c>
      <c r="AB285" s="5" t="s">
        <v>85</v>
      </c>
      <c r="AC285" s="5">
        <v>1</v>
      </c>
    </row>
    <row r="286" spans="1:29" x14ac:dyDescent="0.3">
      <c r="A286" s="34">
        <v>46274</v>
      </c>
      <c r="B286" s="34">
        <v>46274</v>
      </c>
      <c r="C286" s="5" t="s">
        <v>78</v>
      </c>
      <c r="D286" s="5" t="s">
        <v>79</v>
      </c>
      <c r="E286" s="5" t="s">
        <v>80</v>
      </c>
      <c r="F286" s="5">
        <v>163</v>
      </c>
      <c r="G286" s="5" t="s">
        <v>953</v>
      </c>
      <c r="H286" s="5" t="s">
        <v>954</v>
      </c>
      <c r="I286" s="5" t="s">
        <v>212</v>
      </c>
      <c r="N286" s="5" t="s">
        <v>955</v>
      </c>
      <c r="O286" s="5">
        <v>410</v>
      </c>
      <c r="P286" s="5">
        <v>424.3</v>
      </c>
      <c r="Q286" s="5">
        <v>408</v>
      </c>
      <c r="R286" s="5">
        <v>422.25</v>
      </c>
      <c r="S286" s="5">
        <v>421</v>
      </c>
      <c r="T286" s="5">
        <v>411.5</v>
      </c>
      <c r="V286" s="5">
        <v>422.23</v>
      </c>
      <c r="Y286" s="5">
        <v>540857</v>
      </c>
      <c r="Z286" s="5">
        <v>226412249.09999999</v>
      </c>
      <c r="AA286" s="5">
        <v>18879</v>
      </c>
      <c r="AB286" s="5" t="s">
        <v>85</v>
      </c>
      <c r="AC286" s="5">
        <v>1</v>
      </c>
    </row>
    <row r="287" spans="1:29" x14ac:dyDescent="0.3">
      <c r="A287" s="34">
        <v>46274</v>
      </c>
      <c r="B287" s="34">
        <v>46274</v>
      </c>
      <c r="C287" s="5" t="s">
        <v>78</v>
      </c>
      <c r="D287" s="5" t="s">
        <v>79</v>
      </c>
      <c r="E287" s="5" t="s">
        <v>80</v>
      </c>
      <c r="F287" s="5">
        <v>764593</v>
      </c>
      <c r="G287" s="5" t="s">
        <v>956</v>
      </c>
      <c r="H287" s="5" t="s">
        <v>957</v>
      </c>
      <c r="I287" s="5" t="s">
        <v>212</v>
      </c>
      <c r="N287" s="5" t="s">
        <v>958</v>
      </c>
      <c r="O287" s="5">
        <v>26.51</v>
      </c>
      <c r="P287" s="5">
        <v>26.51</v>
      </c>
      <c r="Q287" s="5">
        <v>25.3</v>
      </c>
      <c r="R287" s="5">
        <v>25.3</v>
      </c>
      <c r="S287" s="5">
        <v>25.3</v>
      </c>
      <c r="T287" s="5">
        <v>25.3</v>
      </c>
      <c r="V287" s="5">
        <v>25.3</v>
      </c>
      <c r="Y287" s="5">
        <v>104</v>
      </c>
      <c r="Z287" s="5">
        <v>2753.3</v>
      </c>
      <c r="AA287" s="5">
        <v>4</v>
      </c>
      <c r="AB287" s="5" t="s">
        <v>85</v>
      </c>
      <c r="AC287" s="5">
        <v>1</v>
      </c>
    </row>
    <row r="288" spans="1:29" x14ac:dyDescent="0.3">
      <c r="A288" s="34">
        <v>46274</v>
      </c>
      <c r="B288" s="34">
        <v>46274</v>
      </c>
      <c r="C288" s="5" t="s">
        <v>78</v>
      </c>
      <c r="D288" s="5" t="s">
        <v>79</v>
      </c>
      <c r="E288" s="5" t="s">
        <v>80</v>
      </c>
      <c r="F288" s="5">
        <v>24638</v>
      </c>
      <c r="G288" s="5" t="s">
        <v>959</v>
      </c>
      <c r="H288" s="5" t="s">
        <v>960</v>
      </c>
      <c r="I288" s="5" t="s">
        <v>313</v>
      </c>
      <c r="N288" s="5" t="s">
        <v>961</v>
      </c>
      <c r="O288" s="5">
        <v>103.85</v>
      </c>
      <c r="P288" s="5">
        <v>112</v>
      </c>
      <c r="Q288" s="5">
        <v>103</v>
      </c>
      <c r="R288" s="5">
        <v>112</v>
      </c>
      <c r="S288" s="5">
        <v>112</v>
      </c>
      <c r="T288" s="5">
        <v>103.25</v>
      </c>
      <c r="V288" s="5">
        <v>112</v>
      </c>
      <c r="Y288" s="5">
        <v>13500</v>
      </c>
      <c r="Z288" s="5">
        <v>1441075</v>
      </c>
      <c r="AA288" s="5">
        <v>23</v>
      </c>
      <c r="AB288" s="5" t="s">
        <v>85</v>
      </c>
      <c r="AC288" s="5">
        <v>500</v>
      </c>
    </row>
    <row r="289" spans="1:29" x14ac:dyDescent="0.3">
      <c r="A289" s="34">
        <v>46274</v>
      </c>
      <c r="B289" s="34">
        <v>46274</v>
      </c>
      <c r="C289" s="5" t="s">
        <v>78</v>
      </c>
      <c r="D289" s="5" t="s">
        <v>79</v>
      </c>
      <c r="E289" s="5" t="s">
        <v>80</v>
      </c>
      <c r="F289" s="5">
        <v>761435</v>
      </c>
      <c r="G289" s="5" t="s">
        <v>962</v>
      </c>
      <c r="H289" s="5" t="s">
        <v>963</v>
      </c>
      <c r="I289" s="5" t="s">
        <v>392</v>
      </c>
      <c r="N289" s="5" t="s">
        <v>964</v>
      </c>
      <c r="O289" s="5">
        <v>621</v>
      </c>
      <c r="P289" s="5">
        <v>621</v>
      </c>
      <c r="Q289" s="5">
        <v>612.5</v>
      </c>
      <c r="R289" s="5">
        <v>612.5</v>
      </c>
      <c r="S289" s="5">
        <v>612.5</v>
      </c>
      <c r="T289" s="5">
        <v>625</v>
      </c>
      <c r="V289" s="5">
        <v>612.5</v>
      </c>
      <c r="Y289" s="5">
        <v>13200</v>
      </c>
      <c r="Z289" s="5">
        <v>8105400</v>
      </c>
      <c r="AA289" s="5">
        <v>11</v>
      </c>
      <c r="AB289" s="5" t="s">
        <v>85</v>
      </c>
      <c r="AC289" s="5">
        <v>1200</v>
      </c>
    </row>
    <row r="290" spans="1:29" x14ac:dyDescent="0.3">
      <c r="A290" s="34">
        <v>46274</v>
      </c>
      <c r="B290" s="34">
        <v>46274</v>
      </c>
      <c r="C290" s="5" t="s">
        <v>78</v>
      </c>
      <c r="D290" s="5" t="s">
        <v>79</v>
      </c>
      <c r="E290" s="5" t="s">
        <v>80</v>
      </c>
      <c r="F290" s="5">
        <v>14074</v>
      </c>
      <c r="G290" s="5" t="s">
        <v>965</v>
      </c>
      <c r="H290" s="5" t="s">
        <v>966</v>
      </c>
      <c r="I290" s="5" t="s">
        <v>234</v>
      </c>
      <c r="N290" s="5" t="s">
        <v>967</v>
      </c>
      <c r="O290" s="5">
        <v>89.69</v>
      </c>
      <c r="P290" s="5">
        <v>90.4</v>
      </c>
      <c r="Q290" s="5">
        <v>88.21</v>
      </c>
      <c r="R290" s="5">
        <v>89.07</v>
      </c>
      <c r="S290" s="5">
        <v>89.6</v>
      </c>
      <c r="T290" s="5">
        <v>89.69</v>
      </c>
      <c r="V290" s="5">
        <v>89.04</v>
      </c>
      <c r="Y290" s="5">
        <v>50373</v>
      </c>
      <c r="Z290" s="5">
        <v>4477795.1900000004</v>
      </c>
      <c r="AA290" s="5">
        <v>474</v>
      </c>
      <c r="AB290" s="5" t="s">
        <v>85</v>
      </c>
      <c r="AC290" s="5">
        <v>1</v>
      </c>
    </row>
    <row r="291" spans="1:29" x14ac:dyDescent="0.3">
      <c r="A291" s="34">
        <v>46274</v>
      </c>
      <c r="B291" s="34">
        <v>46274</v>
      </c>
      <c r="C291" s="5" t="s">
        <v>78</v>
      </c>
      <c r="D291" s="5" t="s">
        <v>79</v>
      </c>
      <c r="E291" s="5" t="s">
        <v>80</v>
      </c>
      <c r="F291" s="5">
        <v>5435</v>
      </c>
      <c r="G291" s="5" t="s">
        <v>968</v>
      </c>
      <c r="H291" s="5" t="s">
        <v>969</v>
      </c>
      <c r="I291" s="5" t="s">
        <v>212</v>
      </c>
      <c r="N291" s="5" t="s">
        <v>970</v>
      </c>
      <c r="O291" s="5">
        <v>256</v>
      </c>
      <c r="P291" s="5">
        <v>260.04000000000002</v>
      </c>
      <c r="Q291" s="5">
        <v>251.63</v>
      </c>
      <c r="R291" s="5">
        <v>258.27999999999997</v>
      </c>
      <c r="S291" s="5">
        <v>258.75</v>
      </c>
      <c r="T291" s="5">
        <v>256.95999999999998</v>
      </c>
      <c r="V291" s="5">
        <v>258.27999999999997</v>
      </c>
      <c r="Y291" s="5">
        <v>1132562</v>
      </c>
      <c r="Z291" s="5">
        <v>290796181.48000002</v>
      </c>
      <c r="AA291" s="5">
        <v>40206</v>
      </c>
      <c r="AB291" s="5" t="s">
        <v>85</v>
      </c>
      <c r="AC291" s="5">
        <v>1</v>
      </c>
    </row>
    <row r="292" spans="1:29" x14ac:dyDescent="0.3">
      <c r="A292" s="34">
        <v>46274</v>
      </c>
      <c r="B292" s="34">
        <v>46274</v>
      </c>
      <c r="C292" s="5" t="s">
        <v>78</v>
      </c>
      <c r="D292" s="5" t="s">
        <v>79</v>
      </c>
      <c r="E292" s="5" t="s">
        <v>80</v>
      </c>
      <c r="F292" s="5">
        <v>23365</v>
      </c>
      <c r="G292" s="5" t="s">
        <v>971</v>
      </c>
      <c r="H292" s="5" t="s">
        <v>972</v>
      </c>
      <c r="I292" s="5" t="s">
        <v>212</v>
      </c>
      <c r="N292" s="5" t="s">
        <v>973</v>
      </c>
      <c r="O292" s="5">
        <v>22.62</v>
      </c>
      <c r="P292" s="5">
        <v>23.1</v>
      </c>
      <c r="Q292" s="5">
        <v>22.51</v>
      </c>
      <c r="R292" s="5">
        <v>22.61</v>
      </c>
      <c r="S292" s="5">
        <v>22.54</v>
      </c>
      <c r="T292" s="5">
        <v>23.1</v>
      </c>
      <c r="V292" s="5">
        <v>22.6</v>
      </c>
      <c r="Y292" s="5">
        <v>211570</v>
      </c>
      <c r="Z292" s="5">
        <v>4808854.3099999996</v>
      </c>
      <c r="AA292" s="5">
        <v>1069</v>
      </c>
      <c r="AB292" s="5" t="s">
        <v>85</v>
      </c>
      <c r="AC292" s="5">
        <v>1</v>
      </c>
    </row>
    <row r="293" spans="1:29" x14ac:dyDescent="0.3">
      <c r="A293" s="34">
        <v>46274</v>
      </c>
      <c r="B293" s="34">
        <v>46274</v>
      </c>
      <c r="C293" s="5" t="s">
        <v>78</v>
      </c>
      <c r="D293" s="5" t="s">
        <v>79</v>
      </c>
      <c r="E293" s="5" t="s">
        <v>80</v>
      </c>
      <c r="F293" s="5">
        <v>19253</v>
      </c>
      <c r="G293" s="5" t="s">
        <v>974</v>
      </c>
      <c r="H293" s="5" t="s">
        <v>975</v>
      </c>
      <c r="I293" s="5" t="s">
        <v>313</v>
      </c>
      <c r="N293" s="5" t="s">
        <v>976</v>
      </c>
      <c r="O293" s="5">
        <v>88</v>
      </c>
      <c r="P293" s="5">
        <v>88</v>
      </c>
      <c r="Q293" s="5">
        <v>83.8</v>
      </c>
      <c r="R293" s="5">
        <v>84.9</v>
      </c>
      <c r="S293" s="5">
        <v>86</v>
      </c>
      <c r="T293" s="5">
        <v>86.25</v>
      </c>
      <c r="V293" s="5">
        <v>84.9</v>
      </c>
      <c r="Y293" s="5">
        <v>6000</v>
      </c>
      <c r="Z293" s="5">
        <v>515600</v>
      </c>
      <c r="AA293" s="5">
        <v>3</v>
      </c>
      <c r="AB293" s="5" t="s">
        <v>85</v>
      </c>
      <c r="AC293" s="5">
        <v>2000</v>
      </c>
    </row>
    <row r="294" spans="1:29" x14ac:dyDescent="0.3">
      <c r="A294" s="34">
        <v>46274</v>
      </c>
      <c r="B294" s="34">
        <v>46274</v>
      </c>
      <c r="C294" s="5" t="s">
        <v>78</v>
      </c>
      <c r="D294" s="5" t="s">
        <v>79</v>
      </c>
      <c r="E294" s="5" t="s">
        <v>80</v>
      </c>
      <c r="F294" s="5">
        <v>758670</v>
      </c>
      <c r="G294" s="5" t="s">
        <v>977</v>
      </c>
      <c r="H294" s="5" t="s">
        <v>978</v>
      </c>
      <c r="I294" s="5" t="s">
        <v>313</v>
      </c>
      <c r="N294" s="5" t="s">
        <v>979</v>
      </c>
      <c r="O294" s="5">
        <v>36</v>
      </c>
      <c r="P294" s="5">
        <v>36.799999999999997</v>
      </c>
      <c r="Q294" s="5">
        <v>36</v>
      </c>
      <c r="R294" s="5">
        <v>36.1</v>
      </c>
      <c r="S294" s="5">
        <v>36.1</v>
      </c>
      <c r="T294" s="5">
        <v>35.75</v>
      </c>
      <c r="V294" s="5">
        <v>36.1</v>
      </c>
      <c r="Y294" s="5">
        <v>3000</v>
      </c>
      <c r="Z294" s="5">
        <v>108900</v>
      </c>
      <c r="AA294" s="5">
        <v>3</v>
      </c>
      <c r="AB294" s="5" t="s">
        <v>85</v>
      </c>
      <c r="AC294" s="5">
        <v>1000</v>
      </c>
    </row>
    <row r="295" spans="1:29" x14ac:dyDescent="0.3">
      <c r="A295" s="34">
        <v>46274</v>
      </c>
      <c r="B295" s="34">
        <v>46274</v>
      </c>
      <c r="C295" s="5" t="s">
        <v>78</v>
      </c>
      <c r="D295" s="5" t="s">
        <v>79</v>
      </c>
      <c r="E295" s="5" t="s">
        <v>80</v>
      </c>
      <c r="F295" s="5">
        <v>12024</v>
      </c>
      <c r="G295" s="5" t="s">
        <v>980</v>
      </c>
      <c r="H295" s="5" t="s">
        <v>981</v>
      </c>
      <c r="I295" s="5" t="s">
        <v>212</v>
      </c>
      <c r="N295" s="5" t="s">
        <v>982</v>
      </c>
      <c r="O295" s="5">
        <v>485.9</v>
      </c>
      <c r="P295" s="5">
        <v>486.65</v>
      </c>
      <c r="Q295" s="5">
        <v>477</v>
      </c>
      <c r="R295" s="5">
        <v>481.25</v>
      </c>
      <c r="S295" s="5">
        <v>482.9</v>
      </c>
      <c r="T295" s="5">
        <v>484.7</v>
      </c>
      <c r="V295" s="5">
        <v>481.26</v>
      </c>
      <c r="Y295" s="5">
        <v>289839</v>
      </c>
      <c r="Z295" s="5">
        <v>140054975.65000001</v>
      </c>
      <c r="AA295" s="5">
        <v>12532</v>
      </c>
      <c r="AB295" s="5" t="s">
        <v>85</v>
      </c>
      <c r="AC295" s="5">
        <v>1</v>
      </c>
    </row>
    <row r="296" spans="1:29" x14ac:dyDescent="0.3">
      <c r="A296" s="34">
        <v>46274</v>
      </c>
      <c r="B296" s="34">
        <v>46274</v>
      </c>
      <c r="C296" s="5" t="s">
        <v>78</v>
      </c>
      <c r="D296" s="5" t="s">
        <v>79</v>
      </c>
      <c r="E296" s="5" t="s">
        <v>80</v>
      </c>
      <c r="F296" s="5">
        <v>245</v>
      </c>
      <c r="G296" s="5" t="s">
        <v>983</v>
      </c>
      <c r="H296" s="5" t="s">
        <v>984</v>
      </c>
      <c r="I296" s="5" t="s">
        <v>212</v>
      </c>
      <c r="N296" s="5" t="s">
        <v>985</v>
      </c>
      <c r="O296" s="5">
        <v>74</v>
      </c>
      <c r="P296" s="5">
        <v>74</v>
      </c>
      <c r="Q296" s="5">
        <v>71.209999999999994</v>
      </c>
      <c r="R296" s="5">
        <v>71.84</v>
      </c>
      <c r="S296" s="5">
        <v>71.8</v>
      </c>
      <c r="T296" s="5">
        <v>74.69</v>
      </c>
      <c r="V296" s="5">
        <v>71.95</v>
      </c>
      <c r="Y296" s="5">
        <v>1535</v>
      </c>
      <c r="Z296" s="5">
        <v>111105.15</v>
      </c>
      <c r="AA296" s="5">
        <v>38</v>
      </c>
      <c r="AB296" s="5" t="s">
        <v>85</v>
      </c>
      <c r="AC296" s="5">
        <v>1</v>
      </c>
    </row>
    <row r="297" spans="1:29" x14ac:dyDescent="0.3">
      <c r="A297" s="34">
        <v>46274</v>
      </c>
      <c r="B297" s="34">
        <v>46274</v>
      </c>
      <c r="C297" s="5" t="s">
        <v>78</v>
      </c>
      <c r="D297" s="5" t="s">
        <v>79</v>
      </c>
      <c r="E297" s="5" t="s">
        <v>80</v>
      </c>
      <c r="F297" s="5">
        <v>16795</v>
      </c>
      <c r="G297" s="5" t="s">
        <v>986</v>
      </c>
      <c r="H297" s="5" t="s">
        <v>987</v>
      </c>
      <c r="I297" s="5" t="s">
        <v>212</v>
      </c>
      <c r="N297" s="5" t="s">
        <v>988</v>
      </c>
      <c r="O297" s="5">
        <v>104.35</v>
      </c>
      <c r="P297" s="5">
        <v>104.43</v>
      </c>
      <c r="Q297" s="5">
        <v>102.01</v>
      </c>
      <c r="R297" s="5">
        <v>102.54</v>
      </c>
      <c r="S297" s="5">
        <v>102.01</v>
      </c>
      <c r="T297" s="5">
        <v>103.77</v>
      </c>
      <c r="V297" s="5">
        <v>102.54</v>
      </c>
      <c r="Y297" s="5">
        <v>4792</v>
      </c>
      <c r="Z297" s="5">
        <v>492645.95</v>
      </c>
      <c r="AA297" s="5">
        <v>165</v>
      </c>
      <c r="AB297" s="5" t="s">
        <v>85</v>
      </c>
      <c r="AC297" s="5">
        <v>1</v>
      </c>
    </row>
    <row r="298" spans="1:29" x14ac:dyDescent="0.3">
      <c r="A298" s="34">
        <v>46274</v>
      </c>
      <c r="B298" s="34">
        <v>46274</v>
      </c>
      <c r="C298" s="5" t="s">
        <v>78</v>
      </c>
      <c r="D298" s="5" t="s">
        <v>79</v>
      </c>
      <c r="E298" s="5" t="s">
        <v>80</v>
      </c>
      <c r="F298" s="5">
        <v>5688</v>
      </c>
      <c r="G298" s="5" t="s">
        <v>989</v>
      </c>
      <c r="H298" s="5" t="s">
        <v>990</v>
      </c>
      <c r="I298" s="5" t="s">
        <v>212</v>
      </c>
      <c r="N298" s="5" t="s">
        <v>991</v>
      </c>
      <c r="O298" s="5">
        <v>13</v>
      </c>
      <c r="P298" s="5">
        <v>13.9</v>
      </c>
      <c r="Q298" s="5">
        <v>12.26</v>
      </c>
      <c r="R298" s="5">
        <v>13.03</v>
      </c>
      <c r="S298" s="5">
        <v>13</v>
      </c>
      <c r="T298" s="5">
        <v>13.14</v>
      </c>
      <c r="V298" s="5">
        <v>13.01</v>
      </c>
      <c r="Y298" s="5">
        <v>56369</v>
      </c>
      <c r="Z298" s="5">
        <v>718971.86</v>
      </c>
      <c r="AA298" s="5">
        <v>333</v>
      </c>
      <c r="AB298" s="5" t="s">
        <v>85</v>
      </c>
      <c r="AC298" s="5">
        <v>1</v>
      </c>
    </row>
    <row r="299" spans="1:29" x14ac:dyDescent="0.3">
      <c r="A299" s="34">
        <v>46274</v>
      </c>
      <c r="B299" s="34">
        <v>46274</v>
      </c>
      <c r="C299" s="5" t="s">
        <v>78</v>
      </c>
      <c r="D299" s="5" t="s">
        <v>79</v>
      </c>
      <c r="E299" s="5" t="s">
        <v>80</v>
      </c>
      <c r="F299" s="5">
        <v>764598</v>
      </c>
      <c r="G299" s="5" t="s">
        <v>992</v>
      </c>
      <c r="H299" s="5" t="s">
        <v>993</v>
      </c>
      <c r="I299" s="5" t="s">
        <v>212</v>
      </c>
      <c r="N299" s="5" t="s">
        <v>994</v>
      </c>
      <c r="O299" s="5">
        <v>231.9</v>
      </c>
      <c r="P299" s="5">
        <v>234.9</v>
      </c>
      <c r="Q299" s="5">
        <v>223</v>
      </c>
      <c r="R299" s="5">
        <v>226.83</v>
      </c>
      <c r="S299" s="5">
        <v>230</v>
      </c>
      <c r="T299" s="5">
        <v>224.92</v>
      </c>
      <c r="V299" s="5">
        <v>227.05</v>
      </c>
      <c r="Y299" s="5">
        <v>358</v>
      </c>
      <c r="Z299" s="5">
        <v>81359.45</v>
      </c>
      <c r="AA299" s="5">
        <v>44</v>
      </c>
      <c r="AB299" s="5" t="s">
        <v>85</v>
      </c>
      <c r="AC299" s="5">
        <v>1</v>
      </c>
    </row>
    <row r="300" spans="1:29" x14ac:dyDescent="0.3">
      <c r="A300" s="34">
        <v>46274</v>
      </c>
      <c r="B300" s="34">
        <v>46274</v>
      </c>
      <c r="C300" s="5" t="s">
        <v>78</v>
      </c>
      <c r="D300" s="5" t="s">
        <v>79</v>
      </c>
      <c r="E300" s="5" t="s">
        <v>80</v>
      </c>
      <c r="F300" s="5">
        <v>764480</v>
      </c>
      <c r="G300" s="5" t="s">
        <v>995</v>
      </c>
      <c r="H300" s="5" t="s">
        <v>996</v>
      </c>
      <c r="I300" s="5" t="s">
        <v>212</v>
      </c>
      <c r="N300" s="5" t="s">
        <v>997</v>
      </c>
      <c r="O300" s="5">
        <v>54.63</v>
      </c>
      <c r="P300" s="5">
        <v>55</v>
      </c>
      <c r="Q300" s="5">
        <v>52.65</v>
      </c>
      <c r="R300" s="5">
        <v>53.27</v>
      </c>
      <c r="S300" s="5">
        <v>53.15</v>
      </c>
      <c r="T300" s="5">
        <v>54.74</v>
      </c>
      <c r="V300" s="5">
        <v>53.28</v>
      </c>
      <c r="Y300" s="5">
        <v>3960688</v>
      </c>
      <c r="Z300" s="5">
        <v>211883807.59999999</v>
      </c>
      <c r="AA300" s="5">
        <v>16996</v>
      </c>
      <c r="AB300" s="5" t="s">
        <v>85</v>
      </c>
      <c r="AC300" s="5">
        <v>1</v>
      </c>
    </row>
    <row r="301" spans="1:29" x14ac:dyDescent="0.3">
      <c r="A301" s="34">
        <v>46274</v>
      </c>
      <c r="B301" s="34">
        <v>46274</v>
      </c>
      <c r="C301" s="5" t="s">
        <v>78</v>
      </c>
      <c r="D301" s="5" t="s">
        <v>79</v>
      </c>
      <c r="E301" s="5" t="s">
        <v>80</v>
      </c>
      <c r="F301" s="5">
        <v>758700</v>
      </c>
      <c r="G301" s="5" t="s">
        <v>998</v>
      </c>
      <c r="H301" s="5" t="s">
        <v>999</v>
      </c>
      <c r="I301" s="5" t="s">
        <v>212</v>
      </c>
      <c r="N301" s="5" t="s">
        <v>1000</v>
      </c>
      <c r="O301" s="5">
        <v>92.95</v>
      </c>
      <c r="P301" s="5">
        <v>92.99</v>
      </c>
      <c r="Q301" s="5">
        <v>88.47</v>
      </c>
      <c r="R301" s="5">
        <v>88.77</v>
      </c>
      <c r="S301" s="5">
        <v>89.6</v>
      </c>
      <c r="T301" s="5">
        <v>91.36</v>
      </c>
      <c r="V301" s="5">
        <v>88.78</v>
      </c>
      <c r="Y301" s="5">
        <v>684659</v>
      </c>
      <c r="Z301" s="5">
        <v>61987140.649999999</v>
      </c>
      <c r="AA301" s="5">
        <v>5756</v>
      </c>
      <c r="AB301" s="5" t="s">
        <v>85</v>
      </c>
      <c r="AC301" s="5">
        <v>1</v>
      </c>
    </row>
    <row r="302" spans="1:29" x14ac:dyDescent="0.3">
      <c r="A302" s="34">
        <v>46274</v>
      </c>
      <c r="B302" s="34">
        <v>46274</v>
      </c>
      <c r="C302" s="5" t="s">
        <v>78</v>
      </c>
      <c r="D302" s="5" t="s">
        <v>79</v>
      </c>
      <c r="E302" s="5" t="s">
        <v>80</v>
      </c>
      <c r="F302" s="5">
        <v>13092</v>
      </c>
      <c r="G302" s="5" t="s">
        <v>1001</v>
      </c>
      <c r="H302" s="5" t="s">
        <v>1002</v>
      </c>
      <c r="I302" s="5" t="s">
        <v>313</v>
      </c>
      <c r="N302" s="5" t="s">
        <v>1003</v>
      </c>
      <c r="O302" s="5">
        <v>209.35</v>
      </c>
      <c r="P302" s="5">
        <v>213</v>
      </c>
      <c r="Q302" s="5">
        <v>207.8</v>
      </c>
      <c r="R302" s="5">
        <v>209.65</v>
      </c>
      <c r="S302" s="5">
        <v>209.4</v>
      </c>
      <c r="T302" s="5">
        <v>213.4</v>
      </c>
      <c r="V302" s="5">
        <v>209.65</v>
      </c>
      <c r="Y302" s="5">
        <v>32000</v>
      </c>
      <c r="Z302" s="5">
        <v>6767200</v>
      </c>
      <c r="AA302" s="5">
        <v>30</v>
      </c>
      <c r="AB302" s="5" t="s">
        <v>85</v>
      </c>
      <c r="AC302" s="5">
        <v>1000</v>
      </c>
    </row>
    <row r="303" spans="1:29" x14ac:dyDescent="0.3">
      <c r="A303" s="34">
        <v>46274</v>
      </c>
      <c r="B303" s="34">
        <v>46274</v>
      </c>
      <c r="C303" s="5" t="s">
        <v>78</v>
      </c>
      <c r="D303" s="5" t="s">
        <v>79</v>
      </c>
      <c r="E303" s="5" t="s">
        <v>80</v>
      </c>
      <c r="F303" s="5">
        <v>15208</v>
      </c>
      <c r="G303" s="5" t="s">
        <v>1004</v>
      </c>
      <c r="H303" s="5" t="s">
        <v>1005</v>
      </c>
      <c r="I303" s="5" t="s">
        <v>234</v>
      </c>
      <c r="N303" s="5" t="s">
        <v>1006</v>
      </c>
      <c r="O303" s="5">
        <v>482</v>
      </c>
      <c r="P303" s="5">
        <v>493.25</v>
      </c>
      <c r="Q303" s="5">
        <v>470</v>
      </c>
      <c r="R303" s="5">
        <v>486.15</v>
      </c>
      <c r="S303" s="5">
        <v>485</v>
      </c>
      <c r="T303" s="5">
        <v>483.15</v>
      </c>
      <c r="V303" s="5">
        <v>486.15</v>
      </c>
      <c r="Y303" s="5">
        <v>32661</v>
      </c>
      <c r="Z303" s="5">
        <v>15800395.199999999</v>
      </c>
      <c r="AA303" s="5">
        <v>418</v>
      </c>
      <c r="AB303" s="5" t="s">
        <v>85</v>
      </c>
      <c r="AC303" s="5">
        <v>1</v>
      </c>
    </row>
    <row r="304" spans="1:29" x14ac:dyDescent="0.3">
      <c r="A304" s="34">
        <v>46274</v>
      </c>
      <c r="B304" s="34">
        <v>46274</v>
      </c>
      <c r="C304" s="5" t="s">
        <v>78</v>
      </c>
      <c r="D304" s="5" t="s">
        <v>79</v>
      </c>
      <c r="E304" s="5" t="s">
        <v>80</v>
      </c>
      <c r="F304" s="5">
        <v>3813</v>
      </c>
      <c r="G304" s="5" t="s">
        <v>1007</v>
      </c>
      <c r="H304" s="5" t="s">
        <v>1008</v>
      </c>
      <c r="I304" s="5" t="s">
        <v>212</v>
      </c>
      <c r="N304" s="5" t="s">
        <v>1009</v>
      </c>
      <c r="O304" s="5">
        <v>78.010000000000005</v>
      </c>
      <c r="P304" s="5">
        <v>78.39</v>
      </c>
      <c r="Q304" s="5">
        <v>76.5</v>
      </c>
      <c r="R304" s="5">
        <v>77.06</v>
      </c>
      <c r="S304" s="5">
        <v>76.72</v>
      </c>
      <c r="T304" s="5">
        <v>78.540000000000006</v>
      </c>
      <c r="V304" s="5">
        <v>77.06</v>
      </c>
      <c r="Y304" s="5">
        <v>98959</v>
      </c>
      <c r="Z304" s="5">
        <v>7681030.7699999996</v>
      </c>
      <c r="AA304" s="5">
        <v>929</v>
      </c>
      <c r="AB304" s="5" t="s">
        <v>85</v>
      </c>
      <c r="AC304" s="5">
        <v>1</v>
      </c>
    </row>
    <row r="305" spans="1:29" x14ac:dyDescent="0.3">
      <c r="A305" s="34">
        <v>46274</v>
      </c>
      <c r="B305" s="34">
        <v>46274</v>
      </c>
      <c r="C305" s="5" t="s">
        <v>78</v>
      </c>
      <c r="D305" s="5" t="s">
        <v>79</v>
      </c>
      <c r="E305" s="5" t="s">
        <v>80</v>
      </c>
      <c r="F305" s="5">
        <v>13885</v>
      </c>
      <c r="G305" s="5" t="s">
        <v>1010</v>
      </c>
      <c r="H305" s="5" t="s">
        <v>1011</v>
      </c>
      <c r="I305" s="5" t="s">
        <v>212</v>
      </c>
      <c r="N305" s="5" t="s">
        <v>1012</v>
      </c>
      <c r="O305" s="5">
        <v>917.8</v>
      </c>
      <c r="P305" s="5">
        <v>918</v>
      </c>
      <c r="Q305" s="5">
        <v>860.1</v>
      </c>
      <c r="R305" s="5">
        <v>887.5</v>
      </c>
      <c r="S305" s="5">
        <v>880</v>
      </c>
      <c r="T305" s="5">
        <v>919.55</v>
      </c>
      <c r="V305" s="5">
        <v>888.33</v>
      </c>
      <c r="Y305" s="5">
        <v>1558</v>
      </c>
      <c r="Z305" s="5">
        <v>1380832.1</v>
      </c>
      <c r="AA305" s="5">
        <v>340</v>
      </c>
      <c r="AB305" s="5" t="s">
        <v>85</v>
      </c>
      <c r="AC305" s="5">
        <v>1</v>
      </c>
    </row>
    <row r="306" spans="1:29" x14ac:dyDescent="0.3">
      <c r="A306" s="34">
        <v>46274</v>
      </c>
      <c r="B306" s="34">
        <v>46274</v>
      </c>
      <c r="C306" s="5" t="s">
        <v>78</v>
      </c>
      <c r="D306" s="5" t="s">
        <v>79</v>
      </c>
      <c r="E306" s="5" t="s">
        <v>80</v>
      </c>
      <c r="F306" s="5">
        <v>20159</v>
      </c>
      <c r="G306" s="5" t="s">
        <v>1013</v>
      </c>
      <c r="H306" s="5" t="s">
        <v>1014</v>
      </c>
      <c r="I306" s="5" t="s">
        <v>212</v>
      </c>
      <c r="N306" s="5" t="s">
        <v>1015</v>
      </c>
      <c r="O306" s="5">
        <v>231.45</v>
      </c>
      <c r="P306" s="5">
        <v>231.45</v>
      </c>
      <c r="Q306" s="5">
        <v>217</v>
      </c>
      <c r="R306" s="5">
        <v>221.8</v>
      </c>
      <c r="S306" s="5">
        <v>219.95</v>
      </c>
      <c r="T306" s="5">
        <v>232.6</v>
      </c>
      <c r="V306" s="5">
        <v>221.8</v>
      </c>
      <c r="Y306" s="5">
        <v>31761</v>
      </c>
      <c r="Z306" s="5">
        <v>7096973.5499999998</v>
      </c>
      <c r="AA306" s="5">
        <v>564</v>
      </c>
      <c r="AB306" s="5" t="s">
        <v>85</v>
      </c>
      <c r="AC306" s="5">
        <v>1</v>
      </c>
    </row>
    <row r="307" spans="1:29" x14ac:dyDescent="0.3">
      <c r="A307" s="34">
        <v>46274</v>
      </c>
      <c r="B307" s="34">
        <v>46274</v>
      </c>
      <c r="C307" s="5" t="s">
        <v>78</v>
      </c>
      <c r="D307" s="5" t="s">
        <v>79</v>
      </c>
      <c r="E307" s="5" t="s">
        <v>80</v>
      </c>
      <c r="F307" s="5">
        <v>757614</v>
      </c>
      <c r="G307" s="5" t="s">
        <v>1016</v>
      </c>
      <c r="H307" s="5" t="s">
        <v>1017</v>
      </c>
      <c r="I307" s="5" t="s">
        <v>212</v>
      </c>
      <c r="N307" s="5" t="s">
        <v>1018</v>
      </c>
      <c r="O307" s="5">
        <v>127.26</v>
      </c>
      <c r="P307" s="5">
        <v>129.80000000000001</v>
      </c>
      <c r="Q307" s="5">
        <v>126.4</v>
      </c>
      <c r="R307" s="5">
        <v>127.85</v>
      </c>
      <c r="S307" s="5">
        <v>127.9</v>
      </c>
      <c r="T307" s="5">
        <v>127.22</v>
      </c>
      <c r="V307" s="5">
        <v>127.81</v>
      </c>
      <c r="Y307" s="5">
        <v>672875</v>
      </c>
      <c r="Z307" s="5">
        <v>86079134.359999999</v>
      </c>
      <c r="AA307" s="5">
        <v>7094</v>
      </c>
      <c r="AB307" s="5" t="s">
        <v>85</v>
      </c>
      <c r="AC307" s="5">
        <v>1</v>
      </c>
    </row>
    <row r="308" spans="1:29" x14ac:dyDescent="0.3">
      <c r="A308" s="34">
        <v>46274</v>
      </c>
      <c r="B308" s="34">
        <v>46274</v>
      </c>
      <c r="C308" s="5" t="s">
        <v>78</v>
      </c>
      <c r="D308" s="5" t="s">
        <v>79</v>
      </c>
      <c r="E308" s="5" t="s">
        <v>80</v>
      </c>
      <c r="F308" s="5">
        <v>25398</v>
      </c>
      <c r="G308" s="5" t="s">
        <v>1019</v>
      </c>
      <c r="H308" s="5" t="s">
        <v>1020</v>
      </c>
      <c r="I308" s="5" t="s">
        <v>212</v>
      </c>
      <c r="N308" s="5" t="s">
        <v>1021</v>
      </c>
      <c r="O308" s="5">
        <v>123.9</v>
      </c>
      <c r="P308" s="5">
        <v>126.85</v>
      </c>
      <c r="Q308" s="5">
        <v>122.36</v>
      </c>
      <c r="R308" s="5">
        <v>122.95</v>
      </c>
      <c r="S308" s="5">
        <v>122.45</v>
      </c>
      <c r="T308" s="5">
        <v>123.09</v>
      </c>
      <c r="V308" s="5">
        <v>122.94</v>
      </c>
      <c r="Y308" s="5">
        <v>244733</v>
      </c>
      <c r="Z308" s="5">
        <v>30456826.469999999</v>
      </c>
      <c r="AA308" s="5">
        <v>2330</v>
      </c>
      <c r="AB308" s="5" t="s">
        <v>85</v>
      </c>
      <c r="AC308" s="5">
        <v>1</v>
      </c>
    </row>
    <row r="309" spans="1:29" x14ac:dyDescent="0.3">
      <c r="A309" s="34">
        <v>46274</v>
      </c>
      <c r="B309" s="34">
        <v>46274</v>
      </c>
      <c r="C309" s="5" t="s">
        <v>78</v>
      </c>
      <c r="D309" s="5" t="s">
        <v>79</v>
      </c>
      <c r="E309" s="5" t="s">
        <v>80</v>
      </c>
      <c r="F309" s="5">
        <v>17263</v>
      </c>
      <c r="G309" s="5" t="s">
        <v>1022</v>
      </c>
      <c r="H309" s="5" t="s">
        <v>1023</v>
      </c>
      <c r="I309" s="5" t="s">
        <v>212</v>
      </c>
      <c r="N309" s="5" t="s">
        <v>1024</v>
      </c>
      <c r="O309" s="5">
        <v>2034</v>
      </c>
      <c r="P309" s="5">
        <v>2075</v>
      </c>
      <c r="Q309" s="5">
        <v>2000</v>
      </c>
      <c r="R309" s="5">
        <v>2037.1</v>
      </c>
      <c r="S309" s="5">
        <v>2060</v>
      </c>
      <c r="T309" s="5">
        <v>2037.5</v>
      </c>
      <c r="V309" s="5">
        <v>2036.97</v>
      </c>
      <c r="Y309" s="5">
        <v>27412</v>
      </c>
      <c r="Z309" s="5">
        <v>55914646.700000003</v>
      </c>
      <c r="AA309" s="5">
        <v>4462</v>
      </c>
      <c r="AB309" s="5" t="s">
        <v>85</v>
      </c>
      <c r="AC309" s="5">
        <v>1</v>
      </c>
    </row>
    <row r="310" spans="1:29" x14ac:dyDescent="0.3">
      <c r="A310" s="34">
        <v>46274</v>
      </c>
      <c r="B310" s="34">
        <v>46274</v>
      </c>
      <c r="C310" s="5" t="s">
        <v>78</v>
      </c>
      <c r="D310" s="5" t="s">
        <v>79</v>
      </c>
      <c r="E310" s="5" t="s">
        <v>80</v>
      </c>
      <c r="F310" s="5">
        <v>760752</v>
      </c>
      <c r="G310" s="5" t="s">
        <v>1025</v>
      </c>
      <c r="H310" s="5" t="s">
        <v>1026</v>
      </c>
      <c r="I310" s="5" t="s">
        <v>392</v>
      </c>
      <c r="N310" s="5" t="s">
        <v>1027</v>
      </c>
      <c r="O310" s="5">
        <v>18.149999999999999</v>
      </c>
      <c r="P310" s="5">
        <v>18.149999999999999</v>
      </c>
      <c r="Q310" s="5">
        <v>18.149999999999999</v>
      </c>
      <c r="R310" s="5">
        <v>18.149999999999999</v>
      </c>
      <c r="S310" s="5">
        <v>18.149999999999999</v>
      </c>
      <c r="T310" s="5">
        <v>17.3</v>
      </c>
      <c r="V310" s="5">
        <v>18.149999999999999</v>
      </c>
      <c r="Y310" s="5">
        <v>2000</v>
      </c>
      <c r="Z310" s="5">
        <v>36300</v>
      </c>
      <c r="AA310" s="5">
        <v>1</v>
      </c>
      <c r="AB310" s="5" t="s">
        <v>85</v>
      </c>
      <c r="AC310" s="5">
        <v>2000</v>
      </c>
    </row>
    <row r="311" spans="1:29" x14ac:dyDescent="0.3">
      <c r="A311" s="34">
        <v>46274</v>
      </c>
      <c r="B311" s="34">
        <v>46274</v>
      </c>
      <c r="C311" s="5" t="s">
        <v>78</v>
      </c>
      <c r="D311" s="5" t="s">
        <v>79</v>
      </c>
      <c r="E311" s="5" t="s">
        <v>80</v>
      </c>
      <c r="F311" s="5">
        <v>14557</v>
      </c>
      <c r="G311" s="5" t="s">
        <v>1028</v>
      </c>
      <c r="H311" s="5" t="s">
        <v>1029</v>
      </c>
      <c r="I311" s="5" t="s">
        <v>212</v>
      </c>
      <c r="N311" s="5" t="s">
        <v>1030</v>
      </c>
      <c r="O311" s="5">
        <v>24.69</v>
      </c>
      <c r="P311" s="5">
        <v>24.69</v>
      </c>
      <c r="Q311" s="5">
        <v>24</v>
      </c>
      <c r="R311" s="5">
        <v>24.04</v>
      </c>
      <c r="S311" s="5">
        <v>24.05</v>
      </c>
      <c r="T311" s="5">
        <v>24.1</v>
      </c>
      <c r="V311" s="5">
        <v>24.04</v>
      </c>
      <c r="Y311" s="5">
        <v>4086</v>
      </c>
      <c r="Z311" s="5">
        <v>98385.51</v>
      </c>
      <c r="AA311" s="5">
        <v>37</v>
      </c>
      <c r="AB311" s="5" t="s">
        <v>85</v>
      </c>
      <c r="AC311" s="5">
        <v>1</v>
      </c>
    </row>
    <row r="312" spans="1:29" x14ac:dyDescent="0.3">
      <c r="A312" s="34">
        <v>46274</v>
      </c>
      <c r="B312" s="34">
        <v>46274</v>
      </c>
      <c r="C312" s="5" t="s">
        <v>78</v>
      </c>
      <c r="D312" s="5" t="s">
        <v>79</v>
      </c>
      <c r="E312" s="5" t="s">
        <v>80</v>
      </c>
      <c r="F312" s="5">
        <v>9264</v>
      </c>
      <c r="G312" s="5" t="s">
        <v>1031</v>
      </c>
      <c r="H312" s="5" t="s">
        <v>1032</v>
      </c>
      <c r="I312" s="5" t="s">
        <v>234</v>
      </c>
      <c r="N312" s="5" t="s">
        <v>1033</v>
      </c>
      <c r="O312" s="5">
        <v>800.7</v>
      </c>
      <c r="P312" s="5">
        <v>810</v>
      </c>
      <c r="Q312" s="5">
        <v>792.5</v>
      </c>
      <c r="R312" s="5">
        <v>803</v>
      </c>
      <c r="S312" s="5">
        <v>800</v>
      </c>
      <c r="T312" s="5">
        <v>800.7</v>
      </c>
      <c r="V312" s="5">
        <v>802.16</v>
      </c>
      <c r="Y312" s="5">
        <v>9843</v>
      </c>
      <c r="Z312" s="5">
        <v>7914627.7999999998</v>
      </c>
      <c r="AA312" s="5">
        <v>599</v>
      </c>
      <c r="AB312" s="5" t="s">
        <v>85</v>
      </c>
      <c r="AC312" s="5">
        <v>1</v>
      </c>
    </row>
    <row r="313" spans="1:29" x14ac:dyDescent="0.3">
      <c r="A313" s="34">
        <v>46274</v>
      </c>
      <c r="B313" s="34">
        <v>46274</v>
      </c>
      <c r="C313" s="5" t="s">
        <v>78</v>
      </c>
      <c r="D313" s="5" t="s">
        <v>79</v>
      </c>
      <c r="E313" s="5" t="s">
        <v>80</v>
      </c>
      <c r="F313" s="5">
        <v>29015</v>
      </c>
      <c r="G313" s="5" t="s">
        <v>1034</v>
      </c>
      <c r="H313" s="5" t="s">
        <v>1035</v>
      </c>
      <c r="I313" s="5" t="s">
        <v>614</v>
      </c>
      <c r="N313" s="5" t="s">
        <v>1036</v>
      </c>
      <c r="O313" s="5">
        <v>0.75</v>
      </c>
      <c r="P313" s="5">
        <v>0.75</v>
      </c>
      <c r="Q313" s="5">
        <v>0.71</v>
      </c>
      <c r="R313" s="5">
        <v>0.74</v>
      </c>
      <c r="S313" s="5">
        <v>0.75</v>
      </c>
      <c r="T313" s="5">
        <v>0.73</v>
      </c>
      <c r="V313" s="5">
        <v>0.74</v>
      </c>
      <c r="Y313" s="5">
        <v>274161</v>
      </c>
      <c r="Z313" s="5">
        <v>202254.96</v>
      </c>
      <c r="AA313" s="5">
        <v>79</v>
      </c>
      <c r="AB313" s="5" t="s">
        <v>85</v>
      </c>
      <c r="AC313" s="5">
        <v>1</v>
      </c>
    </row>
    <row r="314" spans="1:29" x14ac:dyDescent="0.3">
      <c r="A314" s="34">
        <v>46274</v>
      </c>
      <c r="B314" s="34">
        <v>46274</v>
      </c>
      <c r="C314" s="5" t="s">
        <v>78</v>
      </c>
      <c r="D314" s="5" t="s">
        <v>79</v>
      </c>
      <c r="E314" s="5" t="s">
        <v>80</v>
      </c>
      <c r="F314" s="5">
        <v>6156</v>
      </c>
      <c r="G314" s="5" t="s">
        <v>1037</v>
      </c>
      <c r="H314" s="5" t="s">
        <v>1038</v>
      </c>
      <c r="I314" s="5" t="s">
        <v>212</v>
      </c>
      <c r="N314" s="5" t="s">
        <v>1039</v>
      </c>
      <c r="O314" s="5">
        <v>40.61</v>
      </c>
      <c r="P314" s="5">
        <v>41</v>
      </c>
      <c r="Q314" s="5">
        <v>39.130000000000003</v>
      </c>
      <c r="R314" s="5">
        <v>40.520000000000003</v>
      </c>
      <c r="S314" s="5">
        <v>40.9</v>
      </c>
      <c r="T314" s="5">
        <v>40.409999999999997</v>
      </c>
      <c r="V314" s="5">
        <v>40.520000000000003</v>
      </c>
      <c r="Y314" s="5">
        <v>5519</v>
      </c>
      <c r="Z314" s="5">
        <v>222224.84</v>
      </c>
      <c r="AA314" s="5">
        <v>19</v>
      </c>
      <c r="AB314" s="5" t="s">
        <v>85</v>
      </c>
      <c r="AC314" s="5">
        <v>1</v>
      </c>
    </row>
    <row r="315" spans="1:29" x14ac:dyDescent="0.3">
      <c r="A315" s="34">
        <v>46274</v>
      </c>
      <c r="B315" s="34">
        <v>46274</v>
      </c>
      <c r="C315" s="5" t="s">
        <v>78</v>
      </c>
      <c r="D315" s="5" t="s">
        <v>79</v>
      </c>
      <c r="E315" s="5" t="s">
        <v>80</v>
      </c>
      <c r="F315" s="5">
        <v>761330</v>
      </c>
      <c r="G315" s="5" t="s">
        <v>1040</v>
      </c>
      <c r="H315" s="5" t="s">
        <v>1041</v>
      </c>
      <c r="I315" s="5" t="s">
        <v>212</v>
      </c>
      <c r="N315" s="5" t="s">
        <v>1042</v>
      </c>
      <c r="O315" s="5">
        <v>18.5</v>
      </c>
      <c r="P315" s="5">
        <v>18.5</v>
      </c>
      <c r="Q315" s="5">
        <v>16.12</v>
      </c>
      <c r="R315" s="5">
        <v>16.989999999999998</v>
      </c>
      <c r="S315" s="5">
        <v>17.39</v>
      </c>
      <c r="T315" s="5">
        <v>18.11</v>
      </c>
      <c r="V315" s="5">
        <v>16.989999999999998</v>
      </c>
      <c r="Y315" s="5">
        <v>123003</v>
      </c>
      <c r="Z315" s="5">
        <v>2118568.98</v>
      </c>
      <c r="AA315" s="5">
        <v>449</v>
      </c>
      <c r="AB315" s="5" t="s">
        <v>85</v>
      </c>
      <c r="AC315" s="5">
        <v>1</v>
      </c>
    </row>
    <row r="316" spans="1:29" x14ac:dyDescent="0.3">
      <c r="A316" s="34">
        <v>46274</v>
      </c>
      <c r="B316" s="34">
        <v>46274</v>
      </c>
      <c r="C316" s="5" t="s">
        <v>78</v>
      </c>
      <c r="D316" s="5" t="s">
        <v>79</v>
      </c>
      <c r="E316" s="5" t="s">
        <v>80</v>
      </c>
      <c r="F316" s="5">
        <v>16913</v>
      </c>
      <c r="G316" s="5" t="s">
        <v>1043</v>
      </c>
      <c r="H316" s="5" t="s">
        <v>1044</v>
      </c>
      <c r="I316" s="5" t="s">
        <v>212</v>
      </c>
      <c r="N316" s="5" t="s">
        <v>1045</v>
      </c>
      <c r="O316" s="5">
        <v>340.95</v>
      </c>
      <c r="P316" s="5">
        <v>355.9</v>
      </c>
      <c r="Q316" s="5">
        <v>336.4</v>
      </c>
      <c r="R316" s="5">
        <v>354.3</v>
      </c>
      <c r="S316" s="5">
        <v>352.2</v>
      </c>
      <c r="T316" s="5">
        <v>342.05</v>
      </c>
      <c r="V316" s="5">
        <v>354.31</v>
      </c>
      <c r="Y316" s="5">
        <v>813189</v>
      </c>
      <c r="Z316" s="5">
        <v>284528785.75</v>
      </c>
      <c r="AA316" s="5">
        <v>21200</v>
      </c>
      <c r="AB316" s="5" t="s">
        <v>85</v>
      </c>
      <c r="AC316" s="5">
        <v>1</v>
      </c>
    </row>
    <row r="317" spans="1:29" x14ac:dyDescent="0.3">
      <c r="A317" s="34">
        <v>46274</v>
      </c>
      <c r="B317" s="34">
        <v>46274</v>
      </c>
      <c r="C317" s="5" t="s">
        <v>78</v>
      </c>
      <c r="D317" s="5" t="s">
        <v>79</v>
      </c>
      <c r="E317" s="5" t="s">
        <v>80</v>
      </c>
      <c r="F317" s="5">
        <v>756896</v>
      </c>
      <c r="G317" s="5" t="s">
        <v>1046</v>
      </c>
      <c r="H317" s="5" t="s">
        <v>1047</v>
      </c>
      <c r="I317" s="5" t="s">
        <v>313</v>
      </c>
      <c r="N317" s="5" t="s">
        <v>1048</v>
      </c>
      <c r="O317" s="5">
        <v>14.8</v>
      </c>
      <c r="P317" s="5">
        <v>14.8</v>
      </c>
      <c r="Q317" s="5">
        <v>14.15</v>
      </c>
      <c r="R317" s="5">
        <v>14.15</v>
      </c>
      <c r="S317" s="5">
        <v>14.15</v>
      </c>
      <c r="T317" s="5">
        <v>14.8</v>
      </c>
      <c r="V317" s="5">
        <v>14.15</v>
      </c>
      <c r="Y317" s="5">
        <v>6000</v>
      </c>
      <c r="Z317" s="5">
        <v>87500</v>
      </c>
      <c r="AA317" s="5">
        <v>3</v>
      </c>
      <c r="AB317" s="5" t="s">
        <v>85</v>
      </c>
      <c r="AC317" s="5">
        <v>2000</v>
      </c>
    </row>
    <row r="318" spans="1:29" x14ac:dyDescent="0.3">
      <c r="A318" s="34">
        <v>46274</v>
      </c>
      <c r="B318" s="34">
        <v>46274</v>
      </c>
      <c r="C318" s="5" t="s">
        <v>78</v>
      </c>
      <c r="D318" s="5" t="s">
        <v>79</v>
      </c>
      <c r="E318" s="5" t="s">
        <v>80</v>
      </c>
      <c r="F318" s="5">
        <v>2814</v>
      </c>
      <c r="G318" s="5" t="s">
        <v>1049</v>
      </c>
      <c r="H318" s="5" t="s">
        <v>1050</v>
      </c>
      <c r="I318" s="5" t="s">
        <v>212</v>
      </c>
      <c r="N318" s="5" t="s">
        <v>1051</v>
      </c>
      <c r="O318" s="5">
        <v>206</v>
      </c>
      <c r="P318" s="5">
        <v>224.99</v>
      </c>
      <c r="Q318" s="5">
        <v>206</v>
      </c>
      <c r="R318" s="5">
        <v>210.29</v>
      </c>
      <c r="S318" s="5">
        <v>212.99</v>
      </c>
      <c r="T318" s="5">
        <v>193.74</v>
      </c>
      <c r="V318" s="5">
        <v>210.29</v>
      </c>
      <c r="Y318" s="5">
        <v>159126</v>
      </c>
      <c r="Z318" s="5">
        <v>34392087.420000002</v>
      </c>
      <c r="AA318" s="5">
        <v>3831</v>
      </c>
      <c r="AB318" s="5" t="s">
        <v>85</v>
      </c>
      <c r="AC318" s="5">
        <v>1</v>
      </c>
    </row>
    <row r="319" spans="1:29" x14ac:dyDescent="0.3">
      <c r="A319" s="34">
        <v>46274</v>
      </c>
      <c r="B319" s="34">
        <v>46274</v>
      </c>
      <c r="C319" s="5" t="s">
        <v>78</v>
      </c>
      <c r="D319" s="5" t="s">
        <v>79</v>
      </c>
      <c r="E319" s="5" t="s">
        <v>80</v>
      </c>
      <c r="F319" s="5">
        <v>9111</v>
      </c>
      <c r="G319" s="5" t="s">
        <v>1052</v>
      </c>
      <c r="H319" s="5" t="s">
        <v>1053</v>
      </c>
      <c r="I319" s="5" t="s">
        <v>212</v>
      </c>
      <c r="N319" s="5" t="s">
        <v>1054</v>
      </c>
      <c r="O319" s="5">
        <v>440.5</v>
      </c>
      <c r="P319" s="5">
        <v>449</v>
      </c>
      <c r="Q319" s="5">
        <v>437.3</v>
      </c>
      <c r="R319" s="5">
        <v>446.05</v>
      </c>
      <c r="S319" s="5">
        <v>449</v>
      </c>
      <c r="T319" s="5">
        <v>440.35</v>
      </c>
      <c r="V319" s="5">
        <v>446.02</v>
      </c>
      <c r="Y319" s="5">
        <v>133171</v>
      </c>
      <c r="Z319" s="5">
        <v>59219283.649999999</v>
      </c>
      <c r="AA319" s="5">
        <v>9027</v>
      </c>
      <c r="AB319" s="5" t="s">
        <v>85</v>
      </c>
      <c r="AC319" s="5">
        <v>1</v>
      </c>
    </row>
    <row r="320" spans="1:29" x14ac:dyDescent="0.3">
      <c r="A320" s="34">
        <v>46274</v>
      </c>
      <c r="B320" s="34">
        <v>46274</v>
      </c>
      <c r="C320" s="5" t="s">
        <v>78</v>
      </c>
      <c r="D320" s="5" t="s">
        <v>79</v>
      </c>
      <c r="E320" s="5" t="s">
        <v>80</v>
      </c>
      <c r="F320" s="5">
        <v>193</v>
      </c>
      <c r="G320" s="5" t="s">
        <v>1055</v>
      </c>
      <c r="H320" s="5" t="s">
        <v>1056</v>
      </c>
      <c r="I320" s="5" t="s">
        <v>212</v>
      </c>
      <c r="N320" s="5" t="s">
        <v>1057</v>
      </c>
      <c r="O320" s="5">
        <v>585</v>
      </c>
      <c r="P320" s="5">
        <v>607.15</v>
      </c>
      <c r="Q320" s="5">
        <v>566.6</v>
      </c>
      <c r="R320" s="5">
        <v>570.79999999999995</v>
      </c>
      <c r="S320" s="5">
        <v>568.95000000000005</v>
      </c>
      <c r="T320" s="5">
        <v>581.35</v>
      </c>
      <c r="V320" s="5">
        <v>570.83000000000004</v>
      </c>
      <c r="Y320" s="5">
        <v>1539846</v>
      </c>
      <c r="Z320" s="5">
        <v>905414747.85000002</v>
      </c>
      <c r="AA320" s="5">
        <v>48533</v>
      </c>
      <c r="AB320" s="5" t="s">
        <v>85</v>
      </c>
      <c r="AC320" s="5">
        <v>1</v>
      </c>
    </row>
    <row r="321" spans="1:29" x14ac:dyDescent="0.3">
      <c r="A321" s="34">
        <v>46274</v>
      </c>
      <c r="B321" s="34">
        <v>46274</v>
      </c>
      <c r="C321" s="5" t="s">
        <v>78</v>
      </c>
      <c r="D321" s="5" t="s">
        <v>79</v>
      </c>
      <c r="E321" s="5" t="s">
        <v>80</v>
      </c>
      <c r="F321" s="5">
        <v>19579</v>
      </c>
      <c r="G321" s="5" t="s">
        <v>1058</v>
      </c>
      <c r="H321" s="5" t="s">
        <v>1059</v>
      </c>
      <c r="I321" s="5" t="s">
        <v>313</v>
      </c>
      <c r="N321" s="5" t="s">
        <v>1060</v>
      </c>
      <c r="O321" s="5">
        <v>32.25</v>
      </c>
      <c r="P321" s="5">
        <v>32.5</v>
      </c>
      <c r="Q321" s="5">
        <v>32.25</v>
      </c>
      <c r="R321" s="5">
        <v>32.5</v>
      </c>
      <c r="S321" s="5">
        <v>32.5</v>
      </c>
      <c r="T321" s="5">
        <v>32.5</v>
      </c>
      <c r="V321" s="5">
        <v>32.5</v>
      </c>
      <c r="Y321" s="5">
        <v>15000</v>
      </c>
      <c r="Z321" s="5">
        <v>485850</v>
      </c>
      <c r="AA321" s="5">
        <v>8</v>
      </c>
      <c r="AB321" s="5" t="s">
        <v>85</v>
      </c>
      <c r="AC321" s="5">
        <v>1500</v>
      </c>
    </row>
    <row r="322" spans="1:29" x14ac:dyDescent="0.3">
      <c r="A322" s="34">
        <v>46274</v>
      </c>
      <c r="B322" s="34">
        <v>46274</v>
      </c>
      <c r="C322" s="5" t="s">
        <v>78</v>
      </c>
      <c r="D322" s="5" t="s">
        <v>79</v>
      </c>
      <c r="E322" s="5" t="s">
        <v>80</v>
      </c>
      <c r="F322" s="5">
        <v>10457</v>
      </c>
      <c r="G322" s="5" t="s">
        <v>1061</v>
      </c>
      <c r="H322" s="5" t="s">
        <v>1062</v>
      </c>
      <c r="I322" s="5" t="s">
        <v>212</v>
      </c>
      <c r="N322" s="5" t="s">
        <v>1063</v>
      </c>
      <c r="O322" s="5">
        <v>626</v>
      </c>
      <c r="P322" s="5">
        <v>628.5</v>
      </c>
      <c r="Q322" s="5">
        <v>603.15</v>
      </c>
      <c r="R322" s="5">
        <v>605.25</v>
      </c>
      <c r="S322" s="5">
        <v>603.15</v>
      </c>
      <c r="T322" s="5">
        <v>629.65</v>
      </c>
      <c r="V322" s="5">
        <v>605.20000000000005</v>
      </c>
      <c r="Y322" s="5">
        <v>69778</v>
      </c>
      <c r="Z322" s="5">
        <v>42645757.399999999</v>
      </c>
      <c r="AA322" s="5">
        <v>2957</v>
      </c>
      <c r="AB322" s="5" t="s">
        <v>85</v>
      </c>
      <c r="AC322" s="5">
        <v>1</v>
      </c>
    </row>
    <row r="323" spans="1:29" x14ac:dyDescent="0.3">
      <c r="A323" s="34">
        <v>46274</v>
      </c>
      <c r="B323" s="34">
        <v>46274</v>
      </c>
      <c r="C323" s="5" t="s">
        <v>78</v>
      </c>
      <c r="D323" s="5" t="s">
        <v>79</v>
      </c>
      <c r="E323" s="5" t="s">
        <v>80</v>
      </c>
      <c r="F323" s="5">
        <v>764603</v>
      </c>
      <c r="G323" s="5" t="s">
        <v>1064</v>
      </c>
      <c r="H323" s="5" t="s">
        <v>1065</v>
      </c>
      <c r="I323" s="5" t="s">
        <v>212</v>
      </c>
      <c r="N323" s="5" t="s">
        <v>1066</v>
      </c>
      <c r="O323" s="5">
        <v>639</v>
      </c>
      <c r="P323" s="5">
        <v>639</v>
      </c>
      <c r="Q323" s="5">
        <v>618</v>
      </c>
      <c r="R323" s="5">
        <v>621.65</v>
      </c>
      <c r="S323" s="5">
        <v>638.4</v>
      </c>
      <c r="T323" s="5">
        <v>639</v>
      </c>
      <c r="V323" s="5">
        <v>612.86</v>
      </c>
      <c r="Y323" s="5">
        <v>459</v>
      </c>
      <c r="Z323" s="5">
        <v>290865.15000000002</v>
      </c>
      <c r="AA323" s="5">
        <v>125</v>
      </c>
      <c r="AB323" s="5" t="s">
        <v>85</v>
      </c>
      <c r="AC323" s="5">
        <v>1</v>
      </c>
    </row>
    <row r="324" spans="1:29" x14ac:dyDescent="0.3">
      <c r="A324" s="34">
        <v>46274</v>
      </c>
      <c r="B324" s="34">
        <v>46274</v>
      </c>
      <c r="C324" s="5" t="s">
        <v>78</v>
      </c>
      <c r="D324" s="5" t="s">
        <v>79</v>
      </c>
      <c r="E324" s="5" t="s">
        <v>80</v>
      </c>
      <c r="F324" s="5">
        <v>5378</v>
      </c>
      <c r="G324" s="5" t="s">
        <v>1067</v>
      </c>
      <c r="H324" s="5" t="s">
        <v>1068</v>
      </c>
      <c r="I324" s="5" t="s">
        <v>212</v>
      </c>
      <c r="N324" s="5" t="s">
        <v>1069</v>
      </c>
      <c r="O324" s="5">
        <v>955.1</v>
      </c>
      <c r="P324" s="5">
        <v>984.7</v>
      </c>
      <c r="Q324" s="5">
        <v>950</v>
      </c>
      <c r="R324" s="5">
        <v>968.75</v>
      </c>
      <c r="S324" s="5">
        <v>966</v>
      </c>
      <c r="T324" s="5">
        <v>955.6</v>
      </c>
      <c r="V324" s="5">
        <v>968.81</v>
      </c>
      <c r="Y324" s="5">
        <v>220637</v>
      </c>
      <c r="Z324" s="5">
        <v>213996685.15000001</v>
      </c>
      <c r="AA324" s="5">
        <v>15119</v>
      </c>
      <c r="AB324" s="5" t="s">
        <v>85</v>
      </c>
      <c r="AC324" s="5">
        <v>1</v>
      </c>
    </row>
    <row r="325" spans="1:29" x14ac:dyDescent="0.3">
      <c r="A325" s="34">
        <v>46274</v>
      </c>
      <c r="B325" s="34">
        <v>46274</v>
      </c>
      <c r="C325" s="5" t="s">
        <v>78</v>
      </c>
      <c r="D325" s="5" t="s">
        <v>79</v>
      </c>
      <c r="E325" s="5" t="s">
        <v>80</v>
      </c>
      <c r="F325" s="5">
        <v>25092</v>
      </c>
      <c r="G325" s="5" t="s">
        <v>1070</v>
      </c>
      <c r="H325" s="5" t="s">
        <v>1071</v>
      </c>
      <c r="I325" s="5" t="s">
        <v>234</v>
      </c>
      <c r="N325" s="5" t="s">
        <v>1072</v>
      </c>
      <c r="O325" s="5">
        <v>385.35</v>
      </c>
      <c r="P325" s="5">
        <v>391</v>
      </c>
      <c r="Q325" s="5">
        <v>380</v>
      </c>
      <c r="R325" s="5">
        <v>389.9</v>
      </c>
      <c r="S325" s="5">
        <v>389.95</v>
      </c>
      <c r="T325" s="5">
        <v>385.35</v>
      </c>
      <c r="V325" s="5">
        <v>389.61</v>
      </c>
      <c r="Y325" s="5">
        <v>15423</v>
      </c>
      <c r="Z325" s="5">
        <v>5956250.6500000004</v>
      </c>
      <c r="AA325" s="5">
        <v>253</v>
      </c>
      <c r="AB325" s="5" t="s">
        <v>85</v>
      </c>
      <c r="AC325" s="5">
        <v>1</v>
      </c>
    </row>
    <row r="326" spans="1:29" x14ac:dyDescent="0.3">
      <c r="A326" s="34">
        <v>46274</v>
      </c>
      <c r="B326" s="34">
        <v>46274</v>
      </c>
      <c r="C326" s="5" t="s">
        <v>78</v>
      </c>
      <c r="D326" s="5" t="s">
        <v>79</v>
      </c>
      <c r="E326" s="5" t="s">
        <v>80</v>
      </c>
      <c r="F326" s="5">
        <v>24711</v>
      </c>
      <c r="G326" s="5" t="s">
        <v>1073</v>
      </c>
      <c r="H326" s="5" t="s">
        <v>1074</v>
      </c>
      <c r="I326" s="5" t="s">
        <v>313</v>
      </c>
      <c r="N326" s="5" t="s">
        <v>1075</v>
      </c>
      <c r="O326" s="5">
        <v>60.05</v>
      </c>
      <c r="P326" s="5">
        <v>60.5</v>
      </c>
      <c r="Q326" s="5">
        <v>60.05</v>
      </c>
      <c r="R326" s="5">
        <v>60.5</v>
      </c>
      <c r="S326" s="5">
        <v>60.5</v>
      </c>
      <c r="T326" s="5">
        <v>60.5</v>
      </c>
      <c r="V326" s="5">
        <v>60.5</v>
      </c>
      <c r="Y326" s="5">
        <v>2000</v>
      </c>
      <c r="Z326" s="5">
        <v>120550</v>
      </c>
      <c r="AA326" s="5">
        <v>2</v>
      </c>
      <c r="AB326" s="5" t="s">
        <v>85</v>
      </c>
      <c r="AC326" s="5">
        <v>1000</v>
      </c>
    </row>
    <row r="327" spans="1:29" x14ac:dyDescent="0.3">
      <c r="A327" s="34">
        <v>46274</v>
      </c>
      <c r="B327" s="34">
        <v>46274</v>
      </c>
      <c r="C327" s="5" t="s">
        <v>78</v>
      </c>
      <c r="D327" s="5" t="s">
        <v>79</v>
      </c>
      <c r="E327" s="5" t="s">
        <v>80</v>
      </c>
      <c r="F327" s="5">
        <v>203</v>
      </c>
      <c r="G327" s="5" t="s">
        <v>1076</v>
      </c>
      <c r="H327" s="5" t="s">
        <v>9</v>
      </c>
      <c r="I327" s="5" t="s">
        <v>212</v>
      </c>
      <c r="N327" s="5" t="s">
        <v>1077</v>
      </c>
      <c r="O327" s="5">
        <v>548.6</v>
      </c>
      <c r="P327" s="5">
        <v>574.65</v>
      </c>
      <c r="Q327" s="5">
        <v>542.70000000000005</v>
      </c>
      <c r="R327" s="5">
        <v>550.6</v>
      </c>
      <c r="S327" s="5">
        <v>549.1</v>
      </c>
      <c r="T327" s="5">
        <v>549.35</v>
      </c>
      <c r="V327" s="5">
        <v>550.6</v>
      </c>
      <c r="Y327" s="5">
        <v>747609</v>
      </c>
      <c r="Z327" s="5">
        <v>416683444.85000002</v>
      </c>
      <c r="AA327" s="5">
        <v>28866</v>
      </c>
      <c r="AB327" s="5" t="s">
        <v>85</v>
      </c>
      <c r="AC327" s="5">
        <v>1</v>
      </c>
    </row>
    <row r="328" spans="1:29" x14ac:dyDescent="0.3">
      <c r="A328" s="34">
        <v>46274</v>
      </c>
      <c r="B328" s="34">
        <v>46274</v>
      </c>
      <c r="C328" s="5" t="s">
        <v>78</v>
      </c>
      <c r="D328" s="5" t="s">
        <v>79</v>
      </c>
      <c r="E328" s="5" t="s">
        <v>80</v>
      </c>
      <c r="F328" s="5">
        <v>24403</v>
      </c>
      <c r="G328" s="5" t="s">
        <v>1078</v>
      </c>
      <c r="H328" s="5" t="s">
        <v>1079</v>
      </c>
      <c r="I328" s="5" t="s">
        <v>212</v>
      </c>
      <c r="N328" s="5" t="s">
        <v>1080</v>
      </c>
      <c r="O328" s="5">
        <v>346.1</v>
      </c>
      <c r="P328" s="5">
        <v>350</v>
      </c>
      <c r="Q328" s="5">
        <v>345.05</v>
      </c>
      <c r="R328" s="5">
        <v>349.1</v>
      </c>
      <c r="S328" s="5">
        <v>350</v>
      </c>
      <c r="T328" s="5">
        <v>346.3</v>
      </c>
      <c r="V328" s="5">
        <v>349.1</v>
      </c>
      <c r="Y328" s="5">
        <v>18098</v>
      </c>
      <c r="Z328" s="5">
        <v>6302086.3499999996</v>
      </c>
      <c r="AA328" s="5">
        <v>635</v>
      </c>
      <c r="AB328" s="5" t="s">
        <v>85</v>
      </c>
      <c r="AC328" s="5">
        <v>1</v>
      </c>
    </row>
    <row r="329" spans="1:29" x14ac:dyDescent="0.3">
      <c r="A329" s="34">
        <v>46274</v>
      </c>
      <c r="B329" s="34">
        <v>46274</v>
      </c>
      <c r="C329" s="5" t="s">
        <v>78</v>
      </c>
      <c r="D329" s="5" t="s">
        <v>79</v>
      </c>
      <c r="E329" s="5" t="s">
        <v>80</v>
      </c>
      <c r="F329" s="5">
        <v>762551</v>
      </c>
      <c r="G329" s="5" t="s">
        <v>1081</v>
      </c>
      <c r="H329" s="5" t="s">
        <v>1082</v>
      </c>
      <c r="I329" s="5" t="s">
        <v>234</v>
      </c>
      <c r="N329" s="5" t="s">
        <v>1083</v>
      </c>
      <c r="O329" s="5">
        <v>411</v>
      </c>
      <c r="P329" s="5">
        <v>424.4</v>
      </c>
      <c r="Q329" s="5">
        <v>402.1</v>
      </c>
      <c r="R329" s="5">
        <v>412.65</v>
      </c>
      <c r="S329" s="5">
        <v>418</v>
      </c>
      <c r="T329" s="5">
        <v>419.5</v>
      </c>
      <c r="V329" s="5">
        <v>412.69</v>
      </c>
      <c r="Y329" s="5">
        <v>99512</v>
      </c>
      <c r="Z329" s="5">
        <v>41225348.149999999</v>
      </c>
      <c r="AA329" s="5">
        <v>313</v>
      </c>
      <c r="AB329" s="5" t="s">
        <v>85</v>
      </c>
      <c r="AC329" s="5">
        <v>1</v>
      </c>
    </row>
    <row r="330" spans="1:29" x14ac:dyDescent="0.3">
      <c r="A330" s="34">
        <v>46274</v>
      </c>
      <c r="B330" s="34">
        <v>46274</v>
      </c>
      <c r="C330" s="5" t="s">
        <v>78</v>
      </c>
      <c r="D330" s="5" t="s">
        <v>79</v>
      </c>
      <c r="E330" s="5" t="s">
        <v>80</v>
      </c>
      <c r="F330" s="5">
        <v>206</v>
      </c>
      <c r="G330" s="5" t="s">
        <v>1084</v>
      </c>
      <c r="H330" s="5" t="s">
        <v>1085</v>
      </c>
      <c r="I330" s="5" t="s">
        <v>212</v>
      </c>
      <c r="N330" s="5" t="s">
        <v>1086</v>
      </c>
      <c r="O330" s="5">
        <v>17.350000000000001</v>
      </c>
      <c r="P330" s="5">
        <v>18.399999999999999</v>
      </c>
      <c r="Q330" s="5">
        <v>17.11</v>
      </c>
      <c r="R330" s="5">
        <v>17.22</v>
      </c>
      <c r="S330" s="5">
        <v>17.2</v>
      </c>
      <c r="T330" s="5">
        <v>17.36</v>
      </c>
      <c r="V330" s="5">
        <v>17.22</v>
      </c>
      <c r="Y330" s="5">
        <v>90655</v>
      </c>
      <c r="Z330" s="5">
        <v>1579597.83</v>
      </c>
      <c r="AA330" s="5">
        <v>370</v>
      </c>
      <c r="AB330" s="5" t="s">
        <v>85</v>
      </c>
      <c r="AC330" s="5">
        <v>1</v>
      </c>
    </row>
    <row r="331" spans="1:29" x14ac:dyDescent="0.3">
      <c r="A331" s="34">
        <v>46274</v>
      </c>
      <c r="B331" s="34">
        <v>46274</v>
      </c>
      <c r="C331" s="5" t="s">
        <v>78</v>
      </c>
      <c r="D331" s="5" t="s">
        <v>79</v>
      </c>
      <c r="E331" s="5" t="s">
        <v>80</v>
      </c>
      <c r="F331" s="5">
        <v>212</v>
      </c>
      <c r="G331" s="5" t="s">
        <v>1087</v>
      </c>
      <c r="H331" s="5" t="s">
        <v>1088</v>
      </c>
      <c r="I331" s="5" t="s">
        <v>212</v>
      </c>
      <c r="N331" s="5" t="s">
        <v>1089</v>
      </c>
      <c r="O331" s="5">
        <v>167.12</v>
      </c>
      <c r="P331" s="5">
        <v>169.27</v>
      </c>
      <c r="Q331" s="5">
        <v>166.22</v>
      </c>
      <c r="R331" s="5">
        <v>167</v>
      </c>
      <c r="S331" s="5">
        <v>167</v>
      </c>
      <c r="T331" s="5">
        <v>169</v>
      </c>
      <c r="V331" s="5">
        <v>167</v>
      </c>
      <c r="Y331" s="5">
        <v>7197614</v>
      </c>
      <c r="Z331" s="5">
        <v>1205937538.53</v>
      </c>
      <c r="AA331" s="5">
        <v>68010</v>
      </c>
      <c r="AB331" s="5" t="s">
        <v>85</v>
      </c>
      <c r="AC331" s="5">
        <v>1</v>
      </c>
    </row>
    <row r="332" spans="1:29" x14ac:dyDescent="0.3">
      <c r="A332" s="34">
        <v>46274</v>
      </c>
      <c r="B332" s="34">
        <v>46274</v>
      </c>
      <c r="C332" s="5" t="s">
        <v>78</v>
      </c>
      <c r="D332" s="5" t="s">
        <v>79</v>
      </c>
      <c r="E332" s="5" t="s">
        <v>80</v>
      </c>
      <c r="F332" s="5">
        <v>20182</v>
      </c>
      <c r="G332" s="5" t="s">
        <v>1090</v>
      </c>
      <c r="H332" s="5" t="s">
        <v>1091</v>
      </c>
      <c r="I332" s="5" t="s">
        <v>212</v>
      </c>
      <c r="N332" s="5" t="s">
        <v>1092</v>
      </c>
      <c r="O332" s="5">
        <v>113.6</v>
      </c>
      <c r="P332" s="5">
        <v>114.09</v>
      </c>
      <c r="Q332" s="5">
        <v>113.25</v>
      </c>
      <c r="R332" s="5">
        <v>113.58</v>
      </c>
      <c r="S332" s="5">
        <v>113.5</v>
      </c>
      <c r="T332" s="5">
        <v>114.27</v>
      </c>
      <c r="V332" s="5">
        <v>113.58</v>
      </c>
      <c r="Y332" s="5">
        <v>473674</v>
      </c>
      <c r="Z332" s="5">
        <v>53826816.049999997</v>
      </c>
      <c r="AA332" s="5">
        <v>4635</v>
      </c>
      <c r="AB332" s="5" t="s">
        <v>85</v>
      </c>
      <c r="AC332" s="5">
        <v>1</v>
      </c>
    </row>
    <row r="333" spans="1:29" x14ac:dyDescent="0.3">
      <c r="A333" s="34">
        <v>46274</v>
      </c>
      <c r="B333" s="34">
        <v>46274</v>
      </c>
      <c r="C333" s="5" t="s">
        <v>78</v>
      </c>
      <c r="D333" s="5" t="s">
        <v>79</v>
      </c>
      <c r="E333" s="5" t="s">
        <v>80</v>
      </c>
      <c r="F333" s="5">
        <v>16943</v>
      </c>
      <c r="G333" s="5" t="s">
        <v>1093</v>
      </c>
      <c r="H333" s="5" t="s">
        <v>1094</v>
      </c>
      <c r="I333" s="5" t="s">
        <v>212</v>
      </c>
      <c r="N333" s="5" t="s">
        <v>1095</v>
      </c>
      <c r="O333" s="5">
        <v>14.87</v>
      </c>
      <c r="P333" s="5">
        <v>14.87</v>
      </c>
      <c r="Q333" s="5">
        <v>14.22</v>
      </c>
      <c r="R333" s="5">
        <v>14.54</v>
      </c>
      <c r="S333" s="5">
        <v>14.7</v>
      </c>
      <c r="T333" s="5">
        <v>14.44</v>
      </c>
      <c r="V333" s="5">
        <v>14.62</v>
      </c>
      <c r="Y333" s="5">
        <v>13514</v>
      </c>
      <c r="Z333" s="5">
        <v>197192.75</v>
      </c>
      <c r="AA333" s="5">
        <v>169</v>
      </c>
      <c r="AB333" s="5" t="s">
        <v>85</v>
      </c>
      <c r="AC333" s="5">
        <v>1</v>
      </c>
    </row>
    <row r="334" spans="1:29" x14ac:dyDescent="0.3">
      <c r="A334" s="34">
        <v>46274</v>
      </c>
      <c r="B334" s="34">
        <v>46274</v>
      </c>
      <c r="C334" s="5" t="s">
        <v>78</v>
      </c>
      <c r="D334" s="5" t="s">
        <v>79</v>
      </c>
      <c r="E334" s="5" t="s">
        <v>80</v>
      </c>
      <c r="F334" s="5">
        <v>765576</v>
      </c>
      <c r="G334" s="5" t="s">
        <v>1096</v>
      </c>
      <c r="H334" s="5" t="s">
        <v>1097</v>
      </c>
      <c r="I334" s="5" t="s">
        <v>392</v>
      </c>
      <c r="N334" s="5" t="s">
        <v>1098</v>
      </c>
      <c r="O334" s="5">
        <v>152.80000000000001</v>
      </c>
      <c r="P334" s="5">
        <v>157.44999999999999</v>
      </c>
      <c r="Q334" s="5">
        <v>146.35</v>
      </c>
      <c r="R334" s="5">
        <v>151.30000000000001</v>
      </c>
      <c r="S334" s="5">
        <v>152.85</v>
      </c>
      <c r="T334" s="5">
        <v>154.05000000000001</v>
      </c>
      <c r="V334" s="5">
        <v>151.30000000000001</v>
      </c>
      <c r="Y334" s="5">
        <v>440400</v>
      </c>
      <c r="Z334" s="5">
        <v>66524100</v>
      </c>
      <c r="AA334" s="5">
        <v>347</v>
      </c>
      <c r="AB334" s="5" t="s">
        <v>85</v>
      </c>
      <c r="AC334" s="5">
        <v>1200</v>
      </c>
    </row>
    <row r="335" spans="1:29" x14ac:dyDescent="0.3">
      <c r="A335" s="34">
        <v>46274</v>
      </c>
      <c r="B335" s="34">
        <v>46274</v>
      </c>
      <c r="C335" s="5" t="s">
        <v>78</v>
      </c>
      <c r="D335" s="5" t="s">
        <v>79</v>
      </c>
      <c r="E335" s="5" t="s">
        <v>80</v>
      </c>
      <c r="F335" s="5">
        <v>760418</v>
      </c>
      <c r="G335" s="5" t="s">
        <v>1099</v>
      </c>
      <c r="H335" s="5" t="s">
        <v>1100</v>
      </c>
      <c r="I335" s="5" t="s">
        <v>313</v>
      </c>
      <c r="N335" s="5" t="s">
        <v>1101</v>
      </c>
      <c r="O335" s="5">
        <v>175</v>
      </c>
      <c r="P335" s="5">
        <v>175</v>
      </c>
      <c r="Q335" s="5">
        <v>160</v>
      </c>
      <c r="R335" s="5">
        <v>170.5</v>
      </c>
      <c r="S335" s="5">
        <v>170.5</v>
      </c>
      <c r="T335" s="5">
        <v>174</v>
      </c>
      <c r="V335" s="5">
        <v>170.5</v>
      </c>
      <c r="Y335" s="5">
        <v>20000</v>
      </c>
      <c r="Z335" s="5">
        <v>3362550</v>
      </c>
      <c r="AA335" s="5">
        <v>15</v>
      </c>
      <c r="AB335" s="5" t="s">
        <v>85</v>
      </c>
      <c r="AC335" s="5">
        <v>1000</v>
      </c>
    </row>
    <row r="336" spans="1:29" x14ac:dyDescent="0.3">
      <c r="A336" s="34">
        <v>46274</v>
      </c>
      <c r="B336" s="34">
        <v>46274</v>
      </c>
      <c r="C336" s="5" t="s">
        <v>78</v>
      </c>
      <c r="D336" s="5" t="s">
        <v>79</v>
      </c>
      <c r="E336" s="5" t="s">
        <v>80</v>
      </c>
      <c r="F336" s="5">
        <v>7030</v>
      </c>
      <c r="G336" s="5" t="s">
        <v>1102</v>
      </c>
      <c r="H336" s="5" t="s">
        <v>1103</v>
      </c>
      <c r="I336" s="5" t="s">
        <v>212</v>
      </c>
      <c r="N336" s="5" t="s">
        <v>1104</v>
      </c>
      <c r="O336" s="5">
        <v>552.9</v>
      </c>
      <c r="P336" s="5">
        <v>562</v>
      </c>
      <c r="Q336" s="5">
        <v>532.04999999999995</v>
      </c>
      <c r="R336" s="5">
        <v>535.5</v>
      </c>
      <c r="S336" s="5">
        <v>533.35</v>
      </c>
      <c r="T336" s="5">
        <v>553.54999999999995</v>
      </c>
      <c r="V336" s="5">
        <v>535.29999999999995</v>
      </c>
      <c r="Y336" s="5">
        <v>475711</v>
      </c>
      <c r="Z336" s="5">
        <v>260733082.19999999</v>
      </c>
      <c r="AA336" s="5">
        <v>18800</v>
      </c>
      <c r="AB336" s="5" t="s">
        <v>85</v>
      </c>
      <c r="AC336" s="5">
        <v>1</v>
      </c>
    </row>
    <row r="337" spans="1:29" x14ac:dyDescent="0.3">
      <c r="A337" s="34">
        <v>46274</v>
      </c>
      <c r="B337" s="34">
        <v>46274</v>
      </c>
      <c r="C337" s="5" t="s">
        <v>78</v>
      </c>
      <c r="D337" s="5" t="s">
        <v>79</v>
      </c>
      <c r="E337" s="5" t="s">
        <v>80</v>
      </c>
      <c r="F337" s="5">
        <v>14889</v>
      </c>
      <c r="G337" s="5" t="s">
        <v>1105</v>
      </c>
      <c r="H337" s="5" t="s">
        <v>1106</v>
      </c>
      <c r="I337" s="5" t="s">
        <v>212</v>
      </c>
      <c r="N337" s="5" t="s">
        <v>1107</v>
      </c>
      <c r="O337" s="5">
        <v>49.56</v>
      </c>
      <c r="P337" s="5">
        <v>50.98</v>
      </c>
      <c r="Q337" s="5">
        <v>49.26</v>
      </c>
      <c r="R337" s="5">
        <v>50.47</v>
      </c>
      <c r="S337" s="5">
        <v>50.67</v>
      </c>
      <c r="T337" s="5">
        <v>50.04</v>
      </c>
      <c r="V337" s="5">
        <v>50.47</v>
      </c>
      <c r="Y337" s="5">
        <v>3910136</v>
      </c>
      <c r="Z337" s="5">
        <v>196053924.25</v>
      </c>
      <c r="AA337" s="5">
        <v>8570</v>
      </c>
      <c r="AB337" s="5" t="s">
        <v>85</v>
      </c>
      <c r="AC337" s="5">
        <v>1</v>
      </c>
    </row>
    <row r="338" spans="1:29" x14ac:dyDescent="0.3">
      <c r="A338" s="34">
        <v>46274</v>
      </c>
      <c r="B338" s="34">
        <v>46274</v>
      </c>
      <c r="C338" s="5" t="s">
        <v>78</v>
      </c>
      <c r="D338" s="5" t="s">
        <v>79</v>
      </c>
      <c r="E338" s="5" t="s">
        <v>80</v>
      </c>
      <c r="F338" s="5">
        <v>19438</v>
      </c>
      <c r="G338" s="5" t="s">
        <v>1108</v>
      </c>
      <c r="H338" s="5" t="s">
        <v>1109</v>
      </c>
      <c r="I338" s="5" t="s">
        <v>212</v>
      </c>
      <c r="N338" s="5" t="s">
        <v>1110</v>
      </c>
      <c r="O338" s="5">
        <v>137</v>
      </c>
      <c r="P338" s="5">
        <v>137.88</v>
      </c>
      <c r="Q338" s="5">
        <v>135.4</v>
      </c>
      <c r="R338" s="5">
        <v>137.08000000000001</v>
      </c>
      <c r="S338" s="5">
        <v>137.5</v>
      </c>
      <c r="T338" s="5">
        <v>135.38</v>
      </c>
      <c r="V338" s="5">
        <v>137.08000000000001</v>
      </c>
      <c r="Y338" s="5">
        <v>1988</v>
      </c>
      <c r="Z338" s="5">
        <v>270948.28999999998</v>
      </c>
      <c r="AA338" s="5">
        <v>28</v>
      </c>
      <c r="AB338" s="5" t="s">
        <v>85</v>
      </c>
      <c r="AC338" s="5">
        <v>1</v>
      </c>
    </row>
    <row r="339" spans="1:29" x14ac:dyDescent="0.3">
      <c r="A339" s="34">
        <v>46274</v>
      </c>
      <c r="B339" s="34">
        <v>46274</v>
      </c>
      <c r="C339" s="5" t="s">
        <v>78</v>
      </c>
      <c r="D339" s="5" t="s">
        <v>79</v>
      </c>
      <c r="E339" s="5" t="s">
        <v>80</v>
      </c>
      <c r="F339" s="5">
        <v>18422</v>
      </c>
      <c r="G339" s="5" t="s">
        <v>1111</v>
      </c>
      <c r="H339" s="5" t="s">
        <v>1112</v>
      </c>
      <c r="I339" s="5" t="s">
        <v>212</v>
      </c>
      <c r="N339" s="5" t="s">
        <v>1113</v>
      </c>
      <c r="O339" s="5">
        <v>415</v>
      </c>
      <c r="P339" s="5">
        <v>419.2</v>
      </c>
      <c r="Q339" s="5">
        <v>393.05</v>
      </c>
      <c r="R339" s="5">
        <v>404.5</v>
      </c>
      <c r="S339" s="5">
        <v>403</v>
      </c>
      <c r="T339" s="5">
        <v>405.75</v>
      </c>
      <c r="V339" s="5">
        <v>404.67</v>
      </c>
      <c r="Y339" s="5">
        <v>27418</v>
      </c>
      <c r="Z339" s="5">
        <v>11059219.25</v>
      </c>
      <c r="AA339" s="5">
        <v>1479</v>
      </c>
      <c r="AB339" s="5" t="s">
        <v>85</v>
      </c>
      <c r="AC339" s="5">
        <v>1</v>
      </c>
    </row>
    <row r="340" spans="1:29" x14ac:dyDescent="0.3">
      <c r="A340" s="34">
        <v>46274</v>
      </c>
      <c r="B340" s="34">
        <v>46274</v>
      </c>
      <c r="C340" s="5" t="s">
        <v>78</v>
      </c>
      <c r="D340" s="5" t="s">
        <v>79</v>
      </c>
      <c r="E340" s="5" t="s">
        <v>80</v>
      </c>
      <c r="F340" s="5">
        <v>19370</v>
      </c>
      <c r="G340" s="5" t="s">
        <v>1114</v>
      </c>
      <c r="H340" s="5" t="s">
        <v>1115</v>
      </c>
      <c r="I340" s="5" t="s">
        <v>234</v>
      </c>
      <c r="N340" s="5" t="s">
        <v>1116</v>
      </c>
      <c r="O340" s="5">
        <v>506</v>
      </c>
      <c r="P340" s="5">
        <v>538.95000000000005</v>
      </c>
      <c r="Q340" s="5">
        <v>506</v>
      </c>
      <c r="R340" s="5">
        <v>516</v>
      </c>
      <c r="S340" s="5">
        <v>516</v>
      </c>
      <c r="T340" s="5">
        <v>515.5</v>
      </c>
      <c r="V340" s="5">
        <v>516</v>
      </c>
      <c r="Y340" s="5">
        <v>663</v>
      </c>
      <c r="Z340" s="5">
        <v>348020.9</v>
      </c>
      <c r="AA340" s="5">
        <v>31</v>
      </c>
      <c r="AB340" s="5" t="s">
        <v>85</v>
      </c>
      <c r="AC340" s="5">
        <v>1</v>
      </c>
    </row>
    <row r="341" spans="1:29" x14ac:dyDescent="0.3">
      <c r="A341" s="34">
        <v>46274</v>
      </c>
      <c r="B341" s="34">
        <v>46274</v>
      </c>
      <c r="C341" s="5" t="s">
        <v>78</v>
      </c>
      <c r="D341" s="5" t="s">
        <v>79</v>
      </c>
      <c r="E341" s="5" t="s">
        <v>80</v>
      </c>
      <c r="F341" s="5">
        <v>236</v>
      </c>
      <c r="G341" s="5" t="s">
        <v>1117</v>
      </c>
      <c r="H341" s="5" t="s">
        <v>1118</v>
      </c>
      <c r="I341" s="5" t="s">
        <v>212</v>
      </c>
      <c r="N341" s="5" t="s">
        <v>1119</v>
      </c>
      <c r="O341" s="5">
        <v>2459.1</v>
      </c>
      <c r="P341" s="5">
        <v>2489</v>
      </c>
      <c r="Q341" s="5">
        <v>2457.4</v>
      </c>
      <c r="R341" s="5">
        <v>2489</v>
      </c>
      <c r="S341" s="5">
        <v>2489</v>
      </c>
      <c r="T341" s="5">
        <v>2481.6</v>
      </c>
      <c r="V341" s="5">
        <v>2489</v>
      </c>
      <c r="Y341" s="5">
        <v>432840</v>
      </c>
      <c r="Z341" s="5">
        <v>1071563011</v>
      </c>
      <c r="AA341" s="5">
        <v>35052</v>
      </c>
      <c r="AB341" s="5" t="s">
        <v>85</v>
      </c>
      <c r="AC341" s="5">
        <v>1</v>
      </c>
    </row>
    <row r="342" spans="1:29" x14ac:dyDescent="0.3">
      <c r="A342" s="34">
        <v>46274</v>
      </c>
      <c r="B342" s="34">
        <v>46274</v>
      </c>
      <c r="C342" s="5" t="s">
        <v>78</v>
      </c>
      <c r="D342" s="5" t="s">
        <v>79</v>
      </c>
      <c r="E342" s="5" t="s">
        <v>80</v>
      </c>
      <c r="F342" s="5">
        <v>762553</v>
      </c>
      <c r="G342" s="5" t="s">
        <v>1120</v>
      </c>
      <c r="H342" s="5" t="s">
        <v>1121</v>
      </c>
      <c r="I342" s="5" t="s">
        <v>212</v>
      </c>
      <c r="N342" s="5" t="s">
        <v>1122</v>
      </c>
      <c r="O342" s="5">
        <v>594.9</v>
      </c>
      <c r="P342" s="5">
        <v>594.9</v>
      </c>
      <c r="Q342" s="5">
        <v>575</v>
      </c>
      <c r="R342" s="5">
        <v>575.1</v>
      </c>
      <c r="S342" s="5">
        <v>575.1</v>
      </c>
      <c r="T342" s="5">
        <v>596.95000000000005</v>
      </c>
      <c r="V342" s="5">
        <v>571.78</v>
      </c>
      <c r="Y342" s="5">
        <v>32</v>
      </c>
      <c r="Z342" s="5">
        <v>18851.400000000001</v>
      </c>
      <c r="AA342" s="5">
        <v>8</v>
      </c>
      <c r="AB342" s="5" t="s">
        <v>85</v>
      </c>
      <c r="AC342" s="5">
        <v>1</v>
      </c>
    </row>
    <row r="343" spans="1:29" x14ac:dyDescent="0.3">
      <c r="A343" s="34">
        <v>46274</v>
      </c>
      <c r="B343" s="34">
        <v>46274</v>
      </c>
      <c r="C343" s="5" t="s">
        <v>78</v>
      </c>
      <c r="D343" s="5" t="s">
        <v>79</v>
      </c>
      <c r="E343" s="5" t="s">
        <v>80</v>
      </c>
      <c r="F343" s="5">
        <v>765025</v>
      </c>
      <c r="G343" s="5" t="s">
        <v>1123</v>
      </c>
      <c r="H343" s="5" t="s">
        <v>1124</v>
      </c>
      <c r="I343" s="5" t="s">
        <v>212</v>
      </c>
      <c r="N343" s="5" t="s">
        <v>1125</v>
      </c>
      <c r="O343" s="5">
        <v>9.6999999999999993</v>
      </c>
      <c r="P343" s="5">
        <v>9.7899999999999991</v>
      </c>
      <c r="Q343" s="5">
        <v>8.6</v>
      </c>
      <c r="R343" s="5">
        <v>9.52</v>
      </c>
      <c r="S343" s="5">
        <v>9.59</v>
      </c>
      <c r="T343" s="5">
        <v>9.69</v>
      </c>
      <c r="V343" s="5">
        <v>9.52</v>
      </c>
      <c r="Y343" s="5">
        <v>7352</v>
      </c>
      <c r="Z343" s="5">
        <v>68787.78</v>
      </c>
      <c r="AA343" s="5">
        <v>55</v>
      </c>
      <c r="AB343" s="5" t="s">
        <v>85</v>
      </c>
      <c r="AC343" s="5">
        <v>1</v>
      </c>
    </row>
    <row r="344" spans="1:29" x14ac:dyDescent="0.3">
      <c r="A344" s="34">
        <v>46274</v>
      </c>
      <c r="B344" s="34">
        <v>46274</v>
      </c>
      <c r="C344" s="5" t="s">
        <v>78</v>
      </c>
      <c r="D344" s="5" t="s">
        <v>79</v>
      </c>
      <c r="E344" s="5" t="s">
        <v>80</v>
      </c>
      <c r="F344" s="5">
        <v>20152</v>
      </c>
      <c r="G344" s="5" t="s">
        <v>1126</v>
      </c>
      <c r="H344" s="5" t="s">
        <v>1127</v>
      </c>
      <c r="I344" s="5" t="s">
        <v>212</v>
      </c>
      <c r="N344" s="5" t="s">
        <v>1128</v>
      </c>
      <c r="O344" s="5">
        <v>610</v>
      </c>
      <c r="P344" s="5">
        <v>634</v>
      </c>
      <c r="Q344" s="5">
        <v>609.79999999999995</v>
      </c>
      <c r="R344" s="5">
        <v>627.25</v>
      </c>
      <c r="S344" s="5">
        <v>626.1</v>
      </c>
      <c r="T344" s="5">
        <v>610.15</v>
      </c>
      <c r="V344" s="5">
        <v>627.26</v>
      </c>
      <c r="Y344" s="5">
        <v>288722</v>
      </c>
      <c r="Z344" s="5">
        <v>180427986.84999999</v>
      </c>
      <c r="AA344" s="5">
        <v>16253</v>
      </c>
      <c r="AB344" s="5" t="s">
        <v>85</v>
      </c>
      <c r="AC344" s="5">
        <v>1</v>
      </c>
    </row>
    <row r="345" spans="1:29" x14ac:dyDescent="0.3">
      <c r="A345" s="34">
        <v>46274</v>
      </c>
      <c r="B345" s="34">
        <v>46274</v>
      </c>
      <c r="C345" s="5" t="s">
        <v>78</v>
      </c>
      <c r="D345" s="5" t="s">
        <v>79</v>
      </c>
      <c r="E345" s="5" t="s">
        <v>80</v>
      </c>
      <c r="F345" s="5">
        <v>17270</v>
      </c>
      <c r="G345" s="5" t="s">
        <v>1129</v>
      </c>
      <c r="H345" s="5" t="s">
        <v>1130</v>
      </c>
      <c r="I345" s="5" t="s">
        <v>212</v>
      </c>
      <c r="N345" s="5" t="s">
        <v>1131</v>
      </c>
      <c r="O345" s="5">
        <v>254.15</v>
      </c>
      <c r="P345" s="5">
        <v>254.2</v>
      </c>
      <c r="Q345" s="5">
        <v>249</v>
      </c>
      <c r="R345" s="5">
        <v>251.25</v>
      </c>
      <c r="S345" s="5">
        <v>251.25</v>
      </c>
      <c r="T345" s="5">
        <v>254.15</v>
      </c>
      <c r="V345" s="5">
        <v>251.25</v>
      </c>
      <c r="Y345" s="5">
        <v>803</v>
      </c>
      <c r="Z345" s="5">
        <v>202109.9</v>
      </c>
      <c r="AA345" s="5">
        <v>36</v>
      </c>
      <c r="AB345" s="5" t="s">
        <v>85</v>
      </c>
      <c r="AC345" s="5">
        <v>1</v>
      </c>
    </row>
    <row r="346" spans="1:29" x14ac:dyDescent="0.3">
      <c r="A346" s="34">
        <v>46274</v>
      </c>
      <c r="B346" s="34">
        <v>46274</v>
      </c>
      <c r="C346" s="5" t="s">
        <v>78</v>
      </c>
      <c r="D346" s="5" t="s">
        <v>79</v>
      </c>
      <c r="E346" s="5" t="s">
        <v>80</v>
      </c>
      <c r="F346" s="5">
        <v>17598</v>
      </c>
      <c r="G346" s="5" t="s">
        <v>1132</v>
      </c>
      <c r="H346" s="5" t="s">
        <v>1133</v>
      </c>
      <c r="I346" s="5" t="s">
        <v>212</v>
      </c>
      <c r="N346" s="5" t="s">
        <v>1134</v>
      </c>
      <c r="O346" s="5">
        <v>698.5</v>
      </c>
      <c r="P346" s="5">
        <v>698.5</v>
      </c>
      <c r="Q346" s="5">
        <v>680.05</v>
      </c>
      <c r="R346" s="5">
        <v>686.7</v>
      </c>
      <c r="S346" s="5">
        <v>698.5</v>
      </c>
      <c r="T346" s="5">
        <v>696.15</v>
      </c>
      <c r="V346" s="5">
        <v>686.67</v>
      </c>
      <c r="Y346" s="5">
        <v>26427</v>
      </c>
      <c r="Z346" s="5">
        <v>18260133.5</v>
      </c>
      <c r="AA346" s="5">
        <v>2102</v>
      </c>
      <c r="AB346" s="5" t="s">
        <v>85</v>
      </c>
      <c r="AC346" s="5">
        <v>1</v>
      </c>
    </row>
    <row r="347" spans="1:29" x14ac:dyDescent="0.3">
      <c r="A347" s="34">
        <v>46274</v>
      </c>
      <c r="B347" s="34">
        <v>46274</v>
      </c>
      <c r="C347" s="5" t="s">
        <v>78</v>
      </c>
      <c r="D347" s="5" t="s">
        <v>79</v>
      </c>
      <c r="E347" s="5" t="s">
        <v>80</v>
      </c>
      <c r="F347" s="5">
        <v>17728</v>
      </c>
      <c r="G347" s="5" t="s">
        <v>1135</v>
      </c>
      <c r="H347" s="5" t="s">
        <v>1136</v>
      </c>
      <c r="I347" s="5" t="s">
        <v>212</v>
      </c>
      <c r="N347" s="5" t="s">
        <v>1137</v>
      </c>
      <c r="O347" s="5">
        <v>691</v>
      </c>
      <c r="P347" s="5">
        <v>779.35</v>
      </c>
      <c r="Q347" s="5">
        <v>690</v>
      </c>
      <c r="R347" s="5">
        <v>761</v>
      </c>
      <c r="S347" s="5">
        <v>766.5</v>
      </c>
      <c r="T347" s="5">
        <v>662.8</v>
      </c>
      <c r="V347" s="5">
        <v>761.04</v>
      </c>
      <c r="Y347" s="5">
        <v>5356635</v>
      </c>
      <c r="Z347" s="5">
        <v>4030928367.8499999</v>
      </c>
      <c r="AA347" s="5">
        <v>163520</v>
      </c>
      <c r="AB347" s="5" t="s">
        <v>85</v>
      </c>
      <c r="AC347" s="5">
        <v>1</v>
      </c>
    </row>
    <row r="348" spans="1:29" x14ac:dyDescent="0.3">
      <c r="A348" s="34">
        <v>46274</v>
      </c>
      <c r="B348" s="34">
        <v>46274</v>
      </c>
      <c r="C348" s="5" t="s">
        <v>78</v>
      </c>
      <c r="D348" s="5" t="s">
        <v>79</v>
      </c>
      <c r="E348" s="5" t="s">
        <v>80</v>
      </c>
      <c r="F348" s="5">
        <v>1508</v>
      </c>
      <c r="G348" s="5" t="s">
        <v>1138</v>
      </c>
      <c r="H348" s="5" t="s">
        <v>1139</v>
      </c>
      <c r="I348" s="5" t="s">
        <v>212</v>
      </c>
      <c r="N348" s="5" t="s">
        <v>1140</v>
      </c>
      <c r="O348" s="5">
        <v>786</v>
      </c>
      <c r="P348" s="5">
        <v>792.3</v>
      </c>
      <c r="Q348" s="5">
        <v>776</v>
      </c>
      <c r="R348" s="5">
        <v>780.35</v>
      </c>
      <c r="S348" s="5">
        <v>779.7</v>
      </c>
      <c r="T348" s="5">
        <v>790.35</v>
      </c>
      <c r="V348" s="5">
        <v>780.34</v>
      </c>
      <c r="Y348" s="5">
        <v>1498226</v>
      </c>
      <c r="Z348" s="5">
        <v>1174055662.5</v>
      </c>
      <c r="AA348" s="5">
        <v>41540</v>
      </c>
      <c r="AB348" s="5" t="s">
        <v>85</v>
      </c>
      <c r="AC348" s="5">
        <v>1</v>
      </c>
    </row>
    <row r="349" spans="1:29" x14ac:dyDescent="0.3">
      <c r="A349" s="34">
        <v>46274</v>
      </c>
      <c r="B349" s="34">
        <v>46274</v>
      </c>
      <c r="C349" s="5" t="s">
        <v>78</v>
      </c>
      <c r="D349" s="5" t="s">
        <v>79</v>
      </c>
      <c r="E349" s="5" t="s">
        <v>80</v>
      </c>
      <c r="F349" s="5">
        <v>11618</v>
      </c>
      <c r="G349" s="5" t="s">
        <v>1141</v>
      </c>
      <c r="H349" s="5" t="s">
        <v>11</v>
      </c>
      <c r="I349" s="5" t="s">
        <v>212</v>
      </c>
      <c r="N349" s="5" t="s">
        <v>1142</v>
      </c>
      <c r="O349" s="5">
        <v>1767.8</v>
      </c>
      <c r="P349" s="5">
        <v>1794</v>
      </c>
      <c r="Q349" s="5">
        <v>1696.1</v>
      </c>
      <c r="R349" s="5">
        <v>1706.1</v>
      </c>
      <c r="S349" s="5">
        <v>1705</v>
      </c>
      <c r="T349" s="5">
        <v>1757.3</v>
      </c>
      <c r="V349" s="5">
        <v>1706.08</v>
      </c>
      <c r="Y349" s="5">
        <v>550424</v>
      </c>
      <c r="Z349" s="5">
        <v>957831709.70000005</v>
      </c>
      <c r="AA349" s="5">
        <v>30470</v>
      </c>
      <c r="AB349" s="5" t="s">
        <v>85</v>
      </c>
      <c r="AC349" s="5">
        <v>1</v>
      </c>
    </row>
    <row r="350" spans="1:29" x14ac:dyDescent="0.3">
      <c r="A350" s="34">
        <v>46274</v>
      </c>
      <c r="B350" s="34">
        <v>46274</v>
      </c>
      <c r="C350" s="5" t="s">
        <v>78</v>
      </c>
      <c r="D350" s="5" t="s">
        <v>79</v>
      </c>
      <c r="E350" s="5" t="s">
        <v>80</v>
      </c>
      <c r="F350" s="5">
        <v>14418</v>
      </c>
      <c r="G350" s="5" t="s">
        <v>1143</v>
      </c>
      <c r="H350" s="5" t="s">
        <v>1144</v>
      </c>
      <c r="I350" s="5" t="s">
        <v>212</v>
      </c>
      <c r="N350" s="5" t="s">
        <v>1145</v>
      </c>
      <c r="O350" s="5">
        <v>1492.8</v>
      </c>
      <c r="P350" s="5">
        <v>1507</v>
      </c>
      <c r="Q350" s="5">
        <v>1465.6</v>
      </c>
      <c r="R350" s="5">
        <v>1474.8</v>
      </c>
      <c r="S350" s="5">
        <v>1474.8</v>
      </c>
      <c r="T350" s="5">
        <v>1500.8</v>
      </c>
      <c r="V350" s="5">
        <v>1474.8</v>
      </c>
      <c r="Y350" s="5">
        <v>769503</v>
      </c>
      <c r="Z350" s="5">
        <v>1136761152.2</v>
      </c>
      <c r="AA350" s="5">
        <v>34919</v>
      </c>
      <c r="AB350" s="5" t="s">
        <v>85</v>
      </c>
      <c r="AC350" s="5">
        <v>1</v>
      </c>
    </row>
    <row r="351" spans="1:29" x14ac:dyDescent="0.3">
      <c r="A351" s="34">
        <v>46274</v>
      </c>
      <c r="B351" s="34">
        <v>46274</v>
      </c>
      <c r="C351" s="5" t="s">
        <v>78</v>
      </c>
      <c r="D351" s="5" t="s">
        <v>79</v>
      </c>
      <c r="E351" s="5" t="s">
        <v>80</v>
      </c>
      <c r="F351" s="5">
        <v>5610</v>
      </c>
      <c r="G351" s="5" t="s">
        <v>1146</v>
      </c>
      <c r="H351" s="5" t="s">
        <v>1147</v>
      </c>
      <c r="I351" s="5" t="s">
        <v>212</v>
      </c>
      <c r="N351" s="5" t="s">
        <v>1148</v>
      </c>
      <c r="O351" s="5">
        <v>6870</v>
      </c>
      <c r="P351" s="5">
        <v>6943.5</v>
      </c>
      <c r="Q351" s="5">
        <v>6801</v>
      </c>
      <c r="R351" s="5">
        <v>6876.5</v>
      </c>
      <c r="S351" s="5">
        <v>6910</v>
      </c>
      <c r="T351" s="5">
        <v>6875.5</v>
      </c>
      <c r="V351" s="5">
        <v>6878.58</v>
      </c>
      <c r="Y351" s="5">
        <v>5604</v>
      </c>
      <c r="Z351" s="5">
        <v>38447138.5</v>
      </c>
      <c r="AA351" s="5">
        <v>1624</v>
      </c>
      <c r="AB351" s="5" t="s">
        <v>85</v>
      </c>
      <c r="AC351" s="5">
        <v>1</v>
      </c>
    </row>
    <row r="352" spans="1:29" x14ac:dyDescent="0.3">
      <c r="A352" s="34">
        <v>46274</v>
      </c>
      <c r="B352" s="34">
        <v>46274</v>
      </c>
      <c r="C352" s="5" t="s">
        <v>78</v>
      </c>
      <c r="D352" s="5" t="s">
        <v>79</v>
      </c>
      <c r="E352" s="5" t="s">
        <v>80</v>
      </c>
      <c r="F352" s="5">
        <v>764445</v>
      </c>
      <c r="G352" s="5" t="s">
        <v>1149</v>
      </c>
      <c r="H352" s="5" t="s">
        <v>1150</v>
      </c>
      <c r="I352" s="5" t="s">
        <v>614</v>
      </c>
      <c r="N352" s="5" t="s">
        <v>1151</v>
      </c>
      <c r="O352" s="5">
        <v>2.97</v>
      </c>
      <c r="P352" s="5">
        <v>3.09</v>
      </c>
      <c r="Q352" s="5">
        <v>2.87</v>
      </c>
      <c r="R352" s="5">
        <v>3.01</v>
      </c>
      <c r="S352" s="5">
        <v>3.01</v>
      </c>
      <c r="T352" s="5">
        <v>2.96</v>
      </c>
      <c r="V352" s="5">
        <v>3</v>
      </c>
      <c r="Y352" s="5">
        <v>45900</v>
      </c>
      <c r="Z352" s="5">
        <v>137775.76999999999</v>
      </c>
      <c r="AA352" s="5">
        <v>79</v>
      </c>
      <c r="AB352" s="5" t="s">
        <v>85</v>
      </c>
      <c r="AC352" s="5">
        <v>1</v>
      </c>
    </row>
    <row r="353" spans="1:29" x14ac:dyDescent="0.3">
      <c r="A353" s="34">
        <v>46274</v>
      </c>
      <c r="B353" s="34">
        <v>46274</v>
      </c>
      <c r="C353" s="5" t="s">
        <v>78</v>
      </c>
      <c r="D353" s="5" t="s">
        <v>79</v>
      </c>
      <c r="E353" s="5" t="s">
        <v>80</v>
      </c>
      <c r="F353" s="5">
        <v>15649</v>
      </c>
      <c r="G353" s="5" t="s">
        <v>1152</v>
      </c>
      <c r="H353" s="5" t="s">
        <v>1153</v>
      </c>
      <c r="I353" s="5" t="s">
        <v>212</v>
      </c>
      <c r="N353" s="5" t="s">
        <v>1154</v>
      </c>
      <c r="O353" s="5">
        <v>16.96</v>
      </c>
      <c r="P353" s="5">
        <v>16.96</v>
      </c>
      <c r="Q353" s="5">
        <v>16.96</v>
      </c>
      <c r="R353" s="5">
        <v>16.96</v>
      </c>
      <c r="S353" s="5">
        <v>16.96</v>
      </c>
      <c r="T353" s="5">
        <v>21.2</v>
      </c>
      <c r="V353" s="5">
        <v>16.96</v>
      </c>
      <c r="Y353" s="5">
        <v>701191</v>
      </c>
      <c r="Z353" s="5">
        <v>11892199.359999999</v>
      </c>
      <c r="AA353" s="5">
        <v>1006</v>
      </c>
      <c r="AB353" s="5" t="s">
        <v>85</v>
      </c>
      <c r="AC353" s="5">
        <v>1</v>
      </c>
    </row>
    <row r="354" spans="1:29" x14ac:dyDescent="0.3">
      <c r="A354" s="34">
        <v>46274</v>
      </c>
      <c r="B354" s="34">
        <v>46274</v>
      </c>
      <c r="C354" s="5" t="s">
        <v>78</v>
      </c>
      <c r="D354" s="5" t="s">
        <v>79</v>
      </c>
      <c r="E354" s="5" t="s">
        <v>80</v>
      </c>
      <c r="F354" s="5">
        <v>15404</v>
      </c>
      <c r="G354" s="5" t="s">
        <v>1155</v>
      </c>
      <c r="H354" s="5" t="s">
        <v>1156</v>
      </c>
      <c r="I354" s="5" t="s">
        <v>212</v>
      </c>
      <c r="N354" s="5" t="s">
        <v>1157</v>
      </c>
      <c r="O354" s="5">
        <v>56.45</v>
      </c>
      <c r="P354" s="5">
        <v>56.45</v>
      </c>
      <c r="Q354" s="5">
        <v>54.18</v>
      </c>
      <c r="R354" s="5">
        <v>55.64</v>
      </c>
      <c r="S354" s="5">
        <v>56</v>
      </c>
      <c r="T354" s="5">
        <v>55.34</v>
      </c>
      <c r="V354" s="5">
        <v>55.64</v>
      </c>
      <c r="Y354" s="5">
        <v>4732</v>
      </c>
      <c r="Z354" s="5">
        <v>263398.2</v>
      </c>
      <c r="AA354" s="5">
        <v>202</v>
      </c>
      <c r="AB354" s="5" t="s">
        <v>85</v>
      </c>
      <c r="AC354" s="5">
        <v>1</v>
      </c>
    </row>
    <row r="355" spans="1:29" x14ac:dyDescent="0.3">
      <c r="A355" s="34">
        <v>46274</v>
      </c>
      <c r="B355" s="34">
        <v>46274</v>
      </c>
      <c r="C355" s="5" t="s">
        <v>78</v>
      </c>
      <c r="D355" s="5" t="s">
        <v>79</v>
      </c>
      <c r="E355" s="5" t="s">
        <v>80</v>
      </c>
      <c r="F355" s="5">
        <v>756405</v>
      </c>
      <c r="G355" s="5" t="s">
        <v>1158</v>
      </c>
      <c r="H355" s="5" t="s">
        <v>1159</v>
      </c>
      <c r="I355" s="5" t="s">
        <v>392</v>
      </c>
      <c r="N355" s="5" t="s">
        <v>1160</v>
      </c>
      <c r="O355" s="5">
        <v>21.8</v>
      </c>
      <c r="P355" s="5">
        <v>21.8</v>
      </c>
      <c r="Q355" s="5">
        <v>21.8</v>
      </c>
      <c r="R355" s="5">
        <v>21.8</v>
      </c>
      <c r="S355" s="5">
        <v>21.8</v>
      </c>
      <c r="T355" s="5">
        <v>22.2</v>
      </c>
      <c r="V355" s="5">
        <v>21.8</v>
      </c>
      <c r="Y355" s="5">
        <v>4800</v>
      </c>
      <c r="Z355" s="5">
        <v>104640</v>
      </c>
      <c r="AA355" s="5">
        <v>4</v>
      </c>
      <c r="AB355" s="5" t="s">
        <v>85</v>
      </c>
      <c r="AC355" s="5">
        <v>1200</v>
      </c>
    </row>
    <row r="356" spans="1:29" x14ac:dyDescent="0.3">
      <c r="A356" s="34">
        <v>46274</v>
      </c>
      <c r="B356" s="34">
        <v>46274</v>
      </c>
      <c r="C356" s="5" t="s">
        <v>78</v>
      </c>
      <c r="D356" s="5" t="s">
        <v>79</v>
      </c>
      <c r="E356" s="5" t="s">
        <v>80</v>
      </c>
      <c r="F356" s="5">
        <v>757645</v>
      </c>
      <c r="G356" s="5" t="s">
        <v>1161</v>
      </c>
      <c r="H356" s="5" t="s">
        <v>12</v>
      </c>
      <c r="I356" s="5" t="s">
        <v>212</v>
      </c>
      <c r="N356" s="5" t="s">
        <v>1162</v>
      </c>
      <c r="O356" s="5">
        <v>1577</v>
      </c>
      <c r="P356" s="5">
        <v>1599.6</v>
      </c>
      <c r="Q356" s="5">
        <v>1572.8</v>
      </c>
      <c r="R356" s="5">
        <v>1580</v>
      </c>
      <c r="S356" s="5">
        <v>1580</v>
      </c>
      <c r="T356" s="5">
        <v>1578</v>
      </c>
      <c r="V356" s="5">
        <v>1580.15</v>
      </c>
      <c r="Y356" s="5">
        <v>1669212</v>
      </c>
      <c r="Z356" s="5">
        <v>2644486483.1999998</v>
      </c>
      <c r="AA356" s="5">
        <v>45790</v>
      </c>
      <c r="AB356" s="5" t="s">
        <v>85</v>
      </c>
      <c r="AC356" s="5">
        <v>1</v>
      </c>
    </row>
    <row r="357" spans="1:29" x14ac:dyDescent="0.3">
      <c r="A357" s="34">
        <v>46274</v>
      </c>
      <c r="B357" s="34">
        <v>46274</v>
      </c>
      <c r="C357" s="5" t="s">
        <v>78</v>
      </c>
      <c r="D357" s="5" t="s">
        <v>79</v>
      </c>
      <c r="E357" s="5" t="s">
        <v>80</v>
      </c>
      <c r="F357" s="5">
        <v>760953</v>
      </c>
      <c r="G357" s="5" t="s">
        <v>1163</v>
      </c>
      <c r="H357" s="5" t="s">
        <v>1164</v>
      </c>
      <c r="I357" s="5" t="s">
        <v>1165</v>
      </c>
      <c r="N357" s="5" t="s">
        <v>1166</v>
      </c>
      <c r="O357" s="5">
        <v>9.5500000000000007</v>
      </c>
      <c r="P357" s="5">
        <v>9.8000000000000007</v>
      </c>
      <c r="Q357" s="5">
        <v>9.26</v>
      </c>
      <c r="R357" s="5">
        <v>9.2799999999999994</v>
      </c>
      <c r="S357" s="5">
        <v>9.2799999999999994</v>
      </c>
      <c r="T357" s="5">
        <v>9.26</v>
      </c>
      <c r="V357" s="5">
        <v>9.2899999999999991</v>
      </c>
      <c r="Y357" s="5">
        <v>956</v>
      </c>
      <c r="Z357" s="5">
        <v>9039.6</v>
      </c>
      <c r="AA357" s="5">
        <v>17</v>
      </c>
      <c r="AB357" s="5" t="s">
        <v>85</v>
      </c>
      <c r="AC357" s="5">
        <v>1</v>
      </c>
    </row>
    <row r="358" spans="1:29" x14ac:dyDescent="0.3">
      <c r="A358" s="34">
        <v>46274</v>
      </c>
      <c r="B358" s="34">
        <v>46274</v>
      </c>
      <c r="C358" s="5" t="s">
        <v>78</v>
      </c>
      <c r="D358" s="5" t="s">
        <v>79</v>
      </c>
      <c r="E358" s="5" t="s">
        <v>80</v>
      </c>
      <c r="F358" s="5">
        <v>759007</v>
      </c>
      <c r="G358" s="5" t="s">
        <v>1167</v>
      </c>
      <c r="H358" s="5" t="s">
        <v>1168</v>
      </c>
      <c r="I358" s="5" t="s">
        <v>212</v>
      </c>
      <c r="N358" s="5" t="s">
        <v>1169</v>
      </c>
      <c r="O358" s="5">
        <v>1912</v>
      </c>
      <c r="P358" s="5">
        <v>1932.8</v>
      </c>
      <c r="Q358" s="5">
        <v>1831</v>
      </c>
      <c r="R358" s="5">
        <v>1848.7</v>
      </c>
      <c r="S358" s="5">
        <v>1850</v>
      </c>
      <c r="T358" s="5">
        <v>1922.3</v>
      </c>
      <c r="V358" s="5">
        <v>1848.59</v>
      </c>
      <c r="Y358" s="5">
        <v>103680</v>
      </c>
      <c r="Z358" s="5">
        <v>195294710.59999999</v>
      </c>
      <c r="AA358" s="5">
        <v>10569</v>
      </c>
      <c r="AB358" s="5" t="s">
        <v>85</v>
      </c>
      <c r="AC358" s="5">
        <v>1</v>
      </c>
    </row>
    <row r="359" spans="1:29" x14ac:dyDescent="0.3">
      <c r="A359" s="34">
        <v>46274</v>
      </c>
      <c r="B359" s="34">
        <v>46274</v>
      </c>
      <c r="C359" s="5" t="s">
        <v>78</v>
      </c>
      <c r="D359" s="5" t="s">
        <v>79</v>
      </c>
      <c r="E359" s="5" t="s">
        <v>80</v>
      </c>
      <c r="F359" s="5">
        <v>13585</v>
      </c>
      <c r="G359" s="5" t="s">
        <v>1170</v>
      </c>
      <c r="H359" s="5" t="s">
        <v>1171</v>
      </c>
      <c r="I359" s="5" t="s">
        <v>212</v>
      </c>
      <c r="N359" s="5" t="s">
        <v>1172</v>
      </c>
      <c r="O359" s="5">
        <v>38.49</v>
      </c>
      <c r="P359" s="5">
        <v>38.840000000000003</v>
      </c>
      <c r="Q359" s="5">
        <v>37.020000000000003</v>
      </c>
      <c r="R359" s="5">
        <v>38.11</v>
      </c>
      <c r="S359" s="5">
        <v>38.03</v>
      </c>
      <c r="T359" s="5">
        <v>38.299999999999997</v>
      </c>
      <c r="V359" s="5">
        <v>38.08</v>
      </c>
      <c r="Y359" s="5">
        <v>19942</v>
      </c>
      <c r="Z359" s="5">
        <v>759687.71</v>
      </c>
      <c r="AA359" s="5">
        <v>547</v>
      </c>
      <c r="AB359" s="5" t="s">
        <v>85</v>
      </c>
      <c r="AC359" s="5">
        <v>1</v>
      </c>
    </row>
    <row r="360" spans="1:29" x14ac:dyDescent="0.3">
      <c r="A360" s="34">
        <v>46274</v>
      </c>
      <c r="B360" s="34">
        <v>46274</v>
      </c>
      <c r="C360" s="5" t="s">
        <v>78</v>
      </c>
      <c r="D360" s="5" t="s">
        <v>79</v>
      </c>
      <c r="E360" s="5" t="s">
        <v>80</v>
      </c>
      <c r="F360" s="5">
        <v>4568</v>
      </c>
      <c r="G360" s="5" t="s">
        <v>1173</v>
      </c>
      <c r="H360" s="5" t="s">
        <v>1174</v>
      </c>
      <c r="I360" s="5" t="s">
        <v>212</v>
      </c>
      <c r="N360" s="5" t="s">
        <v>1175</v>
      </c>
      <c r="O360" s="5">
        <v>116</v>
      </c>
      <c r="P360" s="5">
        <v>116</v>
      </c>
      <c r="Q360" s="5">
        <v>105</v>
      </c>
      <c r="R360" s="5">
        <v>106.47</v>
      </c>
      <c r="S360" s="5">
        <v>105.51</v>
      </c>
      <c r="T360" s="5">
        <v>113.03</v>
      </c>
      <c r="V360" s="5">
        <v>106.56</v>
      </c>
      <c r="Y360" s="5">
        <v>180895</v>
      </c>
      <c r="Z360" s="5">
        <v>19993791.629999999</v>
      </c>
      <c r="AA360" s="5">
        <v>2554</v>
      </c>
      <c r="AB360" s="5" t="s">
        <v>85</v>
      </c>
      <c r="AC360" s="5">
        <v>1</v>
      </c>
    </row>
    <row r="361" spans="1:29" x14ac:dyDescent="0.3">
      <c r="A361" s="34">
        <v>46274</v>
      </c>
      <c r="B361" s="34">
        <v>46274</v>
      </c>
      <c r="C361" s="5" t="s">
        <v>78</v>
      </c>
      <c r="D361" s="5" t="s">
        <v>79</v>
      </c>
      <c r="E361" s="5" t="s">
        <v>80</v>
      </c>
      <c r="F361" s="5">
        <v>22785</v>
      </c>
      <c r="G361" s="5" t="s">
        <v>1176</v>
      </c>
      <c r="H361" s="5" t="s">
        <v>1177</v>
      </c>
      <c r="I361" s="5" t="s">
        <v>313</v>
      </c>
      <c r="N361" s="5" t="s">
        <v>1178</v>
      </c>
      <c r="O361" s="5">
        <v>132.05000000000001</v>
      </c>
      <c r="P361" s="5">
        <v>132.19999999999999</v>
      </c>
      <c r="Q361" s="5">
        <v>128</v>
      </c>
      <c r="R361" s="5">
        <v>130</v>
      </c>
      <c r="S361" s="5">
        <v>129</v>
      </c>
      <c r="T361" s="5">
        <v>132.69999999999999</v>
      </c>
      <c r="V361" s="5">
        <v>130</v>
      </c>
      <c r="Y361" s="5">
        <v>30400</v>
      </c>
      <c r="Z361" s="5">
        <v>3950260</v>
      </c>
      <c r="AA361" s="5">
        <v>66</v>
      </c>
      <c r="AB361" s="5" t="s">
        <v>85</v>
      </c>
      <c r="AC361" s="5">
        <v>400</v>
      </c>
    </row>
    <row r="362" spans="1:29" x14ac:dyDescent="0.3">
      <c r="A362" s="34">
        <v>46274</v>
      </c>
      <c r="B362" s="34">
        <v>46274</v>
      </c>
      <c r="C362" s="5" t="s">
        <v>78</v>
      </c>
      <c r="D362" s="5" t="s">
        <v>79</v>
      </c>
      <c r="E362" s="5" t="s">
        <v>80</v>
      </c>
      <c r="F362" s="5">
        <v>30023</v>
      </c>
      <c r="G362" s="5" t="s">
        <v>1179</v>
      </c>
      <c r="H362" s="5" t="s">
        <v>1180</v>
      </c>
      <c r="I362" s="5" t="s">
        <v>212</v>
      </c>
      <c r="N362" s="5" t="s">
        <v>1181</v>
      </c>
      <c r="O362" s="5">
        <v>458.3</v>
      </c>
      <c r="P362" s="5">
        <v>460</v>
      </c>
      <c r="Q362" s="5">
        <v>455</v>
      </c>
      <c r="R362" s="5">
        <v>456.1</v>
      </c>
      <c r="S362" s="5">
        <v>457</v>
      </c>
      <c r="T362" s="5">
        <v>458.9</v>
      </c>
      <c r="V362" s="5">
        <v>456.12</v>
      </c>
      <c r="Y362" s="5">
        <v>46298</v>
      </c>
      <c r="Z362" s="5">
        <v>21127210.5</v>
      </c>
      <c r="AA362" s="5">
        <v>2147</v>
      </c>
      <c r="AB362" s="5" t="s">
        <v>85</v>
      </c>
      <c r="AC362" s="5">
        <v>1</v>
      </c>
    </row>
    <row r="363" spans="1:29" x14ac:dyDescent="0.3">
      <c r="A363" s="34">
        <v>46274</v>
      </c>
      <c r="B363" s="34">
        <v>46274</v>
      </c>
      <c r="C363" s="5" t="s">
        <v>78</v>
      </c>
      <c r="D363" s="5" t="s">
        <v>79</v>
      </c>
      <c r="E363" s="5" t="s">
        <v>80</v>
      </c>
      <c r="F363" s="5">
        <v>263</v>
      </c>
      <c r="G363" s="5" t="s">
        <v>1182</v>
      </c>
      <c r="H363" s="5" t="s">
        <v>1183</v>
      </c>
      <c r="I363" s="5" t="s">
        <v>212</v>
      </c>
      <c r="N363" s="5" t="s">
        <v>1184</v>
      </c>
      <c r="O363" s="5">
        <v>6295</v>
      </c>
      <c r="P363" s="5">
        <v>6321.5</v>
      </c>
      <c r="Q363" s="5">
        <v>6203.5</v>
      </c>
      <c r="R363" s="5">
        <v>6221.5</v>
      </c>
      <c r="S363" s="5">
        <v>6233.5</v>
      </c>
      <c r="T363" s="5">
        <v>6314.5</v>
      </c>
      <c r="V363" s="5">
        <v>6221.42</v>
      </c>
      <c r="Y363" s="5">
        <v>18697</v>
      </c>
      <c r="Z363" s="5">
        <v>116983117.5</v>
      </c>
      <c r="AA363" s="5">
        <v>4306</v>
      </c>
      <c r="AB363" s="5" t="s">
        <v>85</v>
      </c>
      <c r="AC363" s="5">
        <v>1</v>
      </c>
    </row>
    <row r="364" spans="1:29" x14ac:dyDescent="0.3">
      <c r="A364" s="34">
        <v>46274</v>
      </c>
      <c r="B364" s="34">
        <v>46274</v>
      </c>
      <c r="C364" s="5" t="s">
        <v>78</v>
      </c>
      <c r="D364" s="5" t="s">
        <v>79</v>
      </c>
      <c r="E364" s="5" t="s">
        <v>80</v>
      </c>
      <c r="F364" s="5">
        <v>21238</v>
      </c>
      <c r="G364" s="5" t="s">
        <v>1185</v>
      </c>
      <c r="H364" s="5" t="s">
        <v>1186</v>
      </c>
      <c r="I364" s="5" t="s">
        <v>212</v>
      </c>
      <c r="N364" s="5" t="s">
        <v>1187</v>
      </c>
      <c r="O364" s="5">
        <v>1070.9000000000001</v>
      </c>
      <c r="P364" s="5">
        <v>1077.9000000000001</v>
      </c>
      <c r="Q364" s="5">
        <v>1060.5</v>
      </c>
      <c r="R364" s="5">
        <v>1060.5</v>
      </c>
      <c r="S364" s="5">
        <v>1060.5</v>
      </c>
      <c r="T364" s="5">
        <v>1073.7</v>
      </c>
      <c r="V364" s="5">
        <v>1060.5</v>
      </c>
      <c r="Y364" s="5">
        <v>1294481</v>
      </c>
      <c r="Z364" s="5">
        <v>1383303000.0999999</v>
      </c>
      <c r="AA364" s="5">
        <v>72887</v>
      </c>
      <c r="AB364" s="5" t="s">
        <v>85</v>
      </c>
      <c r="AC364" s="5">
        <v>1</v>
      </c>
    </row>
    <row r="365" spans="1:29" x14ac:dyDescent="0.3">
      <c r="A365" s="34">
        <v>46274</v>
      </c>
      <c r="B365" s="34">
        <v>46274</v>
      </c>
      <c r="C365" s="5" t="s">
        <v>78</v>
      </c>
      <c r="D365" s="5" t="s">
        <v>79</v>
      </c>
      <c r="E365" s="5" t="s">
        <v>80</v>
      </c>
      <c r="F365" s="5">
        <v>765451</v>
      </c>
      <c r="G365" s="5" t="s">
        <v>1188</v>
      </c>
      <c r="H365" s="5" t="s">
        <v>1189</v>
      </c>
      <c r="I365" s="5" t="s">
        <v>212</v>
      </c>
      <c r="N365" s="5" t="s">
        <v>1190</v>
      </c>
      <c r="O365" s="5">
        <v>885.5</v>
      </c>
      <c r="P365" s="5">
        <v>926.2</v>
      </c>
      <c r="Q365" s="5">
        <v>885.5</v>
      </c>
      <c r="R365" s="5">
        <v>895.3</v>
      </c>
      <c r="S365" s="5">
        <v>901.8</v>
      </c>
      <c r="T365" s="5">
        <v>893.4</v>
      </c>
      <c r="V365" s="5">
        <v>895.42</v>
      </c>
      <c r="Y365" s="5">
        <v>1284516</v>
      </c>
      <c r="Z365" s="5">
        <v>1166399084.3499999</v>
      </c>
      <c r="AA365" s="5">
        <v>46144</v>
      </c>
      <c r="AB365" s="5" t="s">
        <v>85</v>
      </c>
      <c r="AC365" s="5">
        <v>1</v>
      </c>
    </row>
    <row r="366" spans="1:29" x14ac:dyDescent="0.3">
      <c r="A366" s="34">
        <v>46274</v>
      </c>
      <c r="B366" s="34">
        <v>46274</v>
      </c>
      <c r="C366" s="5" t="s">
        <v>78</v>
      </c>
      <c r="D366" s="5" t="s">
        <v>79</v>
      </c>
      <c r="E366" s="5" t="s">
        <v>80</v>
      </c>
      <c r="F366" s="5">
        <v>12022</v>
      </c>
      <c r="G366" s="5" t="s">
        <v>1191</v>
      </c>
      <c r="H366" s="5" t="s">
        <v>13</v>
      </c>
      <c r="I366" s="5" t="s">
        <v>212</v>
      </c>
      <c r="N366" s="5" t="s">
        <v>1192</v>
      </c>
      <c r="O366" s="5">
        <v>676.5</v>
      </c>
      <c r="P366" s="5">
        <v>676.5</v>
      </c>
      <c r="Q366" s="5">
        <v>663</v>
      </c>
      <c r="R366" s="5">
        <v>664.95</v>
      </c>
      <c r="S366" s="5">
        <v>667.9</v>
      </c>
      <c r="T366" s="5">
        <v>672.1</v>
      </c>
      <c r="V366" s="5">
        <v>664.93</v>
      </c>
      <c r="Y366" s="5">
        <v>119925</v>
      </c>
      <c r="Z366" s="5">
        <v>80094348.299999997</v>
      </c>
      <c r="AA366" s="5">
        <v>7783</v>
      </c>
      <c r="AB366" s="5" t="s">
        <v>85</v>
      </c>
      <c r="AC366" s="5">
        <v>1</v>
      </c>
    </row>
    <row r="367" spans="1:29" x14ac:dyDescent="0.3">
      <c r="A367" s="34">
        <v>46274</v>
      </c>
      <c r="B367" s="34">
        <v>46274</v>
      </c>
      <c r="C367" s="5" t="s">
        <v>78</v>
      </c>
      <c r="D367" s="5" t="s">
        <v>79</v>
      </c>
      <c r="E367" s="5" t="s">
        <v>80</v>
      </c>
      <c r="F367" s="5">
        <v>15869</v>
      </c>
      <c r="G367" s="5" t="s">
        <v>1193</v>
      </c>
      <c r="H367" s="5" t="s">
        <v>1194</v>
      </c>
      <c r="I367" s="5" t="s">
        <v>313</v>
      </c>
      <c r="N367" s="5" t="s">
        <v>1195</v>
      </c>
      <c r="O367" s="5">
        <v>25.55</v>
      </c>
      <c r="P367" s="5">
        <v>25.55</v>
      </c>
      <c r="Q367" s="5">
        <v>25.3</v>
      </c>
      <c r="R367" s="5">
        <v>25.3</v>
      </c>
      <c r="S367" s="5">
        <v>25.35</v>
      </c>
      <c r="T367" s="5">
        <v>26.6</v>
      </c>
      <c r="V367" s="5">
        <v>25.3</v>
      </c>
      <c r="Y367" s="5">
        <v>14400</v>
      </c>
      <c r="Z367" s="5">
        <v>364800</v>
      </c>
      <c r="AA367" s="5">
        <v>9</v>
      </c>
      <c r="AB367" s="5" t="s">
        <v>85</v>
      </c>
      <c r="AC367" s="5">
        <v>1600</v>
      </c>
    </row>
    <row r="368" spans="1:29" x14ac:dyDescent="0.3">
      <c r="A368" s="34">
        <v>46274</v>
      </c>
      <c r="B368" s="34">
        <v>46274</v>
      </c>
      <c r="C368" s="5" t="s">
        <v>78</v>
      </c>
      <c r="D368" s="5" t="s">
        <v>79</v>
      </c>
      <c r="E368" s="5" t="s">
        <v>80</v>
      </c>
      <c r="F368" s="5">
        <v>275</v>
      </c>
      <c r="G368" s="5" t="s">
        <v>1196</v>
      </c>
      <c r="H368" s="5" t="s">
        <v>1197</v>
      </c>
      <c r="I368" s="5" t="s">
        <v>212</v>
      </c>
      <c r="N368" s="5" t="s">
        <v>1198</v>
      </c>
      <c r="O368" s="5">
        <v>1685</v>
      </c>
      <c r="P368" s="5">
        <v>1704</v>
      </c>
      <c r="Q368" s="5">
        <v>1672</v>
      </c>
      <c r="R368" s="5">
        <v>1698.9</v>
      </c>
      <c r="S368" s="5">
        <v>1698.9</v>
      </c>
      <c r="T368" s="5">
        <v>1692</v>
      </c>
      <c r="V368" s="5">
        <v>1698.88</v>
      </c>
      <c r="Y368" s="5">
        <v>600583</v>
      </c>
      <c r="Z368" s="5">
        <v>1010864275</v>
      </c>
      <c r="AA368" s="5">
        <v>36210</v>
      </c>
      <c r="AB368" s="5" t="s">
        <v>85</v>
      </c>
      <c r="AC368" s="5">
        <v>1</v>
      </c>
    </row>
    <row r="369" spans="1:29" x14ac:dyDescent="0.3">
      <c r="A369" s="34">
        <v>46274</v>
      </c>
      <c r="B369" s="34">
        <v>46274</v>
      </c>
      <c r="C369" s="5" t="s">
        <v>78</v>
      </c>
      <c r="D369" s="5" t="s">
        <v>79</v>
      </c>
      <c r="E369" s="5" t="s">
        <v>80</v>
      </c>
      <c r="F369" s="5">
        <v>10310</v>
      </c>
      <c r="G369" s="5" t="s">
        <v>1199</v>
      </c>
      <c r="H369" s="5" t="s">
        <v>1200</v>
      </c>
      <c r="I369" s="5" t="s">
        <v>212</v>
      </c>
      <c r="N369" s="5" t="s">
        <v>1201</v>
      </c>
      <c r="O369" s="5">
        <v>228.74</v>
      </c>
      <c r="P369" s="5">
        <v>228.75</v>
      </c>
      <c r="Q369" s="5">
        <v>218</v>
      </c>
      <c r="R369" s="5">
        <v>220.17</v>
      </c>
      <c r="S369" s="5">
        <v>218.55</v>
      </c>
      <c r="T369" s="5">
        <v>227.26</v>
      </c>
      <c r="V369" s="5">
        <v>220.17</v>
      </c>
      <c r="Y369" s="5">
        <v>140276</v>
      </c>
      <c r="Z369" s="5">
        <v>31140460.030000001</v>
      </c>
      <c r="AA369" s="5">
        <v>2207</v>
      </c>
      <c r="AB369" s="5" t="s">
        <v>85</v>
      </c>
      <c r="AC369" s="5">
        <v>1</v>
      </c>
    </row>
    <row r="370" spans="1:29" x14ac:dyDescent="0.3">
      <c r="A370" s="34">
        <v>46274</v>
      </c>
      <c r="B370" s="34">
        <v>46274</v>
      </c>
      <c r="C370" s="5" t="s">
        <v>78</v>
      </c>
      <c r="D370" s="5" t="s">
        <v>79</v>
      </c>
      <c r="E370" s="5" t="s">
        <v>80</v>
      </c>
      <c r="F370" s="5">
        <v>31468</v>
      </c>
      <c r="G370" s="5" t="s">
        <v>1202</v>
      </c>
      <c r="H370" s="5" t="s">
        <v>1203</v>
      </c>
      <c r="I370" s="5" t="s">
        <v>212</v>
      </c>
      <c r="N370" s="5" t="s">
        <v>1204</v>
      </c>
      <c r="O370" s="5">
        <v>4.78</v>
      </c>
      <c r="P370" s="5">
        <v>4.97</v>
      </c>
      <c r="Q370" s="5">
        <v>4.78</v>
      </c>
      <c r="R370" s="5">
        <v>4.93</v>
      </c>
      <c r="S370" s="5">
        <v>4.97</v>
      </c>
      <c r="T370" s="5">
        <v>4.78</v>
      </c>
      <c r="V370" s="5">
        <v>4.93</v>
      </c>
      <c r="Y370" s="5">
        <v>26280</v>
      </c>
      <c r="Z370" s="5">
        <v>129328.68</v>
      </c>
      <c r="AA370" s="5">
        <v>318</v>
      </c>
      <c r="AB370" s="5" t="s">
        <v>85</v>
      </c>
      <c r="AC370" s="5">
        <v>1</v>
      </c>
    </row>
    <row r="371" spans="1:29" x14ac:dyDescent="0.3">
      <c r="A371" s="34">
        <v>46274</v>
      </c>
      <c r="B371" s="34">
        <v>46274</v>
      </c>
      <c r="C371" s="5" t="s">
        <v>78</v>
      </c>
      <c r="D371" s="5" t="s">
        <v>79</v>
      </c>
      <c r="E371" s="5" t="s">
        <v>80</v>
      </c>
      <c r="F371" s="5">
        <v>4037</v>
      </c>
      <c r="G371" s="5" t="s">
        <v>1205</v>
      </c>
      <c r="H371" s="5" t="s">
        <v>1206</v>
      </c>
      <c r="I371" s="5" t="s">
        <v>212</v>
      </c>
      <c r="N371" s="5" t="s">
        <v>1207</v>
      </c>
      <c r="O371" s="5">
        <v>154.01</v>
      </c>
      <c r="P371" s="5">
        <v>155.94999999999999</v>
      </c>
      <c r="Q371" s="5">
        <v>153.19999999999999</v>
      </c>
      <c r="R371" s="5">
        <v>154.19</v>
      </c>
      <c r="S371" s="5">
        <v>154.99</v>
      </c>
      <c r="T371" s="5">
        <v>155.86000000000001</v>
      </c>
      <c r="V371" s="5">
        <v>154.33000000000001</v>
      </c>
      <c r="Y371" s="5">
        <v>1211</v>
      </c>
      <c r="Z371" s="5">
        <v>186950.03</v>
      </c>
      <c r="AA371" s="5">
        <v>56</v>
      </c>
      <c r="AB371" s="5" t="s">
        <v>85</v>
      </c>
      <c r="AC371" s="5">
        <v>1</v>
      </c>
    </row>
    <row r="372" spans="1:29" x14ac:dyDescent="0.3">
      <c r="A372" s="34">
        <v>46274</v>
      </c>
      <c r="B372" s="34">
        <v>46274</v>
      </c>
      <c r="C372" s="5" t="s">
        <v>78</v>
      </c>
      <c r="D372" s="5" t="s">
        <v>79</v>
      </c>
      <c r="E372" s="5" t="s">
        <v>80</v>
      </c>
      <c r="F372" s="5">
        <v>764608</v>
      </c>
      <c r="G372" s="5" t="s">
        <v>1208</v>
      </c>
      <c r="H372" s="5" t="s">
        <v>1209</v>
      </c>
      <c r="I372" s="5" t="s">
        <v>212</v>
      </c>
      <c r="N372" s="5" t="s">
        <v>1210</v>
      </c>
      <c r="O372" s="5">
        <v>125.95</v>
      </c>
      <c r="P372" s="5">
        <v>125.95</v>
      </c>
      <c r="Q372" s="5">
        <v>118</v>
      </c>
      <c r="R372" s="5">
        <v>122.95</v>
      </c>
      <c r="S372" s="5">
        <v>122.96</v>
      </c>
      <c r="T372" s="5">
        <v>121.41</v>
      </c>
      <c r="V372" s="5">
        <v>122.97</v>
      </c>
      <c r="Y372" s="5">
        <v>1041</v>
      </c>
      <c r="Z372" s="5">
        <v>126991.21</v>
      </c>
      <c r="AA372" s="5">
        <v>38</v>
      </c>
      <c r="AB372" s="5" t="s">
        <v>85</v>
      </c>
      <c r="AC372" s="5">
        <v>1</v>
      </c>
    </row>
    <row r="373" spans="1:29" x14ac:dyDescent="0.3">
      <c r="A373" s="34">
        <v>46274</v>
      </c>
      <c r="B373" s="34">
        <v>46274</v>
      </c>
      <c r="C373" s="5" t="s">
        <v>78</v>
      </c>
      <c r="D373" s="5" t="s">
        <v>79</v>
      </c>
      <c r="E373" s="5" t="s">
        <v>80</v>
      </c>
      <c r="F373" s="5">
        <v>21451</v>
      </c>
      <c r="G373" s="5" t="s">
        <v>1211</v>
      </c>
      <c r="H373" s="5" t="s">
        <v>1212</v>
      </c>
      <c r="I373" s="5" t="s">
        <v>313</v>
      </c>
      <c r="N373" s="5" t="s">
        <v>1213</v>
      </c>
      <c r="O373" s="5">
        <v>257.89999999999998</v>
      </c>
      <c r="P373" s="5">
        <v>257.89999999999998</v>
      </c>
      <c r="Q373" s="5">
        <v>246.9</v>
      </c>
      <c r="R373" s="5">
        <v>246.9</v>
      </c>
      <c r="S373" s="5">
        <v>246.9</v>
      </c>
      <c r="T373" s="5">
        <v>250.6</v>
      </c>
      <c r="V373" s="5">
        <v>246.9</v>
      </c>
      <c r="Y373" s="5">
        <v>15000</v>
      </c>
      <c r="Z373" s="5">
        <v>3753712.5</v>
      </c>
      <c r="AA373" s="5">
        <v>59</v>
      </c>
      <c r="AB373" s="5" t="s">
        <v>85</v>
      </c>
      <c r="AC373" s="5">
        <v>250</v>
      </c>
    </row>
    <row r="374" spans="1:29" x14ac:dyDescent="0.3">
      <c r="A374" s="34">
        <v>46274</v>
      </c>
      <c r="B374" s="34">
        <v>46274</v>
      </c>
      <c r="C374" s="5" t="s">
        <v>78</v>
      </c>
      <c r="D374" s="5" t="s">
        <v>79</v>
      </c>
      <c r="E374" s="5" t="s">
        <v>80</v>
      </c>
      <c r="F374" s="5">
        <v>23553</v>
      </c>
      <c r="G374" s="5" t="s">
        <v>1214</v>
      </c>
      <c r="H374" s="5" t="s">
        <v>1215</v>
      </c>
      <c r="I374" s="5" t="s">
        <v>212</v>
      </c>
      <c r="N374" s="5" t="s">
        <v>1216</v>
      </c>
      <c r="O374" s="5">
        <v>524.5</v>
      </c>
      <c r="P374" s="5">
        <v>524.65</v>
      </c>
      <c r="Q374" s="5">
        <v>512</v>
      </c>
      <c r="R374" s="5">
        <v>513.95000000000005</v>
      </c>
      <c r="S374" s="5">
        <v>514.95000000000005</v>
      </c>
      <c r="T374" s="5">
        <v>526.20000000000005</v>
      </c>
      <c r="V374" s="5">
        <v>514.02</v>
      </c>
      <c r="Y374" s="5">
        <v>100734</v>
      </c>
      <c r="Z374" s="5">
        <v>52034006.299999997</v>
      </c>
      <c r="AA374" s="5">
        <v>7738</v>
      </c>
      <c r="AB374" s="5" t="s">
        <v>85</v>
      </c>
      <c r="AC374" s="5">
        <v>1</v>
      </c>
    </row>
    <row r="375" spans="1:29" x14ac:dyDescent="0.3">
      <c r="A375" s="34">
        <v>46274</v>
      </c>
      <c r="B375" s="34">
        <v>46274</v>
      </c>
      <c r="C375" s="5" t="s">
        <v>78</v>
      </c>
      <c r="D375" s="5" t="s">
        <v>79</v>
      </c>
      <c r="E375" s="5" t="s">
        <v>80</v>
      </c>
      <c r="F375" s="5">
        <v>14106</v>
      </c>
      <c r="G375" s="5" t="s">
        <v>1217</v>
      </c>
      <c r="H375" s="5" t="s">
        <v>1218</v>
      </c>
      <c r="I375" s="5" t="s">
        <v>212</v>
      </c>
      <c r="N375" s="5" t="s">
        <v>1219</v>
      </c>
      <c r="O375" s="5">
        <v>87.03</v>
      </c>
      <c r="P375" s="5">
        <v>87.03</v>
      </c>
      <c r="Q375" s="5">
        <v>85.2</v>
      </c>
      <c r="R375" s="5">
        <v>86.11</v>
      </c>
      <c r="S375" s="5">
        <v>85.9</v>
      </c>
      <c r="T375" s="5">
        <v>87.03</v>
      </c>
      <c r="V375" s="5">
        <v>86.09</v>
      </c>
      <c r="Y375" s="5">
        <v>109051</v>
      </c>
      <c r="Z375" s="5">
        <v>9401740.5800000001</v>
      </c>
      <c r="AA375" s="5">
        <v>1638</v>
      </c>
      <c r="AB375" s="5" t="s">
        <v>85</v>
      </c>
      <c r="AC375" s="5">
        <v>1</v>
      </c>
    </row>
    <row r="376" spans="1:29" x14ac:dyDescent="0.3">
      <c r="A376" s="34">
        <v>46274</v>
      </c>
      <c r="B376" s="34">
        <v>46274</v>
      </c>
      <c r="C376" s="5" t="s">
        <v>78</v>
      </c>
      <c r="D376" s="5" t="s">
        <v>79</v>
      </c>
      <c r="E376" s="5" t="s">
        <v>80</v>
      </c>
      <c r="F376" s="5">
        <v>764558</v>
      </c>
      <c r="G376" s="5" t="s">
        <v>1220</v>
      </c>
      <c r="H376" s="5" t="s">
        <v>1221</v>
      </c>
      <c r="I376" s="5" t="s">
        <v>212</v>
      </c>
      <c r="N376" s="5" t="s">
        <v>1222</v>
      </c>
      <c r="O376" s="5">
        <v>1780.5</v>
      </c>
      <c r="P376" s="5">
        <v>1799.8</v>
      </c>
      <c r="Q376" s="5">
        <v>1760.1</v>
      </c>
      <c r="R376" s="5">
        <v>1795.1</v>
      </c>
      <c r="S376" s="5">
        <v>1795.9</v>
      </c>
      <c r="T376" s="5">
        <v>1780.5</v>
      </c>
      <c r="V376" s="5">
        <v>1795.04</v>
      </c>
      <c r="Y376" s="5">
        <v>393</v>
      </c>
      <c r="Z376" s="5">
        <v>700953.9</v>
      </c>
      <c r="AA376" s="5">
        <v>88</v>
      </c>
      <c r="AB376" s="5" t="s">
        <v>85</v>
      </c>
      <c r="AC376" s="5">
        <v>1</v>
      </c>
    </row>
    <row r="377" spans="1:29" x14ac:dyDescent="0.3">
      <c r="A377" s="34">
        <v>46274</v>
      </c>
      <c r="B377" s="34">
        <v>46274</v>
      </c>
      <c r="C377" s="5" t="s">
        <v>78</v>
      </c>
      <c r="D377" s="5" t="s">
        <v>79</v>
      </c>
      <c r="E377" s="5" t="s">
        <v>80</v>
      </c>
      <c r="F377" s="5">
        <v>278</v>
      </c>
      <c r="G377" s="5" t="s">
        <v>1223</v>
      </c>
      <c r="H377" s="5" t="s">
        <v>1224</v>
      </c>
      <c r="I377" s="5" t="s">
        <v>212</v>
      </c>
      <c r="N377" s="5" t="s">
        <v>1225</v>
      </c>
      <c r="O377" s="5">
        <v>1666</v>
      </c>
      <c r="P377" s="5">
        <v>1667.9</v>
      </c>
      <c r="Q377" s="5">
        <v>1652</v>
      </c>
      <c r="R377" s="5">
        <v>1658.5</v>
      </c>
      <c r="S377" s="5">
        <v>1656.2</v>
      </c>
      <c r="T377" s="5">
        <v>1664.4</v>
      </c>
      <c r="V377" s="5">
        <v>1658.39</v>
      </c>
      <c r="Y377" s="5">
        <v>3945</v>
      </c>
      <c r="Z377" s="5">
        <v>6556218.2999999998</v>
      </c>
      <c r="AA377" s="5">
        <v>506</v>
      </c>
      <c r="AB377" s="5" t="s">
        <v>85</v>
      </c>
      <c r="AC377" s="5">
        <v>1</v>
      </c>
    </row>
    <row r="378" spans="1:29" x14ac:dyDescent="0.3">
      <c r="A378" s="34">
        <v>46274</v>
      </c>
      <c r="B378" s="34">
        <v>46274</v>
      </c>
      <c r="C378" s="5" t="s">
        <v>78</v>
      </c>
      <c r="D378" s="5" t="s">
        <v>79</v>
      </c>
      <c r="E378" s="5" t="s">
        <v>80</v>
      </c>
      <c r="F378" s="5">
        <v>10634</v>
      </c>
      <c r="G378" s="5" t="s">
        <v>1226</v>
      </c>
      <c r="H378" s="5" t="s">
        <v>1227</v>
      </c>
      <c r="I378" s="5" t="s">
        <v>212</v>
      </c>
      <c r="N378" s="5" t="s">
        <v>1228</v>
      </c>
      <c r="O378" s="5">
        <v>463</v>
      </c>
      <c r="P378" s="5">
        <v>477.95</v>
      </c>
      <c r="Q378" s="5">
        <v>463</v>
      </c>
      <c r="R378" s="5">
        <v>468.3</v>
      </c>
      <c r="S378" s="5">
        <v>467.2</v>
      </c>
      <c r="T378" s="5">
        <v>468.45</v>
      </c>
      <c r="V378" s="5">
        <v>468.28</v>
      </c>
      <c r="Y378" s="5">
        <v>9447</v>
      </c>
      <c r="Z378" s="5">
        <v>4444593.25</v>
      </c>
      <c r="AA378" s="5">
        <v>544</v>
      </c>
      <c r="AB378" s="5" t="s">
        <v>85</v>
      </c>
      <c r="AC378" s="5">
        <v>1</v>
      </c>
    </row>
    <row r="379" spans="1:29" x14ac:dyDescent="0.3">
      <c r="A379" s="34">
        <v>46274</v>
      </c>
      <c r="B379" s="34">
        <v>46274</v>
      </c>
      <c r="C379" s="5" t="s">
        <v>78</v>
      </c>
      <c r="D379" s="5" t="s">
        <v>79</v>
      </c>
      <c r="E379" s="5" t="s">
        <v>80</v>
      </c>
      <c r="F379" s="5">
        <v>21406</v>
      </c>
      <c r="G379" s="5" t="s">
        <v>1229</v>
      </c>
      <c r="H379" s="5" t="s">
        <v>1230</v>
      </c>
      <c r="I379" s="5" t="s">
        <v>212</v>
      </c>
      <c r="N379" s="5" t="s">
        <v>1231</v>
      </c>
      <c r="O379" s="5">
        <v>842.9</v>
      </c>
      <c r="P379" s="5">
        <v>843</v>
      </c>
      <c r="Q379" s="5">
        <v>805</v>
      </c>
      <c r="R379" s="5">
        <v>822.3</v>
      </c>
      <c r="S379" s="5">
        <v>824</v>
      </c>
      <c r="T379" s="5">
        <v>836.25</v>
      </c>
      <c r="V379" s="5">
        <v>822.3</v>
      </c>
      <c r="Y379" s="5">
        <v>118788</v>
      </c>
      <c r="Z379" s="5">
        <v>97277372.799999997</v>
      </c>
      <c r="AA379" s="5">
        <v>3993</v>
      </c>
      <c r="AB379" s="5" t="s">
        <v>85</v>
      </c>
      <c r="AC379" s="5">
        <v>1</v>
      </c>
    </row>
    <row r="380" spans="1:29" x14ac:dyDescent="0.3">
      <c r="A380" s="34">
        <v>46274</v>
      </c>
      <c r="B380" s="34">
        <v>46274</v>
      </c>
      <c r="C380" s="5" t="s">
        <v>78</v>
      </c>
      <c r="D380" s="5" t="s">
        <v>79</v>
      </c>
      <c r="E380" s="5" t="s">
        <v>80</v>
      </c>
      <c r="F380" s="5">
        <v>15058</v>
      </c>
      <c r="G380" s="5" t="s">
        <v>1232</v>
      </c>
      <c r="H380" s="5" t="s">
        <v>14</v>
      </c>
      <c r="I380" s="5" t="s">
        <v>212</v>
      </c>
      <c r="N380" s="5" t="s">
        <v>1233</v>
      </c>
      <c r="O380" s="5">
        <v>2290</v>
      </c>
      <c r="P380" s="5">
        <v>2334</v>
      </c>
      <c r="Q380" s="5">
        <v>2267</v>
      </c>
      <c r="R380" s="5">
        <v>2293.6</v>
      </c>
      <c r="S380" s="5">
        <v>2284.1</v>
      </c>
      <c r="T380" s="5">
        <v>2290.3000000000002</v>
      </c>
      <c r="V380" s="5">
        <v>2293.5500000000002</v>
      </c>
      <c r="Y380" s="5">
        <v>206983</v>
      </c>
      <c r="Z380" s="5">
        <v>474729105.5</v>
      </c>
      <c r="AA380" s="5">
        <v>27428</v>
      </c>
      <c r="AB380" s="5" t="s">
        <v>85</v>
      </c>
      <c r="AC380" s="5">
        <v>1</v>
      </c>
    </row>
    <row r="381" spans="1:29" x14ac:dyDescent="0.3">
      <c r="A381" s="34">
        <v>46274</v>
      </c>
      <c r="B381" s="34">
        <v>46274</v>
      </c>
      <c r="C381" s="5" t="s">
        <v>78</v>
      </c>
      <c r="D381" s="5" t="s">
        <v>79</v>
      </c>
      <c r="E381" s="5" t="s">
        <v>80</v>
      </c>
      <c r="F381" s="5">
        <v>760736</v>
      </c>
      <c r="G381" s="5" t="s">
        <v>1234</v>
      </c>
      <c r="H381" s="5" t="s">
        <v>1235</v>
      </c>
      <c r="I381" s="5" t="s">
        <v>392</v>
      </c>
      <c r="N381" s="5" t="s">
        <v>1236</v>
      </c>
      <c r="O381" s="5">
        <v>148</v>
      </c>
      <c r="P381" s="5">
        <v>152.80000000000001</v>
      </c>
      <c r="Q381" s="5">
        <v>145</v>
      </c>
      <c r="R381" s="5">
        <v>145.25</v>
      </c>
      <c r="S381" s="5">
        <v>145</v>
      </c>
      <c r="T381" s="5">
        <v>148.6</v>
      </c>
      <c r="V381" s="5">
        <v>145.25</v>
      </c>
      <c r="Y381" s="5">
        <v>20000</v>
      </c>
      <c r="Z381" s="5">
        <v>2961500</v>
      </c>
      <c r="AA381" s="5">
        <v>10</v>
      </c>
      <c r="AB381" s="5" t="s">
        <v>85</v>
      </c>
      <c r="AC381" s="5">
        <v>2000</v>
      </c>
    </row>
    <row r="382" spans="1:29" x14ac:dyDescent="0.3">
      <c r="A382" s="34">
        <v>46274</v>
      </c>
      <c r="B382" s="34">
        <v>46274</v>
      </c>
      <c r="C382" s="5" t="s">
        <v>78</v>
      </c>
      <c r="D382" s="5" t="s">
        <v>79</v>
      </c>
      <c r="E382" s="5" t="s">
        <v>80</v>
      </c>
      <c r="F382" s="5">
        <v>765030</v>
      </c>
      <c r="G382" s="5" t="s">
        <v>1237</v>
      </c>
      <c r="H382" s="5" t="s">
        <v>1238</v>
      </c>
      <c r="I382" s="5" t="s">
        <v>212</v>
      </c>
      <c r="N382" s="5" t="s">
        <v>1239</v>
      </c>
      <c r="O382" s="5">
        <v>0.83</v>
      </c>
      <c r="P382" s="5">
        <v>0.85</v>
      </c>
      <c r="Q382" s="5">
        <v>0.82</v>
      </c>
      <c r="R382" s="5">
        <v>0.82</v>
      </c>
      <c r="S382" s="5">
        <v>0.83</v>
      </c>
      <c r="T382" s="5">
        <v>0.84</v>
      </c>
      <c r="V382" s="5">
        <v>0.83</v>
      </c>
      <c r="Y382" s="5">
        <v>4345874</v>
      </c>
      <c r="Z382" s="5">
        <v>3637807.33</v>
      </c>
      <c r="AA382" s="5">
        <v>1276</v>
      </c>
      <c r="AB382" s="5" t="s">
        <v>85</v>
      </c>
      <c r="AC382" s="5">
        <v>1</v>
      </c>
    </row>
    <row r="383" spans="1:29" x14ac:dyDescent="0.3">
      <c r="A383" s="34">
        <v>46274</v>
      </c>
      <c r="B383" s="34">
        <v>46274</v>
      </c>
      <c r="C383" s="5" t="s">
        <v>78</v>
      </c>
      <c r="D383" s="5" t="s">
        <v>79</v>
      </c>
      <c r="E383" s="5" t="s">
        <v>80</v>
      </c>
      <c r="F383" s="5">
        <v>24610</v>
      </c>
      <c r="G383" s="5" t="s">
        <v>1240</v>
      </c>
      <c r="H383" s="5" t="s">
        <v>1241</v>
      </c>
      <c r="I383" s="5" t="s">
        <v>212</v>
      </c>
      <c r="N383" s="5" t="s">
        <v>1242</v>
      </c>
      <c r="O383" s="5">
        <v>156.49</v>
      </c>
      <c r="P383" s="5">
        <v>162</v>
      </c>
      <c r="Q383" s="5">
        <v>156.49</v>
      </c>
      <c r="R383" s="5">
        <v>160.6</v>
      </c>
      <c r="S383" s="5">
        <v>160.01</v>
      </c>
      <c r="T383" s="5">
        <v>156.44</v>
      </c>
      <c r="V383" s="5">
        <v>160.63</v>
      </c>
      <c r="Y383" s="5">
        <v>1405773</v>
      </c>
      <c r="Z383" s="5">
        <v>224464256.31</v>
      </c>
      <c r="AA383" s="5">
        <v>15177</v>
      </c>
      <c r="AB383" s="5" t="s">
        <v>85</v>
      </c>
      <c r="AC383" s="5">
        <v>1</v>
      </c>
    </row>
    <row r="384" spans="1:29" x14ac:dyDescent="0.3">
      <c r="A384" s="34">
        <v>46274</v>
      </c>
      <c r="B384" s="34">
        <v>46274</v>
      </c>
      <c r="C384" s="5" t="s">
        <v>78</v>
      </c>
      <c r="D384" s="5" t="s">
        <v>79</v>
      </c>
      <c r="E384" s="5" t="s">
        <v>80</v>
      </c>
      <c r="F384" s="5">
        <v>7936</v>
      </c>
      <c r="G384" s="5" t="s">
        <v>1243</v>
      </c>
      <c r="H384" s="5" t="s">
        <v>1244</v>
      </c>
      <c r="I384" s="5" t="s">
        <v>212</v>
      </c>
      <c r="N384" s="5" t="s">
        <v>1245</v>
      </c>
      <c r="O384" s="5">
        <v>842</v>
      </c>
      <c r="P384" s="5">
        <v>842</v>
      </c>
      <c r="Q384" s="5">
        <v>803.55</v>
      </c>
      <c r="R384" s="5">
        <v>807.15</v>
      </c>
      <c r="S384" s="5">
        <v>806</v>
      </c>
      <c r="T384" s="5">
        <v>837.15</v>
      </c>
      <c r="V384" s="5">
        <v>807.17</v>
      </c>
      <c r="Y384" s="5">
        <v>414240</v>
      </c>
      <c r="Z384" s="5">
        <v>336770551.60000002</v>
      </c>
      <c r="AA384" s="5">
        <v>19122</v>
      </c>
      <c r="AB384" s="5" t="s">
        <v>85</v>
      </c>
      <c r="AC384" s="5">
        <v>1</v>
      </c>
    </row>
    <row r="385" spans="1:29" x14ac:dyDescent="0.3">
      <c r="A385" s="34">
        <v>46274</v>
      </c>
      <c r="B385" s="34">
        <v>46274</v>
      </c>
      <c r="C385" s="5" t="s">
        <v>78</v>
      </c>
      <c r="D385" s="5" t="s">
        <v>79</v>
      </c>
      <c r="E385" s="5" t="s">
        <v>80</v>
      </c>
      <c r="F385" s="5">
        <v>19913</v>
      </c>
      <c r="G385" s="5" t="s">
        <v>1246</v>
      </c>
      <c r="H385" s="5" t="s">
        <v>1247</v>
      </c>
      <c r="I385" s="5" t="s">
        <v>212</v>
      </c>
      <c r="N385" s="5" t="s">
        <v>1248</v>
      </c>
      <c r="O385" s="5">
        <v>3710</v>
      </c>
      <c r="P385" s="5">
        <v>3750</v>
      </c>
      <c r="Q385" s="5">
        <v>3705</v>
      </c>
      <c r="R385" s="5">
        <v>3735</v>
      </c>
      <c r="S385" s="5">
        <v>3735</v>
      </c>
      <c r="T385" s="5">
        <v>3720.2</v>
      </c>
      <c r="V385" s="5">
        <v>3734.98</v>
      </c>
      <c r="Y385" s="5">
        <v>183727</v>
      </c>
      <c r="Z385" s="5">
        <v>684622046.39999998</v>
      </c>
      <c r="AA385" s="5">
        <v>17928</v>
      </c>
      <c r="AB385" s="5" t="s">
        <v>85</v>
      </c>
      <c r="AC385" s="5">
        <v>1</v>
      </c>
    </row>
    <row r="386" spans="1:29" x14ac:dyDescent="0.3">
      <c r="A386" s="34">
        <v>46274</v>
      </c>
      <c r="B386" s="34">
        <v>46274</v>
      </c>
      <c r="C386" s="5" t="s">
        <v>78</v>
      </c>
      <c r="D386" s="5" t="s">
        <v>79</v>
      </c>
      <c r="E386" s="5" t="s">
        <v>80</v>
      </c>
      <c r="F386" s="5">
        <v>16249</v>
      </c>
      <c r="G386" s="5" t="s">
        <v>1249</v>
      </c>
      <c r="H386" s="5" t="s">
        <v>1250</v>
      </c>
      <c r="I386" s="5" t="s">
        <v>212</v>
      </c>
      <c r="N386" s="5" t="s">
        <v>1251</v>
      </c>
      <c r="O386" s="5">
        <v>15.33</v>
      </c>
      <c r="P386" s="5">
        <v>15.6</v>
      </c>
      <c r="Q386" s="5">
        <v>15.2</v>
      </c>
      <c r="R386" s="5">
        <v>15.41</v>
      </c>
      <c r="S386" s="5">
        <v>15.36</v>
      </c>
      <c r="T386" s="5">
        <v>15.36</v>
      </c>
      <c r="V386" s="5">
        <v>15.41</v>
      </c>
      <c r="Y386" s="5">
        <v>7132901</v>
      </c>
      <c r="Z386" s="5">
        <v>109682440.62</v>
      </c>
      <c r="AA386" s="5">
        <v>9892</v>
      </c>
      <c r="AB386" s="5" t="s">
        <v>85</v>
      </c>
      <c r="AC386" s="5">
        <v>1</v>
      </c>
    </row>
    <row r="387" spans="1:29" x14ac:dyDescent="0.3">
      <c r="A387" s="34">
        <v>46274</v>
      </c>
      <c r="B387" s="34">
        <v>46274</v>
      </c>
      <c r="C387" s="5" t="s">
        <v>78</v>
      </c>
      <c r="D387" s="5" t="s">
        <v>79</v>
      </c>
      <c r="E387" s="5" t="s">
        <v>80</v>
      </c>
      <c r="F387" s="5">
        <v>15638</v>
      </c>
      <c r="G387" s="5" t="s">
        <v>1252</v>
      </c>
      <c r="H387" s="5" t="s">
        <v>1253</v>
      </c>
      <c r="I387" s="5" t="s">
        <v>234</v>
      </c>
      <c r="N387" s="5" t="s">
        <v>1254</v>
      </c>
      <c r="O387" s="5">
        <v>166.39</v>
      </c>
      <c r="P387" s="5">
        <v>173.84</v>
      </c>
      <c r="Q387" s="5">
        <v>163.9</v>
      </c>
      <c r="R387" s="5">
        <v>173.8</v>
      </c>
      <c r="S387" s="5">
        <v>173.84</v>
      </c>
      <c r="T387" s="5">
        <v>165.57</v>
      </c>
      <c r="V387" s="5">
        <v>173.78</v>
      </c>
      <c r="Y387" s="5">
        <v>20849</v>
      </c>
      <c r="Z387" s="5">
        <v>3525273.34</v>
      </c>
      <c r="AA387" s="5">
        <v>155</v>
      </c>
      <c r="AB387" s="5" t="s">
        <v>85</v>
      </c>
      <c r="AC387" s="5">
        <v>1</v>
      </c>
    </row>
    <row r="388" spans="1:29" x14ac:dyDescent="0.3">
      <c r="A388" s="34">
        <v>46274</v>
      </c>
      <c r="B388" s="34">
        <v>46274</v>
      </c>
      <c r="C388" s="5" t="s">
        <v>78</v>
      </c>
      <c r="D388" s="5" t="s">
        <v>79</v>
      </c>
      <c r="E388" s="5" t="s">
        <v>80</v>
      </c>
      <c r="F388" s="5">
        <v>25520</v>
      </c>
      <c r="G388" s="5" t="s">
        <v>1255</v>
      </c>
      <c r="H388" s="5" t="s">
        <v>1256</v>
      </c>
      <c r="I388" s="5" t="s">
        <v>313</v>
      </c>
      <c r="N388" s="5" t="s">
        <v>1257</v>
      </c>
      <c r="O388" s="5">
        <v>101.05</v>
      </c>
      <c r="P388" s="5">
        <v>101.05</v>
      </c>
      <c r="Q388" s="5">
        <v>99</v>
      </c>
      <c r="R388" s="5">
        <v>99.65</v>
      </c>
      <c r="S388" s="5">
        <v>100</v>
      </c>
      <c r="T388" s="5">
        <v>103.5</v>
      </c>
      <c r="V388" s="5">
        <v>99.65</v>
      </c>
      <c r="Y388" s="5">
        <v>8000</v>
      </c>
      <c r="Z388" s="5">
        <v>801550</v>
      </c>
      <c r="AA388" s="5">
        <v>8</v>
      </c>
      <c r="AB388" s="5" t="s">
        <v>85</v>
      </c>
      <c r="AC388" s="5">
        <v>1000</v>
      </c>
    </row>
    <row r="389" spans="1:29" x14ac:dyDescent="0.3">
      <c r="A389" s="34">
        <v>46274</v>
      </c>
      <c r="B389" s="34">
        <v>46274</v>
      </c>
      <c r="C389" s="5" t="s">
        <v>78</v>
      </c>
      <c r="D389" s="5" t="s">
        <v>79</v>
      </c>
      <c r="E389" s="5" t="s">
        <v>80</v>
      </c>
      <c r="F389" s="5">
        <v>755092</v>
      </c>
      <c r="G389" s="5" t="s">
        <v>1258</v>
      </c>
      <c r="H389" s="5" t="s">
        <v>1259</v>
      </c>
      <c r="I389" s="5" t="s">
        <v>313</v>
      </c>
      <c r="N389" s="5" t="s">
        <v>1260</v>
      </c>
      <c r="O389" s="5">
        <v>302</v>
      </c>
      <c r="P389" s="5">
        <v>343.9</v>
      </c>
      <c r="Q389" s="5">
        <v>302</v>
      </c>
      <c r="R389" s="5">
        <v>336.35</v>
      </c>
      <c r="S389" s="5">
        <v>340</v>
      </c>
      <c r="T389" s="5">
        <v>292.5</v>
      </c>
      <c r="V389" s="5">
        <v>336.35</v>
      </c>
      <c r="Y389" s="5">
        <v>106200</v>
      </c>
      <c r="Z389" s="5">
        <v>34547070</v>
      </c>
      <c r="AA389" s="5">
        <v>155</v>
      </c>
      <c r="AB389" s="5" t="s">
        <v>85</v>
      </c>
      <c r="AC389" s="5">
        <v>600</v>
      </c>
    </row>
    <row r="390" spans="1:29" x14ac:dyDescent="0.3">
      <c r="A390" s="34">
        <v>46274</v>
      </c>
      <c r="B390" s="34">
        <v>46274</v>
      </c>
      <c r="C390" s="5" t="s">
        <v>78</v>
      </c>
      <c r="D390" s="5" t="s">
        <v>79</v>
      </c>
      <c r="E390" s="5" t="s">
        <v>80</v>
      </c>
      <c r="F390" s="5">
        <v>14069</v>
      </c>
      <c r="G390" s="5" t="s">
        <v>1261</v>
      </c>
      <c r="H390" s="5" t="s">
        <v>1262</v>
      </c>
      <c r="I390" s="5" t="s">
        <v>234</v>
      </c>
      <c r="N390" s="5" t="s">
        <v>1263</v>
      </c>
      <c r="O390" s="5">
        <v>7.02</v>
      </c>
      <c r="P390" s="5">
        <v>7.1</v>
      </c>
      <c r="Q390" s="5">
        <v>6.9</v>
      </c>
      <c r="R390" s="5">
        <v>6.95</v>
      </c>
      <c r="S390" s="5">
        <v>6.93</v>
      </c>
      <c r="T390" s="5">
        <v>6.92</v>
      </c>
      <c r="V390" s="5">
        <v>6.95</v>
      </c>
      <c r="Y390" s="5">
        <v>123575</v>
      </c>
      <c r="Z390" s="5">
        <v>864157.91</v>
      </c>
      <c r="AA390" s="5">
        <v>219</v>
      </c>
      <c r="AB390" s="5" t="s">
        <v>85</v>
      </c>
      <c r="AC390" s="5">
        <v>1</v>
      </c>
    </row>
    <row r="391" spans="1:29" x14ac:dyDescent="0.3">
      <c r="A391" s="34">
        <v>46274</v>
      </c>
      <c r="B391" s="34">
        <v>46274</v>
      </c>
      <c r="C391" s="5" t="s">
        <v>78</v>
      </c>
      <c r="D391" s="5" t="s">
        <v>79</v>
      </c>
      <c r="E391" s="5" t="s">
        <v>80</v>
      </c>
      <c r="F391" s="5">
        <v>13557</v>
      </c>
      <c r="G391" s="5" t="s">
        <v>1264</v>
      </c>
      <c r="H391" s="5" t="s">
        <v>1265</v>
      </c>
      <c r="I391" s="5" t="s">
        <v>212</v>
      </c>
      <c r="N391" s="5" t="s">
        <v>1266</v>
      </c>
      <c r="O391" s="5">
        <v>14.25</v>
      </c>
      <c r="P391" s="5">
        <v>14.25</v>
      </c>
      <c r="Q391" s="5">
        <v>13.54</v>
      </c>
      <c r="R391" s="5">
        <v>13.99</v>
      </c>
      <c r="S391" s="5">
        <v>14.03</v>
      </c>
      <c r="T391" s="5">
        <v>14.06</v>
      </c>
      <c r="V391" s="5">
        <v>13.99</v>
      </c>
      <c r="Y391" s="5">
        <v>229737</v>
      </c>
      <c r="Z391" s="5">
        <v>3203969.14</v>
      </c>
      <c r="AA391" s="5">
        <v>972</v>
      </c>
      <c r="AB391" s="5" t="s">
        <v>85</v>
      </c>
      <c r="AC391" s="5">
        <v>1</v>
      </c>
    </row>
    <row r="392" spans="1:29" x14ac:dyDescent="0.3">
      <c r="A392" s="34">
        <v>46274</v>
      </c>
      <c r="B392" s="34">
        <v>46274</v>
      </c>
      <c r="C392" s="5" t="s">
        <v>78</v>
      </c>
      <c r="D392" s="5" t="s">
        <v>79</v>
      </c>
      <c r="E392" s="5" t="s">
        <v>80</v>
      </c>
      <c r="F392" s="5">
        <v>23159</v>
      </c>
      <c r="G392" s="5" t="s">
        <v>1267</v>
      </c>
      <c r="H392" s="5" t="s">
        <v>1268</v>
      </c>
      <c r="I392" s="5" t="s">
        <v>313</v>
      </c>
      <c r="N392" s="5" t="s">
        <v>1269</v>
      </c>
      <c r="O392" s="5">
        <v>60</v>
      </c>
      <c r="P392" s="5">
        <v>60.75</v>
      </c>
      <c r="Q392" s="5">
        <v>59</v>
      </c>
      <c r="R392" s="5">
        <v>59.6</v>
      </c>
      <c r="S392" s="5">
        <v>59.6</v>
      </c>
      <c r="T392" s="5">
        <v>60.2</v>
      </c>
      <c r="V392" s="5">
        <v>59.6</v>
      </c>
      <c r="Y392" s="5">
        <v>20000</v>
      </c>
      <c r="Z392" s="5">
        <v>1195360</v>
      </c>
      <c r="AA392" s="5">
        <v>18</v>
      </c>
      <c r="AB392" s="5" t="s">
        <v>85</v>
      </c>
      <c r="AC392" s="5">
        <v>800</v>
      </c>
    </row>
    <row r="393" spans="1:29" x14ac:dyDescent="0.3">
      <c r="A393" s="34">
        <v>46274</v>
      </c>
      <c r="B393" s="34">
        <v>46274</v>
      </c>
      <c r="C393" s="5" t="s">
        <v>78</v>
      </c>
      <c r="D393" s="5" t="s">
        <v>79</v>
      </c>
      <c r="E393" s="5" t="s">
        <v>80</v>
      </c>
      <c r="F393" s="5">
        <v>8827</v>
      </c>
      <c r="G393" s="5" t="s">
        <v>1270</v>
      </c>
      <c r="H393" s="5" t="s">
        <v>1271</v>
      </c>
      <c r="I393" s="5" t="s">
        <v>212</v>
      </c>
      <c r="N393" s="5" t="s">
        <v>1272</v>
      </c>
      <c r="O393" s="5">
        <v>8.5500000000000007</v>
      </c>
      <c r="P393" s="5">
        <v>8.85</v>
      </c>
      <c r="Q393" s="5">
        <v>8.19</v>
      </c>
      <c r="R393" s="5">
        <v>8.59</v>
      </c>
      <c r="S393" s="5">
        <v>8.58</v>
      </c>
      <c r="T393" s="5">
        <v>8.58</v>
      </c>
      <c r="V393" s="5">
        <v>8.58</v>
      </c>
      <c r="Y393" s="5">
        <v>860781</v>
      </c>
      <c r="Z393" s="5">
        <v>7299456.5800000001</v>
      </c>
      <c r="AA393" s="5">
        <v>1037</v>
      </c>
      <c r="AB393" s="5" t="s">
        <v>85</v>
      </c>
      <c r="AC393" s="5">
        <v>1</v>
      </c>
    </row>
    <row r="394" spans="1:29" x14ac:dyDescent="0.3">
      <c r="A394" s="34">
        <v>46274</v>
      </c>
      <c r="B394" s="34">
        <v>46274</v>
      </c>
      <c r="C394" s="5" t="s">
        <v>78</v>
      </c>
      <c r="D394" s="5" t="s">
        <v>79</v>
      </c>
      <c r="E394" s="5" t="s">
        <v>80</v>
      </c>
      <c r="F394" s="5">
        <v>14008</v>
      </c>
      <c r="G394" s="5" t="s">
        <v>1273</v>
      </c>
      <c r="H394" s="5" t="s">
        <v>1274</v>
      </c>
      <c r="I394" s="5" t="s">
        <v>212</v>
      </c>
      <c r="N394" s="5" t="s">
        <v>1275</v>
      </c>
      <c r="O394" s="5">
        <v>90</v>
      </c>
      <c r="P394" s="5">
        <v>93.05</v>
      </c>
      <c r="Q394" s="5">
        <v>90</v>
      </c>
      <c r="R394" s="5">
        <v>92.42</v>
      </c>
      <c r="S394" s="5">
        <v>92.68</v>
      </c>
      <c r="T394" s="5">
        <v>90.35</v>
      </c>
      <c r="V394" s="5">
        <v>92.41</v>
      </c>
      <c r="Y394" s="5">
        <v>432223</v>
      </c>
      <c r="Z394" s="5">
        <v>39767187.310000002</v>
      </c>
      <c r="AA394" s="5">
        <v>4585</v>
      </c>
      <c r="AB394" s="5" t="s">
        <v>85</v>
      </c>
      <c r="AC394" s="5">
        <v>1</v>
      </c>
    </row>
    <row r="395" spans="1:29" x14ac:dyDescent="0.3">
      <c r="A395" s="34">
        <v>46274</v>
      </c>
      <c r="B395" s="34">
        <v>46274</v>
      </c>
      <c r="C395" s="5" t="s">
        <v>78</v>
      </c>
      <c r="D395" s="5" t="s">
        <v>79</v>
      </c>
      <c r="E395" s="5" t="s">
        <v>80</v>
      </c>
      <c r="F395" s="5">
        <v>23864</v>
      </c>
      <c r="G395" s="5" t="s">
        <v>1276</v>
      </c>
      <c r="H395" s="5" t="s">
        <v>1277</v>
      </c>
      <c r="I395" s="5" t="s">
        <v>212</v>
      </c>
      <c r="N395" s="5" t="s">
        <v>1278</v>
      </c>
      <c r="O395" s="5">
        <v>253.75</v>
      </c>
      <c r="P395" s="5">
        <v>255.5</v>
      </c>
      <c r="Q395" s="5">
        <v>251.05</v>
      </c>
      <c r="R395" s="5">
        <v>253.9</v>
      </c>
      <c r="S395" s="5">
        <v>254</v>
      </c>
      <c r="T395" s="5">
        <v>253</v>
      </c>
      <c r="V395" s="5">
        <v>253.89</v>
      </c>
      <c r="Y395" s="5">
        <v>128291</v>
      </c>
      <c r="Z395" s="5">
        <v>32497263.399999999</v>
      </c>
      <c r="AA395" s="5">
        <v>3183</v>
      </c>
      <c r="AB395" s="5" t="s">
        <v>85</v>
      </c>
      <c r="AC395" s="5">
        <v>1</v>
      </c>
    </row>
    <row r="396" spans="1:29" x14ac:dyDescent="0.3">
      <c r="A396" s="34">
        <v>46274</v>
      </c>
      <c r="B396" s="34">
        <v>46274</v>
      </c>
      <c r="C396" s="5" t="s">
        <v>78</v>
      </c>
      <c r="D396" s="5" t="s">
        <v>79</v>
      </c>
      <c r="E396" s="5" t="s">
        <v>80</v>
      </c>
      <c r="F396" s="5">
        <v>8110</v>
      </c>
      <c r="G396" s="5" t="s">
        <v>1279</v>
      </c>
      <c r="H396" s="5" t="s">
        <v>1280</v>
      </c>
      <c r="I396" s="5" t="s">
        <v>212</v>
      </c>
      <c r="N396" s="5" t="s">
        <v>1281</v>
      </c>
      <c r="O396" s="5">
        <v>187.52</v>
      </c>
      <c r="P396" s="5">
        <v>188.49</v>
      </c>
      <c r="Q396" s="5">
        <v>185.1</v>
      </c>
      <c r="R396" s="5">
        <v>187.52</v>
      </c>
      <c r="S396" s="5">
        <v>188.2</v>
      </c>
      <c r="T396" s="5">
        <v>187.52</v>
      </c>
      <c r="V396" s="5">
        <v>187.52</v>
      </c>
      <c r="Y396" s="5">
        <v>1594754</v>
      </c>
      <c r="Z396" s="5">
        <v>297625789.77999997</v>
      </c>
      <c r="AA396" s="5">
        <v>26562</v>
      </c>
      <c r="AB396" s="5" t="s">
        <v>85</v>
      </c>
      <c r="AC396" s="5">
        <v>1</v>
      </c>
    </row>
    <row r="397" spans="1:29" x14ac:dyDescent="0.3">
      <c r="A397" s="34">
        <v>46274</v>
      </c>
      <c r="B397" s="34">
        <v>46274</v>
      </c>
      <c r="C397" s="5" t="s">
        <v>78</v>
      </c>
      <c r="D397" s="5" t="s">
        <v>79</v>
      </c>
      <c r="E397" s="5" t="s">
        <v>80</v>
      </c>
      <c r="F397" s="5">
        <v>5900</v>
      </c>
      <c r="G397" s="5" t="s">
        <v>1282</v>
      </c>
      <c r="H397" s="5" t="s">
        <v>1283</v>
      </c>
      <c r="I397" s="5" t="s">
        <v>212</v>
      </c>
      <c r="N397" s="5" t="s">
        <v>1284</v>
      </c>
      <c r="O397" s="5">
        <v>1236</v>
      </c>
      <c r="P397" s="5">
        <v>1257.4000000000001</v>
      </c>
      <c r="Q397" s="5">
        <v>1234.7</v>
      </c>
      <c r="R397" s="5">
        <v>1238.5</v>
      </c>
      <c r="S397" s="5">
        <v>1238.5</v>
      </c>
      <c r="T397" s="5">
        <v>1244.9000000000001</v>
      </c>
      <c r="V397" s="5">
        <v>1238.5</v>
      </c>
      <c r="Y397" s="5">
        <v>6679663</v>
      </c>
      <c r="Z397" s="5">
        <v>8304106894.1000004</v>
      </c>
      <c r="AA397" s="5">
        <v>98429</v>
      </c>
      <c r="AB397" s="5" t="s">
        <v>85</v>
      </c>
      <c r="AC397" s="5">
        <v>1</v>
      </c>
    </row>
    <row r="398" spans="1:29" x14ac:dyDescent="0.3">
      <c r="A398" s="34">
        <v>46274</v>
      </c>
      <c r="B398" s="34">
        <v>46274</v>
      </c>
      <c r="C398" s="5" t="s">
        <v>78</v>
      </c>
      <c r="D398" s="5" t="s">
        <v>79</v>
      </c>
      <c r="E398" s="5" t="s">
        <v>80</v>
      </c>
      <c r="F398" s="5">
        <v>765499</v>
      </c>
      <c r="G398" s="5" t="s">
        <v>1285</v>
      </c>
      <c r="H398" s="5" t="s">
        <v>1286</v>
      </c>
      <c r="I398" s="5" t="s">
        <v>212</v>
      </c>
      <c r="N398" s="5" t="s">
        <v>1287</v>
      </c>
      <c r="O398" s="5">
        <v>19.18</v>
      </c>
      <c r="P398" s="5">
        <v>19.75</v>
      </c>
      <c r="Q398" s="5">
        <v>19.18</v>
      </c>
      <c r="R398" s="5">
        <v>19.3</v>
      </c>
      <c r="S398" s="5">
        <v>19.3</v>
      </c>
      <c r="T398" s="5">
        <v>19.18</v>
      </c>
      <c r="V398" s="5">
        <v>19.260000000000002</v>
      </c>
      <c r="Y398" s="5">
        <v>21312</v>
      </c>
      <c r="Z398" s="5">
        <v>411231.06</v>
      </c>
      <c r="AA398" s="5">
        <v>74</v>
      </c>
      <c r="AB398" s="5" t="s">
        <v>85</v>
      </c>
      <c r="AC398" s="5">
        <v>1</v>
      </c>
    </row>
    <row r="399" spans="1:29" x14ac:dyDescent="0.3">
      <c r="A399" s="34">
        <v>46274</v>
      </c>
      <c r="B399" s="34">
        <v>46274</v>
      </c>
      <c r="C399" s="5" t="s">
        <v>78</v>
      </c>
      <c r="D399" s="5" t="s">
        <v>79</v>
      </c>
      <c r="E399" s="5" t="s">
        <v>80</v>
      </c>
      <c r="F399" s="5">
        <v>1044</v>
      </c>
      <c r="G399" s="5" t="s">
        <v>1288</v>
      </c>
      <c r="H399" s="5" t="s">
        <v>1289</v>
      </c>
      <c r="I399" s="5" t="s">
        <v>212</v>
      </c>
      <c r="N399" s="5" t="s">
        <v>1290</v>
      </c>
      <c r="O399" s="5">
        <v>584.44000000000005</v>
      </c>
      <c r="P399" s="5">
        <v>586.13</v>
      </c>
      <c r="Q399" s="5">
        <v>583.11</v>
      </c>
      <c r="R399" s="5">
        <v>583.14</v>
      </c>
      <c r="S399" s="5">
        <v>583.28</v>
      </c>
      <c r="T399" s="5">
        <v>585.23</v>
      </c>
      <c r="V399" s="5">
        <v>583.14</v>
      </c>
      <c r="Y399" s="5">
        <v>2147</v>
      </c>
      <c r="Z399" s="5">
        <v>1252939.21</v>
      </c>
      <c r="AA399" s="5">
        <v>74</v>
      </c>
      <c r="AB399" s="5" t="s">
        <v>85</v>
      </c>
      <c r="AC399" s="5">
        <v>1</v>
      </c>
    </row>
    <row r="400" spans="1:29" x14ac:dyDescent="0.3">
      <c r="A400" s="34">
        <v>46274</v>
      </c>
      <c r="B400" s="34">
        <v>46274</v>
      </c>
      <c r="C400" s="5" t="s">
        <v>78</v>
      </c>
      <c r="D400" s="5" t="s">
        <v>79</v>
      </c>
      <c r="E400" s="5" t="s">
        <v>80</v>
      </c>
      <c r="F400" s="5">
        <v>5732</v>
      </c>
      <c r="G400" s="5" t="s">
        <v>1291</v>
      </c>
      <c r="H400" s="5" t="s">
        <v>1292</v>
      </c>
      <c r="I400" s="5" t="s">
        <v>212</v>
      </c>
      <c r="N400" s="5" t="s">
        <v>1293</v>
      </c>
      <c r="O400" s="5">
        <v>121</v>
      </c>
      <c r="P400" s="5">
        <v>121</v>
      </c>
      <c r="Q400" s="5">
        <v>118.85</v>
      </c>
      <c r="R400" s="5">
        <v>119.12</v>
      </c>
      <c r="S400" s="5">
        <v>119.12</v>
      </c>
      <c r="T400" s="5">
        <v>119.07</v>
      </c>
      <c r="V400" s="5">
        <v>119.12</v>
      </c>
      <c r="Y400" s="5">
        <v>545</v>
      </c>
      <c r="Z400" s="5">
        <v>65035.43</v>
      </c>
      <c r="AA400" s="5">
        <v>16</v>
      </c>
      <c r="AB400" s="5" t="s">
        <v>85</v>
      </c>
      <c r="AC400" s="5">
        <v>1</v>
      </c>
    </row>
    <row r="401" spans="1:29" x14ac:dyDescent="0.3">
      <c r="A401" s="34">
        <v>46274</v>
      </c>
      <c r="B401" s="34">
        <v>46274</v>
      </c>
      <c r="C401" s="5" t="s">
        <v>78</v>
      </c>
      <c r="D401" s="5" t="s">
        <v>79</v>
      </c>
      <c r="E401" s="5" t="s">
        <v>80</v>
      </c>
      <c r="F401" s="5">
        <v>20532</v>
      </c>
      <c r="G401" s="5" t="s">
        <v>1294</v>
      </c>
      <c r="H401" s="5" t="s">
        <v>1295</v>
      </c>
      <c r="I401" s="5" t="s">
        <v>212</v>
      </c>
      <c r="N401" s="5" t="s">
        <v>1296</v>
      </c>
      <c r="O401" s="5">
        <v>126.7</v>
      </c>
      <c r="P401" s="5">
        <v>127.36</v>
      </c>
      <c r="Q401" s="5">
        <v>126.07</v>
      </c>
      <c r="R401" s="5">
        <v>126.81</v>
      </c>
      <c r="S401" s="5">
        <v>126.79</v>
      </c>
      <c r="T401" s="5">
        <v>126.86</v>
      </c>
      <c r="V401" s="5">
        <v>126.81</v>
      </c>
      <c r="Y401" s="5">
        <v>1146170</v>
      </c>
      <c r="Z401" s="5">
        <v>145524710.52000001</v>
      </c>
      <c r="AA401" s="5">
        <v>2892</v>
      </c>
      <c r="AB401" s="5" t="s">
        <v>85</v>
      </c>
      <c r="AC401" s="5">
        <v>1</v>
      </c>
    </row>
    <row r="402" spans="1:29" x14ac:dyDescent="0.3">
      <c r="A402" s="34">
        <v>46274</v>
      </c>
      <c r="B402" s="34">
        <v>46274</v>
      </c>
      <c r="C402" s="5" t="s">
        <v>78</v>
      </c>
      <c r="D402" s="5" t="s">
        <v>79</v>
      </c>
      <c r="E402" s="5" t="s">
        <v>80</v>
      </c>
      <c r="F402" s="5">
        <v>3608</v>
      </c>
      <c r="G402" s="5" t="s">
        <v>1297</v>
      </c>
      <c r="H402" s="5" t="s">
        <v>1298</v>
      </c>
      <c r="I402" s="5" t="s">
        <v>212</v>
      </c>
      <c r="N402" s="5" t="s">
        <v>1299</v>
      </c>
      <c r="O402" s="5">
        <v>170.43</v>
      </c>
      <c r="P402" s="5">
        <v>170.9</v>
      </c>
      <c r="Q402" s="5">
        <v>168.18</v>
      </c>
      <c r="R402" s="5">
        <v>168.88</v>
      </c>
      <c r="S402" s="5">
        <v>168.87</v>
      </c>
      <c r="T402" s="5">
        <v>169.31</v>
      </c>
      <c r="V402" s="5">
        <v>168.88</v>
      </c>
      <c r="Y402" s="5">
        <v>1412</v>
      </c>
      <c r="Z402" s="5">
        <v>238301.26</v>
      </c>
      <c r="AA402" s="5">
        <v>77</v>
      </c>
      <c r="AB402" s="5" t="s">
        <v>85</v>
      </c>
      <c r="AC402" s="5">
        <v>1</v>
      </c>
    </row>
    <row r="403" spans="1:29" x14ac:dyDescent="0.3">
      <c r="A403" s="34">
        <v>46274</v>
      </c>
      <c r="B403" s="34">
        <v>46274</v>
      </c>
      <c r="C403" s="5" t="s">
        <v>78</v>
      </c>
      <c r="D403" s="5" t="s">
        <v>79</v>
      </c>
      <c r="E403" s="5" t="s">
        <v>80</v>
      </c>
      <c r="F403" s="5">
        <v>3010</v>
      </c>
      <c r="G403" s="5" t="s">
        <v>1300</v>
      </c>
      <c r="H403" s="5" t="s">
        <v>1301</v>
      </c>
      <c r="I403" s="5" t="s">
        <v>212</v>
      </c>
      <c r="N403" s="5" t="s">
        <v>1302</v>
      </c>
      <c r="O403" s="5">
        <v>325</v>
      </c>
      <c r="P403" s="5">
        <v>328.55</v>
      </c>
      <c r="Q403" s="5">
        <v>318.25</v>
      </c>
      <c r="R403" s="5">
        <v>319.85000000000002</v>
      </c>
      <c r="S403" s="5">
        <v>320.3</v>
      </c>
      <c r="T403" s="5">
        <v>329.35</v>
      </c>
      <c r="V403" s="5">
        <v>320.32</v>
      </c>
      <c r="Y403" s="5">
        <v>6063</v>
      </c>
      <c r="Z403" s="5">
        <v>1941061.29</v>
      </c>
      <c r="AA403" s="5">
        <v>125</v>
      </c>
      <c r="AB403" s="5" t="s">
        <v>85</v>
      </c>
      <c r="AC403" s="5">
        <v>1</v>
      </c>
    </row>
    <row r="404" spans="1:29" x14ac:dyDescent="0.3">
      <c r="A404" s="34">
        <v>46274</v>
      </c>
      <c r="B404" s="34">
        <v>46274</v>
      </c>
      <c r="C404" s="5" t="s">
        <v>78</v>
      </c>
      <c r="D404" s="5" t="s">
        <v>79</v>
      </c>
      <c r="E404" s="5" t="s">
        <v>80</v>
      </c>
      <c r="F404" s="5">
        <v>21252</v>
      </c>
      <c r="G404" s="5" t="s">
        <v>1303</v>
      </c>
      <c r="H404" s="5" t="s">
        <v>1304</v>
      </c>
      <c r="I404" s="5" t="s">
        <v>212</v>
      </c>
      <c r="N404" s="5" t="s">
        <v>1305</v>
      </c>
      <c r="O404" s="5">
        <v>262.14999999999998</v>
      </c>
      <c r="P404" s="5">
        <v>262.14999999999998</v>
      </c>
      <c r="Q404" s="5">
        <v>260</v>
      </c>
      <c r="R404" s="5">
        <v>260.47000000000003</v>
      </c>
      <c r="S404" s="5">
        <v>260.64999999999998</v>
      </c>
      <c r="T404" s="5">
        <v>262.77</v>
      </c>
      <c r="V404" s="5">
        <v>260.47000000000003</v>
      </c>
      <c r="Y404" s="5">
        <v>72587</v>
      </c>
      <c r="Z404" s="5">
        <v>18946654.440000001</v>
      </c>
      <c r="AA404" s="5">
        <v>258</v>
      </c>
      <c r="AB404" s="5" t="s">
        <v>85</v>
      </c>
      <c r="AC404" s="5">
        <v>1</v>
      </c>
    </row>
    <row r="405" spans="1:29" x14ac:dyDescent="0.3">
      <c r="A405" s="34">
        <v>46274</v>
      </c>
      <c r="B405" s="34">
        <v>46274</v>
      </c>
      <c r="C405" s="5" t="s">
        <v>78</v>
      </c>
      <c r="D405" s="5" t="s">
        <v>79</v>
      </c>
      <c r="E405" s="5" t="s">
        <v>80</v>
      </c>
      <c r="F405" s="5">
        <v>14742</v>
      </c>
      <c r="G405" s="5" t="s">
        <v>1306</v>
      </c>
      <c r="H405" s="5" t="s">
        <v>1307</v>
      </c>
      <c r="I405" s="5" t="s">
        <v>212</v>
      </c>
      <c r="N405" s="5" t="s">
        <v>1308</v>
      </c>
      <c r="O405" s="5">
        <v>79.28</v>
      </c>
      <c r="P405" s="5">
        <v>79.28</v>
      </c>
      <c r="Q405" s="5">
        <v>77.400000000000006</v>
      </c>
      <c r="R405" s="5">
        <v>77.73</v>
      </c>
      <c r="S405" s="5">
        <v>78.010000000000005</v>
      </c>
      <c r="T405" s="5">
        <v>78.739999999999995</v>
      </c>
      <c r="V405" s="5">
        <v>77.73</v>
      </c>
      <c r="Y405" s="5">
        <v>3092</v>
      </c>
      <c r="Z405" s="5">
        <v>241625.23</v>
      </c>
      <c r="AA405" s="5">
        <v>80</v>
      </c>
      <c r="AB405" s="5" t="s">
        <v>85</v>
      </c>
      <c r="AC405" s="5">
        <v>1</v>
      </c>
    </row>
    <row r="406" spans="1:29" x14ac:dyDescent="0.3">
      <c r="A406" s="34">
        <v>46274</v>
      </c>
      <c r="B406" s="34">
        <v>46274</v>
      </c>
      <c r="C406" s="5" t="s">
        <v>78</v>
      </c>
      <c r="D406" s="5" t="s">
        <v>79</v>
      </c>
      <c r="E406" s="5" t="s">
        <v>80</v>
      </c>
      <c r="F406" s="5">
        <v>11193</v>
      </c>
      <c r="G406" s="5" t="s">
        <v>1309</v>
      </c>
      <c r="H406" s="5" t="s">
        <v>1310</v>
      </c>
      <c r="I406" s="5" t="s">
        <v>212</v>
      </c>
      <c r="N406" s="5" t="s">
        <v>1311</v>
      </c>
      <c r="O406" s="5">
        <v>229.96</v>
      </c>
      <c r="P406" s="5">
        <v>232.48</v>
      </c>
      <c r="Q406" s="5">
        <v>229.96</v>
      </c>
      <c r="R406" s="5">
        <v>231.19</v>
      </c>
      <c r="S406" s="5">
        <v>231</v>
      </c>
      <c r="T406" s="5">
        <v>229.96</v>
      </c>
      <c r="V406" s="5">
        <v>231.19</v>
      </c>
      <c r="Y406" s="5">
        <v>153962</v>
      </c>
      <c r="Z406" s="5">
        <v>35646344.409999996</v>
      </c>
      <c r="AA406" s="5">
        <v>1221</v>
      </c>
      <c r="AB406" s="5" t="s">
        <v>85</v>
      </c>
      <c r="AC406" s="5">
        <v>1</v>
      </c>
    </row>
    <row r="407" spans="1:29" x14ac:dyDescent="0.3">
      <c r="A407" s="34">
        <v>46274</v>
      </c>
      <c r="B407" s="34">
        <v>46274</v>
      </c>
      <c r="C407" s="5" t="s">
        <v>78</v>
      </c>
      <c r="D407" s="5" t="s">
        <v>79</v>
      </c>
      <c r="E407" s="5" t="s">
        <v>80</v>
      </c>
      <c r="F407" s="5">
        <v>30155</v>
      </c>
      <c r="G407" s="5" t="s">
        <v>1312</v>
      </c>
      <c r="H407" s="5" t="s">
        <v>1313</v>
      </c>
      <c r="I407" s="5" t="s">
        <v>212</v>
      </c>
      <c r="N407" s="5" t="s">
        <v>1314</v>
      </c>
      <c r="O407" s="5">
        <v>32.85</v>
      </c>
      <c r="P407" s="5">
        <v>32.97</v>
      </c>
      <c r="Q407" s="5">
        <v>32.6</v>
      </c>
      <c r="R407" s="5">
        <v>32.729999999999997</v>
      </c>
      <c r="S407" s="5">
        <v>32.9</v>
      </c>
      <c r="T407" s="5">
        <v>32.619999999999997</v>
      </c>
      <c r="V407" s="5">
        <v>32.729999999999997</v>
      </c>
      <c r="Y407" s="5">
        <v>46207</v>
      </c>
      <c r="Z407" s="5">
        <v>1511795.92</v>
      </c>
      <c r="AA407" s="5">
        <v>274</v>
      </c>
      <c r="AB407" s="5" t="s">
        <v>85</v>
      </c>
      <c r="AC407" s="5">
        <v>1</v>
      </c>
    </row>
    <row r="408" spans="1:29" x14ac:dyDescent="0.3">
      <c r="A408" s="34">
        <v>46274</v>
      </c>
      <c r="B408" s="34">
        <v>46274</v>
      </c>
      <c r="C408" s="5" t="s">
        <v>78</v>
      </c>
      <c r="D408" s="5" t="s">
        <v>79</v>
      </c>
      <c r="E408" s="5" t="s">
        <v>80</v>
      </c>
      <c r="F408" s="5">
        <v>9436</v>
      </c>
      <c r="G408" s="5" t="s">
        <v>1315</v>
      </c>
      <c r="H408" s="5" t="s">
        <v>1316</v>
      </c>
      <c r="I408" s="5" t="s">
        <v>212</v>
      </c>
      <c r="N408" s="5" t="s">
        <v>1317</v>
      </c>
      <c r="O408" s="5">
        <v>1870</v>
      </c>
      <c r="P408" s="5">
        <v>1939</v>
      </c>
      <c r="Q408" s="5">
        <v>1850</v>
      </c>
      <c r="R408" s="5">
        <v>1875.7</v>
      </c>
      <c r="S408" s="5">
        <v>1882.8</v>
      </c>
      <c r="T408" s="5">
        <v>1848.6</v>
      </c>
      <c r="V408" s="5">
        <v>1875.84</v>
      </c>
      <c r="Y408" s="5">
        <v>347063</v>
      </c>
      <c r="Z408" s="5">
        <v>655530390.39999998</v>
      </c>
      <c r="AA408" s="5">
        <v>25723</v>
      </c>
      <c r="AB408" s="5" t="s">
        <v>85</v>
      </c>
      <c r="AC408" s="5">
        <v>1</v>
      </c>
    </row>
    <row r="409" spans="1:29" x14ac:dyDescent="0.3">
      <c r="A409" s="34">
        <v>46274</v>
      </c>
      <c r="B409" s="34">
        <v>46274</v>
      </c>
      <c r="C409" s="5" t="s">
        <v>78</v>
      </c>
      <c r="D409" s="5" t="s">
        <v>79</v>
      </c>
      <c r="E409" s="5" t="s">
        <v>80</v>
      </c>
      <c r="F409" s="5">
        <v>9902</v>
      </c>
      <c r="G409" s="5" t="s">
        <v>1318</v>
      </c>
      <c r="H409" s="5" t="s">
        <v>1319</v>
      </c>
      <c r="I409" s="5" t="s">
        <v>212</v>
      </c>
      <c r="N409" s="5" t="s">
        <v>1320</v>
      </c>
      <c r="O409" s="5">
        <v>8.0399999999999991</v>
      </c>
      <c r="P409" s="5">
        <v>8.25</v>
      </c>
      <c r="Q409" s="5">
        <v>7.99</v>
      </c>
      <c r="R409" s="5">
        <v>8</v>
      </c>
      <c r="S409" s="5">
        <v>8</v>
      </c>
      <c r="T409" s="5">
        <v>7.99</v>
      </c>
      <c r="V409" s="5">
        <v>8</v>
      </c>
      <c r="Y409" s="5">
        <v>640768</v>
      </c>
      <c r="Z409" s="5">
        <v>5140082.97</v>
      </c>
      <c r="AA409" s="5">
        <v>829</v>
      </c>
      <c r="AB409" s="5" t="s">
        <v>85</v>
      </c>
      <c r="AC409" s="5">
        <v>1</v>
      </c>
    </row>
    <row r="410" spans="1:29" x14ac:dyDescent="0.3">
      <c r="A410" s="34">
        <v>46274</v>
      </c>
      <c r="B410" s="34">
        <v>46274</v>
      </c>
      <c r="C410" s="5" t="s">
        <v>78</v>
      </c>
      <c r="D410" s="5" t="s">
        <v>79</v>
      </c>
      <c r="E410" s="5" t="s">
        <v>80</v>
      </c>
      <c r="F410" s="5">
        <v>764613</v>
      </c>
      <c r="G410" s="5" t="s">
        <v>1321</v>
      </c>
      <c r="H410" s="5" t="s">
        <v>1322</v>
      </c>
      <c r="I410" s="5" t="s">
        <v>212</v>
      </c>
      <c r="N410" s="5" t="s">
        <v>1323</v>
      </c>
      <c r="O410" s="5">
        <v>452</v>
      </c>
      <c r="P410" s="5">
        <v>454.8</v>
      </c>
      <c r="Q410" s="5">
        <v>425</v>
      </c>
      <c r="R410" s="5">
        <v>436.05</v>
      </c>
      <c r="S410" s="5">
        <v>433.25</v>
      </c>
      <c r="T410" s="5">
        <v>408.85</v>
      </c>
      <c r="V410" s="5">
        <v>435.66</v>
      </c>
      <c r="Y410" s="5">
        <v>26894</v>
      </c>
      <c r="Z410" s="5">
        <v>11800668.800000001</v>
      </c>
      <c r="AA410" s="5">
        <v>1377</v>
      </c>
      <c r="AB410" s="5" t="s">
        <v>85</v>
      </c>
      <c r="AC410" s="5">
        <v>1</v>
      </c>
    </row>
    <row r="411" spans="1:29" x14ac:dyDescent="0.3">
      <c r="A411" s="34">
        <v>46274</v>
      </c>
      <c r="B411" s="34">
        <v>46274</v>
      </c>
      <c r="C411" s="5" t="s">
        <v>78</v>
      </c>
      <c r="D411" s="5" t="s">
        <v>79</v>
      </c>
      <c r="E411" s="5" t="s">
        <v>80</v>
      </c>
      <c r="F411" s="5">
        <v>760981</v>
      </c>
      <c r="G411" s="5" t="s">
        <v>1324</v>
      </c>
      <c r="H411" s="5" t="s">
        <v>1325</v>
      </c>
      <c r="I411" s="5" t="s">
        <v>212</v>
      </c>
      <c r="N411" s="5" t="s">
        <v>1326</v>
      </c>
      <c r="O411" s="5">
        <v>184.8</v>
      </c>
      <c r="P411" s="5">
        <v>185.78</v>
      </c>
      <c r="Q411" s="5">
        <v>178.2</v>
      </c>
      <c r="R411" s="5">
        <v>178.83</v>
      </c>
      <c r="S411" s="5">
        <v>179.7</v>
      </c>
      <c r="T411" s="5">
        <v>184.78</v>
      </c>
      <c r="V411" s="5">
        <v>178.83</v>
      </c>
      <c r="Y411" s="5">
        <v>793540</v>
      </c>
      <c r="Z411" s="5">
        <v>142871711.99000001</v>
      </c>
      <c r="AA411" s="5">
        <v>14648</v>
      </c>
      <c r="AB411" s="5" t="s">
        <v>85</v>
      </c>
      <c r="AC411" s="5">
        <v>1</v>
      </c>
    </row>
    <row r="412" spans="1:29" x14ac:dyDescent="0.3">
      <c r="A412" s="34">
        <v>46274</v>
      </c>
      <c r="B412" s="34">
        <v>46274</v>
      </c>
      <c r="C412" s="5" t="s">
        <v>78</v>
      </c>
      <c r="D412" s="5" t="s">
        <v>79</v>
      </c>
      <c r="E412" s="5" t="s">
        <v>80</v>
      </c>
      <c r="F412" s="5">
        <v>10285</v>
      </c>
      <c r="G412" s="5" t="s">
        <v>1327</v>
      </c>
      <c r="H412" s="5" t="s">
        <v>1328</v>
      </c>
      <c r="I412" s="5" t="s">
        <v>212</v>
      </c>
      <c r="N412" s="5" t="s">
        <v>1329</v>
      </c>
      <c r="O412" s="5">
        <v>322</v>
      </c>
      <c r="P412" s="5">
        <v>328</v>
      </c>
      <c r="Q412" s="5">
        <v>304.60000000000002</v>
      </c>
      <c r="R412" s="5">
        <v>311.3</v>
      </c>
      <c r="S412" s="5">
        <v>310.55</v>
      </c>
      <c r="T412" s="5">
        <v>320.10000000000002</v>
      </c>
      <c r="V412" s="5">
        <v>311.43</v>
      </c>
      <c r="Y412" s="5">
        <v>91725</v>
      </c>
      <c r="Z412" s="5">
        <v>28731005.850000001</v>
      </c>
      <c r="AA412" s="5">
        <v>2077</v>
      </c>
      <c r="AB412" s="5" t="s">
        <v>85</v>
      </c>
      <c r="AC412" s="5">
        <v>1</v>
      </c>
    </row>
    <row r="413" spans="1:29" x14ac:dyDescent="0.3">
      <c r="A413" s="34">
        <v>46274</v>
      </c>
      <c r="B413" s="34">
        <v>46274</v>
      </c>
      <c r="C413" s="5" t="s">
        <v>78</v>
      </c>
      <c r="D413" s="5" t="s">
        <v>79</v>
      </c>
      <c r="E413" s="5" t="s">
        <v>80</v>
      </c>
      <c r="F413" s="5">
        <v>20905</v>
      </c>
      <c r="G413" s="5" t="s">
        <v>1330</v>
      </c>
      <c r="H413" s="5" t="s">
        <v>1331</v>
      </c>
      <c r="I413" s="5" t="s">
        <v>212</v>
      </c>
      <c r="N413" s="5" t="s">
        <v>1332</v>
      </c>
      <c r="O413" s="5">
        <v>2822.3</v>
      </c>
      <c r="P413" s="5">
        <v>2868</v>
      </c>
      <c r="Q413" s="5">
        <v>2762</v>
      </c>
      <c r="R413" s="5">
        <v>2805</v>
      </c>
      <c r="S413" s="5">
        <v>2801</v>
      </c>
      <c r="T413" s="5">
        <v>2822.1</v>
      </c>
      <c r="V413" s="5">
        <v>2804.97</v>
      </c>
      <c r="Y413" s="5">
        <v>261391</v>
      </c>
      <c r="Z413" s="5">
        <v>732668520.89999998</v>
      </c>
      <c r="AA413" s="5">
        <v>24858</v>
      </c>
      <c r="AB413" s="5" t="s">
        <v>85</v>
      </c>
      <c r="AC413" s="5">
        <v>1</v>
      </c>
    </row>
    <row r="414" spans="1:29" x14ac:dyDescent="0.3">
      <c r="A414" s="34">
        <v>46274</v>
      </c>
      <c r="B414" s="34">
        <v>46274</v>
      </c>
      <c r="C414" s="5" t="s">
        <v>78</v>
      </c>
      <c r="D414" s="5" t="s">
        <v>79</v>
      </c>
      <c r="E414" s="5" t="s">
        <v>80</v>
      </c>
      <c r="F414" s="5">
        <v>765035</v>
      </c>
      <c r="G414" s="5" t="s">
        <v>1333</v>
      </c>
      <c r="H414" s="5" t="s">
        <v>1334</v>
      </c>
      <c r="I414" s="5" t="s">
        <v>212</v>
      </c>
      <c r="N414" s="5" t="s">
        <v>1335</v>
      </c>
      <c r="O414" s="5">
        <v>90</v>
      </c>
      <c r="P414" s="5">
        <v>90.95</v>
      </c>
      <c r="Q414" s="5">
        <v>87</v>
      </c>
      <c r="R414" s="5">
        <v>89.26</v>
      </c>
      <c r="S414" s="5">
        <v>87</v>
      </c>
      <c r="T414" s="5">
        <v>89.86</v>
      </c>
      <c r="V414" s="5">
        <v>89.3</v>
      </c>
      <c r="Y414" s="5">
        <v>31921</v>
      </c>
      <c r="Z414" s="5">
        <v>2853391.89</v>
      </c>
      <c r="AA414" s="5">
        <v>532</v>
      </c>
      <c r="AB414" s="5" t="s">
        <v>85</v>
      </c>
      <c r="AC414" s="5">
        <v>1</v>
      </c>
    </row>
    <row r="415" spans="1:29" x14ac:dyDescent="0.3">
      <c r="A415" s="34">
        <v>46274</v>
      </c>
      <c r="B415" s="34">
        <v>46274</v>
      </c>
      <c r="C415" s="5" t="s">
        <v>78</v>
      </c>
      <c r="D415" s="5" t="s">
        <v>79</v>
      </c>
      <c r="E415" s="5" t="s">
        <v>80</v>
      </c>
      <c r="F415" s="5">
        <v>762616</v>
      </c>
      <c r="G415" s="5" t="s">
        <v>1336</v>
      </c>
      <c r="H415" s="5" t="s">
        <v>1337</v>
      </c>
      <c r="I415" s="5" t="s">
        <v>234</v>
      </c>
      <c r="N415" s="5" t="s">
        <v>1338</v>
      </c>
      <c r="O415" s="5">
        <v>393.7</v>
      </c>
      <c r="P415" s="5">
        <v>393.7</v>
      </c>
      <c r="Q415" s="5">
        <v>389.9</v>
      </c>
      <c r="R415" s="5">
        <v>389.9</v>
      </c>
      <c r="S415" s="5">
        <v>389.9</v>
      </c>
      <c r="T415" s="5">
        <v>375</v>
      </c>
      <c r="V415" s="5">
        <v>382.79</v>
      </c>
      <c r="Y415" s="5">
        <v>28</v>
      </c>
      <c r="Z415" s="5">
        <v>10922.2</v>
      </c>
      <c r="AA415" s="5">
        <v>6</v>
      </c>
      <c r="AB415" s="5" t="s">
        <v>85</v>
      </c>
      <c r="AC415" s="5">
        <v>1</v>
      </c>
    </row>
    <row r="416" spans="1:29" x14ac:dyDescent="0.3">
      <c r="A416" s="34">
        <v>46274</v>
      </c>
      <c r="B416" s="34">
        <v>46274</v>
      </c>
      <c r="C416" s="5" t="s">
        <v>78</v>
      </c>
      <c r="D416" s="5" t="s">
        <v>79</v>
      </c>
      <c r="E416" s="5" t="s">
        <v>80</v>
      </c>
      <c r="F416" s="5">
        <v>12153</v>
      </c>
      <c r="G416" s="5" t="s">
        <v>1339</v>
      </c>
      <c r="H416" s="5" t="s">
        <v>1340</v>
      </c>
      <c r="I416" s="5" t="s">
        <v>212</v>
      </c>
      <c r="N416" s="5" t="s">
        <v>1341</v>
      </c>
      <c r="O416" s="5">
        <v>235</v>
      </c>
      <c r="P416" s="5">
        <v>235</v>
      </c>
      <c r="Q416" s="5">
        <v>225.25</v>
      </c>
      <c r="R416" s="5">
        <v>228.05</v>
      </c>
      <c r="S416" s="5">
        <v>226.8</v>
      </c>
      <c r="T416" s="5">
        <v>229.89</v>
      </c>
      <c r="V416" s="5">
        <v>227.9</v>
      </c>
      <c r="Y416" s="5">
        <v>6549</v>
      </c>
      <c r="Z416" s="5">
        <v>1503153.85</v>
      </c>
      <c r="AA416" s="5">
        <v>565</v>
      </c>
      <c r="AB416" s="5" t="s">
        <v>85</v>
      </c>
      <c r="AC416" s="5">
        <v>1</v>
      </c>
    </row>
    <row r="417" spans="1:29" x14ac:dyDescent="0.3">
      <c r="A417" s="34">
        <v>46274</v>
      </c>
      <c r="B417" s="34">
        <v>46274</v>
      </c>
      <c r="C417" s="5" t="s">
        <v>78</v>
      </c>
      <c r="D417" s="5" t="s">
        <v>79</v>
      </c>
      <c r="E417" s="5" t="s">
        <v>80</v>
      </c>
      <c r="F417" s="5">
        <v>11226</v>
      </c>
      <c r="G417" s="5" t="s">
        <v>1342</v>
      </c>
      <c r="H417" s="5" t="s">
        <v>1343</v>
      </c>
      <c r="I417" s="5" t="s">
        <v>212</v>
      </c>
      <c r="N417" s="5" t="s">
        <v>1344</v>
      </c>
      <c r="O417" s="5">
        <v>4.79</v>
      </c>
      <c r="P417" s="5">
        <v>4.79</v>
      </c>
      <c r="Q417" s="5">
        <v>4.5199999999999996</v>
      </c>
      <c r="R417" s="5">
        <v>4.59</v>
      </c>
      <c r="S417" s="5">
        <v>4.59</v>
      </c>
      <c r="T417" s="5">
        <v>4.7</v>
      </c>
      <c r="V417" s="5">
        <v>4.59</v>
      </c>
      <c r="Y417" s="5">
        <v>114517</v>
      </c>
      <c r="Z417" s="5">
        <v>528820.18999999994</v>
      </c>
      <c r="AA417" s="5">
        <v>276</v>
      </c>
      <c r="AB417" s="5" t="s">
        <v>85</v>
      </c>
      <c r="AC417" s="5">
        <v>1</v>
      </c>
    </row>
    <row r="418" spans="1:29" x14ac:dyDescent="0.3">
      <c r="A418" s="34">
        <v>46274</v>
      </c>
      <c r="B418" s="34">
        <v>46274</v>
      </c>
      <c r="C418" s="5" t="s">
        <v>78</v>
      </c>
      <c r="D418" s="5" t="s">
        <v>79</v>
      </c>
      <c r="E418" s="5" t="s">
        <v>80</v>
      </c>
      <c r="F418" s="5">
        <v>759420</v>
      </c>
      <c r="G418" s="5" t="s">
        <v>1345</v>
      </c>
      <c r="H418" s="5" t="s">
        <v>1346</v>
      </c>
      <c r="I418" s="5" t="s">
        <v>313</v>
      </c>
      <c r="N418" s="5" t="s">
        <v>1347</v>
      </c>
      <c r="O418" s="5">
        <v>102.25</v>
      </c>
      <c r="P418" s="5">
        <v>104</v>
      </c>
      <c r="Q418" s="5">
        <v>99</v>
      </c>
      <c r="R418" s="5">
        <v>103.05</v>
      </c>
      <c r="S418" s="5">
        <v>102.95</v>
      </c>
      <c r="T418" s="5">
        <v>103</v>
      </c>
      <c r="V418" s="5">
        <v>103.05</v>
      </c>
      <c r="Y418" s="5">
        <v>100800</v>
      </c>
      <c r="Z418" s="5">
        <v>10326160</v>
      </c>
      <c r="AA418" s="5">
        <v>26</v>
      </c>
      <c r="AB418" s="5" t="s">
        <v>85</v>
      </c>
      <c r="AC418" s="5">
        <v>1600</v>
      </c>
    </row>
    <row r="419" spans="1:29" x14ac:dyDescent="0.3">
      <c r="A419" s="34">
        <v>46274</v>
      </c>
      <c r="B419" s="34">
        <v>46274</v>
      </c>
      <c r="C419" s="5" t="s">
        <v>78</v>
      </c>
      <c r="D419" s="5" t="s">
        <v>79</v>
      </c>
      <c r="E419" s="5" t="s">
        <v>80</v>
      </c>
      <c r="F419" s="5">
        <v>13290</v>
      </c>
      <c r="G419" s="5" t="s">
        <v>1348</v>
      </c>
      <c r="H419" s="5" t="s">
        <v>1349</v>
      </c>
      <c r="I419" s="5" t="s">
        <v>212</v>
      </c>
      <c r="N419" s="5" t="s">
        <v>1350</v>
      </c>
      <c r="O419" s="5">
        <v>56.8</v>
      </c>
      <c r="P419" s="5">
        <v>57.52</v>
      </c>
      <c r="Q419" s="5">
        <v>55</v>
      </c>
      <c r="R419" s="5">
        <v>55.41</v>
      </c>
      <c r="S419" s="5">
        <v>55.3</v>
      </c>
      <c r="T419" s="5">
        <v>56.8</v>
      </c>
      <c r="V419" s="5">
        <v>55.41</v>
      </c>
      <c r="Y419" s="5">
        <v>428673</v>
      </c>
      <c r="Z419" s="5">
        <v>23935919.920000002</v>
      </c>
      <c r="AA419" s="5">
        <v>3153</v>
      </c>
      <c r="AB419" s="5" t="s">
        <v>85</v>
      </c>
      <c r="AC419" s="5">
        <v>1</v>
      </c>
    </row>
    <row r="420" spans="1:29" x14ac:dyDescent="0.3">
      <c r="A420" s="34">
        <v>46274</v>
      </c>
      <c r="B420" s="34">
        <v>46274</v>
      </c>
      <c r="C420" s="5" t="s">
        <v>78</v>
      </c>
      <c r="D420" s="5" t="s">
        <v>79</v>
      </c>
      <c r="E420" s="5" t="s">
        <v>80</v>
      </c>
      <c r="F420" s="5">
        <v>25114</v>
      </c>
      <c r="G420" s="5" t="s">
        <v>1351</v>
      </c>
      <c r="H420" s="5" t="s">
        <v>1352</v>
      </c>
      <c r="I420" s="5" t="s">
        <v>212</v>
      </c>
      <c r="N420" s="5" t="s">
        <v>1353</v>
      </c>
      <c r="O420" s="5">
        <v>387</v>
      </c>
      <c r="P420" s="5">
        <v>405</v>
      </c>
      <c r="Q420" s="5">
        <v>383.05</v>
      </c>
      <c r="R420" s="5">
        <v>397.7</v>
      </c>
      <c r="S420" s="5">
        <v>399.8</v>
      </c>
      <c r="T420" s="5">
        <v>387.3</v>
      </c>
      <c r="V420" s="5">
        <v>397.67</v>
      </c>
      <c r="Y420" s="5">
        <v>821639</v>
      </c>
      <c r="Z420" s="5">
        <v>326538856.19999999</v>
      </c>
      <c r="AA420" s="5">
        <v>7923</v>
      </c>
      <c r="AB420" s="5" t="s">
        <v>85</v>
      </c>
      <c r="AC420" s="5">
        <v>1</v>
      </c>
    </row>
    <row r="421" spans="1:29" x14ac:dyDescent="0.3">
      <c r="A421" s="34">
        <v>46274</v>
      </c>
      <c r="B421" s="34">
        <v>46274</v>
      </c>
      <c r="C421" s="5" t="s">
        <v>78</v>
      </c>
      <c r="D421" s="5" t="s">
        <v>79</v>
      </c>
      <c r="E421" s="5" t="s">
        <v>80</v>
      </c>
      <c r="F421" s="5">
        <v>20141</v>
      </c>
      <c r="G421" s="5" t="s">
        <v>1354</v>
      </c>
      <c r="H421" s="5" t="s">
        <v>1355</v>
      </c>
      <c r="I421" s="5" t="s">
        <v>313</v>
      </c>
      <c r="N421" s="5" t="s">
        <v>1356</v>
      </c>
      <c r="O421" s="5">
        <v>21.65</v>
      </c>
      <c r="P421" s="5">
        <v>22.6</v>
      </c>
      <c r="Q421" s="5">
        <v>21.65</v>
      </c>
      <c r="R421" s="5">
        <v>22.55</v>
      </c>
      <c r="S421" s="5">
        <v>22.6</v>
      </c>
      <c r="T421" s="5">
        <v>22.95</v>
      </c>
      <c r="V421" s="5">
        <v>22.55</v>
      </c>
      <c r="Y421" s="5">
        <v>8000</v>
      </c>
      <c r="Z421" s="5">
        <v>178720</v>
      </c>
      <c r="AA421" s="5">
        <v>5</v>
      </c>
      <c r="AB421" s="5" t="s">
        <v>85</v>
      </c>
      <c r="AC421" s="5">
        <v>1600</v>
      </c>
    </row>
    <row r="422" spans="1:29" x14ac:dyDescent="0.3">
      <c r="A422" s="34">
        <v>46274</v>
      </c>
      <c r="B422" s="34">
        <v>46274</v>
      </c>
      <c r="C422" s="5" t="s">
        <v>78</v>
      </c>
      <c r="D422" s="5" t="s">
        <v>79</v>
      </c>
      <c r="E422" s="5" t="s">
        <v>80</v>
      </c>
      <c r="F422" s="5">
        <v>17735</v>
      </c>
      <c r="G422" s="5" t="s">
        <v>1357</v>
      </c>
      <c r="H422" s="5" t="s">
        <v>1358</v>
      </c>
      <c r="I422" s="5" t="s">
        <v>234</v>
      </c>
      <c r="N422" s="5" t="s">
        <v>1359</v>
      </c>
      <c r="O422" s="5">
        <v>301.60000000000002</v>
      </c>
      <c r="P422" s="5">
        <v>303.10000000000002</v>
      </c>
      <c r="Q422" s="5">
        <v>301.60000000000002</v>
      </c>
      <c r="R422" s="5">
        <v>301.60000000000002</v>
      </c>
      <c r="S422" s="5">
        <v>301.60000000000002</v>
      </c>
      <c r="T422" s="5">
        <v>307.75</v>
      </c>
      <c r="V422" s="5">
        <v>302</v>
      </c>
      <c r="Y422" s="5">
        <v>4475</v>
      </c>
      <c r="Z422" s="5">
        <v>1350201.5</v>
      </c>
      <c r="AA422" s="5">
        <v>53</v>
      </c>
      <c r="AB422" s="5" t="s">
        <v>85</v>
      </c>
      <c r="AC422" s="5">
        <v>1</v>
      </c>
    </row>
    <row r="423" spans="1:29" x14ac:dyDescent="0.3">
      <c r="A423" s="34">
        <v>46274</v>
      </c>
      <c r="B423" s="34">
        <v>46274</v>
      </c>
      <c r="C423" s="5" t="s">
        <v>78</v>
      </c>
      <c r="D423" s="5" t="s">
        <v>79</v>
      </c>
      <c r="E423" s="5" t="s">
        <v>80</v>
      </c>
      <c r="F423" s="5">
        <v>763363</v>
      </c>
      <c r="G423" s="5" t="s">
        <v>1360</v>
      </c>
      <c r="H423" s="5" t="s">
        <v>1361</v>
      </c>
      <c r="I423" s="5" t="s">
        <v>1362</v>
      </c>
      <c r="N423" s="5" t="s">
        <v>1363</v>
      </c>
      <c r="O423" s="5">
        <v>107.44</v>
      </c>
      <c r="P423" s="5">
        <v>107.5</v>
      </c>
      <c r="Q423" s="5">
        <v>106.06</v>
      </c>
      <c r="R423" s="5">
        <v>107.2</v>
      </c>
      <c r="S423" s="5">
        <v>107.5</v>
      </c>
      <c r="T423" s="5">
        <v>107.29</v>
      </c>
      <c r="V423" s="5">
        <v>107.2</v>
      </c>
      <c r="Y423" s="5">
        <v>963650</v>
      </c>
      <c r="Z423" s="5">
        <v>103241210.34</v>
      </c>
      <c r="AA423" s="5">
        <v>8490</v>
      </c>
      <c r="AB423" s="5" t="s">
        <v>85</v>
      </c>
      <c r="AC423" s="5">
        <v>1</v>
      </c>
    </row>
    <row r="424" spans="1:29" x14ac:dyDescent="0.3">
      <c r="A424" s="34">
        <v>46274</v>
      </c>
      <c r="B424" s="34">
        <v>46274</v>
      </c>
      <c r="C424" s="5" t="s">
        <v>78</v>
      </c>
      <c r="D424" s="5" t="s">
        <v>79</v>
      </c>
      <c r="E424" s="5" t="s">
        <v>80</v>
      </c>
      <c r="F424" s="5">
        <v>12989</v>
      </c>
      <c r="G424" s="5" t="s">
        <v>1364</v>
      </c>
      <c r="H424" s="5" t="s">
        <v>1365</v>
      </c>
      <c r="I424" s="5" t="s">
        <v>313</v>
      </c>
      <c r="N424" s="5" t="s">
        <v>1366</v>
      </c>
      <c r="O424" s="5">
        <v>835</v>
      </c>
      <c r="P424" s="5">
        <v>843</v>
      </c>
      <c r="Q424" s="5">
        <v>811</v>
      </c>
      <c r="R424" s="5">
        <v>826.35</v>
      </c>
      <c r="S424" s="5">
        <v>833</v>
      </c>
      <c r="T424" s="5">
        <v>829.5</v>
      </c>
      <c r="V424" s="5">
        <v>826.35</v>
      </c>
      <c r="Y424" s="5">
        <v>18375</v>
      </c>
      <c r="Z424" s="5">
        <v>15204581.25</v>
      </c>
      <c r="AA424" s="5">
        <v>42</v>
      </c>
      <c r="AB424" s="5" t="s">
        <v>85</v>
      </c>
      <c r="AC424" s="5">
        <v>375</v>
      </c>
    </row>
    <row r="425" spans="1:29" x14ac:dyDescent="0.3">
      <c r="A425" s="34">
        <v>46274</v>
      </c>
      <c r="B425" s="34">
        <v>46274</v>
      </c>
      <c r="C425" s="5" t="s">
        <v>78</v>
      </c>
      <c r="D425" s="5" t="s">
        <v>79</v>
      </c>
      <c r="E425" s="5" t="s">
        <v>80</v>
      </c>
      <c r="F425" s="5">
        <v>13794</v>
      </c>
      <c r="G425" s="5" t="s">
        <v>1367</v>
      </c>
      <c r="H425" s="5" t="s">
        <v>1368</v>
      </c>
      <c r="I425" s="5" t="s">
        <v>212</v>
      </c>
      <c r="N425" s="5" t="s">
        <v>1369</v>
      </c>
      <c r="O425" s="5">
        <v>12.28</v>
      </c>
      <c r="P425" s="5">
        <v>12.75</v>
      </c>
      <c r="Q425" s="5">
        <v>12</v>
      </c>
      <c r="R425" s="5">
        <v>12.03</v>
      </c>
      <c r="S425" s="5">
        <v>12</v>
      </c>
      <c r="T425" s="5">
        <v>12.05</v>
      </c>
      <c r="V425" s="5">
        <v>12.03</v>
      </c>
      <c r="Y425" s="5">
        <v>273260</v>
      </c>
      <c r="Z425" s="5">
        <v>3346012.59</v>
      </c>
      <c r="AA425" s="5">
        <v>720</v>
      </c>
      <c r="AB425" s="5" t="s">
        <v>85</v>
      </c>
      <c r="AC425" s="5">
        <v>1</v>
      </c>
    </row>
    <row r="426" spans="1:29" x14ac:dyDescent="0.3">
      <c r="A426" s="34">
        <v>46274</v>
      </c>
      <c r="B426" s="34">
        <v>46274</v>
      </c>
      <c r="C426" s="5" t="s">
        <v>78</v>
      </c>
      <c r="D426" s="5" t="s">
        <v>79</v>
      </c>
      <c r="E426" s="5" t="s">
        <v>80</v>
      </c>
      <c r="F426" s="5">
        <v>16669</v>
      </c>
      <c r="G426" s="5" t="s">
        <v>1370</v>
      </c>
      <c r="H426" s="5" t="s">
        <v>1371</v>
      </c>
      <c r="I426" s="5" t="s">
        <v>212</v>
      </c>
      <c r="N426" s="5" t="s">
        <v>1372</v>
      </c>
      <c r="O426" s="5">
        <v>11841</v>
      </c>
      <c r="P426" s="5">
        <v>11896</v>
      </c>
      <c r="Q426" s="5">
        <v>11740</v>
      </c>
      <c r="R426" s="5">
        <v>11790</v>
      </c>
      <c r="S426" s="5">
        <v>11790</v>
      </c>
      <c r="T426" s="5">
        <v>11880</v>
      </c>
      <c r="V426" s="5">
        <v>11790.04</v>
      </c>
      <c r="Y426" s="5">
        <v>119472</v>
      </c>
      <c r="Z426" s="5">
        <v>1409537491</v>
      </c>
      <c r="AA426" s="5">
        <v>23333</v>
      </c>
      <c r="AB426" s="5" t="s">
        <v>85</v>
      </c>
      <c r="AC426" s="5">
        <v>1</v>
      </c>
    </row>
    <row r="427" spans="1:29" x14ac:dyDescent="0.3">
      <c r="A427" s="34">
        <v>46274</v>
      </c>
      <c r="B427" s="34">
        <v>46274</v>
      </c>
      <c r="C427" s="5" t="s">
        <v>78</v>
      </c>
      <c r="D427" s="5" t="s">
        <v>79</v>
      </c>
      <c r="E427" s="5" t="s">
        <v>80</v>
      </c>
      <c r="F427" s="5">
        <v>19531</v>
      </c>
      <c r="G427" s="5" t="s">
        <v>1373</v>
      </c>
      <c r="H427" s="5" t="s">
        <v>1374</v>
      </c>
      <c r="I427" s="5" t="s">
        <v>212</v>
      </c>
      <c r="N427" s="5" t="s">
        <v>1375</v>
      </c>
      <c r="O427" s="5">
        <v>514.1</v>
      </c>
      <c r="P427" s="5">
        <v>524</v>
      </c>
      <c r="Q427" s="5">
        <v>509</v>
      </c>
      <c r="R427" s="5">
        <v>521.45000000000005</v>
      </c>
      <c r="S427" s="5">
        <v>522.29999999999995</v>
      </c>
      <c r="T427" s="5">
        <v>514.1</v>
      </c>
      <c r="V427" s="5">
        <v>521.45000000000005</v>
      </c>
      <c r="Y427" s="5">
        <v>824949</v>
      </c>
      <c r="Z427" s="5">
        <v>425944842.30000001</v>
      </c>
      <c r="AA427" s="5">
        <v>21543</v>
      </c>
      <c r="AB427" s="5" t="s">
        <v>85</v>
      </c>
      <c r="AC427" s="5">
        <v>1</v>
      </c>
    </row>
    <row r="428" spans="1:29" x14ac:dyDescent="0.3">
      <c r="A428" s="34">
        <v>46274</v>
      </c>
      <c r="B428" s="34">
        <v>46274</v>
      </c>
      <c r="C428" s="5" t="s">
        <v>78</v>
      </c>
      <c r="D428" s="5" t="s">
        <v>79</v>
      </c>
      <c r="E428" s="5" t="s">
        <v>80</v>
      </c>
      <c r="F428" s="5">
        <v>15034</v>
      </c>
      <c r="G428" s="5" t="s">
        <v>1376</v>
      </c>
      <c r="H428" s="5" t="s">
        <v>1377</v>
      </c>
      <c r="I428" s="5" t="s">
        <v>212</v>
      </c>
      <c r="N428" s="5" t="s">
        <v>1378</v>
      </c>
      <c r="O428" s="5">
        <v>336.55</v>
      </c>
      <c r="P428" s="5">
        <v>341.9</v>
      </c>
      <c r="Q428" s="5">
        <v>335.7</v>
      </c>
      <c r="R428" s="5">
        <v>339.8</v>
      </c>
      <c r="S428" s="5">
        <v>338</v>
      </c>
      <c r="T428" s="5">
        <v>339.95</v>
      </c>
      <c r="V428" s="5">
        <v>339.73</v>
      </c>
      <c r="Y428" s="5">
        <v>90932</v>
      </c>
      <c r="Z428" s="5">
        <v>30709699.850000001</v>
      </c>
      <c r="AA428" s="5">
        <v>3354</v>
      </c>
      <c r="AB428" s="5" t="s">
        <v>85</v>
      </c>
      <c r="AC428" s="5">
        <v>1</v>
      </c>
    </row>
    <row r="429" spans="1:29" x14ac:dyDescent="0.3">
      <c r="A429" s="34">
        <v>46274</v>
      </c>
      <c r="B429" s="34">
        <v>46274</v>
      </c>
      <c r="C429" s="5" t="s">
        <v>78</v>
      </c>
      <c r="D429" s="5" t="s">
        <v>79</v>
      </c>
      <c r="E429" s="5" t="s">
        <v>80</v>
      </c>
      <c r="F429" s="5">
        <v>317</v>
      </c>
      <c r="G429" s="5" t="s">
        <v>1379</v>
      </c>
      <c r="H429" s="5" t="s">
        <v>1380</v>
      </c>
      <c r="I429" s="5" t="s">
        <v>212</v>
      </c>
      <c r="N429" s="5" t="s">
        <v>1381</v>
      </c>
      <c r="O429" s="5">
        <v>1045.0999999999999</v>
      </c>
      <c r="P429" s="5">
        <v>1060.0999999999999</v>
      </c>
      <c r="Q429" s="5">
        <v>1038.5</v>
      </c>
      <c r="R429" s="5">
        <v>1039.3</v>
      </c>
      <c r="S429" s="5">
        <v>1039.3</v>
      </c>
      <c r="T429" s="5">
        <v>1054.0999999999999</v>
      </c>
      <c r="V429" s="5">
        <v>1039.3</v>
      </c>
      <c r="Y429" s="5">
        <v>9244698</v>
      </c>
      <c r="Z429" s="5">
        <v>9683776924.7000008</v>
      </c>
      <c r="AA429" s="5">
        <v>158288</v>
      </c>
      <c r="AB429" s="5" t="s">
        <v>85</v>
      </c>
      <c r="AC429" s="5">
        <v>1</v>
      </c>
    </row>
    <row r="430" spans="1:29" x14ac:dyDescent="0.3">
      <c r="A430" s="34">
        <v>46274</v>
      </c>
      <c r="B430" s="34">
        <v>46274</v>
      </c>
      <c r="C430" s="5" t="s">
        <v>78</v>
      </c>
      <c r="D430" s="5" t="s">
        <v>79</v>
      </c>
      <c r="E430" s="5" t="s">
        <v>80</v>
      </c>
      <c r="F430" s="5">
        <v>16675</v>
      </c>
      <c r="G430" s="5" t="s">
        <v>1382</v>
      </c>
      <c r="H430" s="5" t="s">
        <v>1383</v>
      </c>
      <c r="I430" s="5" t="s">
        <v>212</v>
      </c>
      <c r="N430" s="5" t="s">
        <v>1384</v>
      </c>
      <c r="O430" s="5">
        <v>1939.1</v>
      </c>
      <c r="P430" s="5">
        <v>1951.9</v>
      </c>
      <c r="Q430" s="5">
        <v>1921.5</v>
      </c>
      <c r="R430" s="5">
        <v>1927</v>
      </c>
      <c r="S430" s="5">
        <v>1927</v>
      </c>
      <c r="T430" s="5">
        <v>1938.1</v>
      </c>
      <c r="V430" s="5">
        <v>1927</v>
      </c>
      <c r="Y430" s="5">
        <v>617280</v>
      </c>
      <c r="Z430" s="5">
        <v>1194187351.8</v>
      </c>
      <c r="AA430" s="5">
        <v>39990</v>
      </c>
      <c r="AB430" s="5" t="s">
        <v>85</v>
      </c>
      <c r="AC430" s="5">
        <v>1</v>
      </c>
    </row>
    <row r="431" spans="1:29" x14ac:dyDescent="0.3">
      <c r="A431" s="34">
        <v>46274</v>
      </c>
      <c r="B431" s="34">
        <v>46274</v>
      </c>
      <c r="C431" s="5" t="s">
        <v>78</v>
      </c>
      <c r="D431" s="5" t="s">
        <v>79</v>
      </c>
      <c r="E431" s="5" t="s">
        <v>80</v>
      </c>
      <c r="F431" s="5">
        <v>6863</v>
      </c>
      <c r="G431" s="5" t="s">
        <v>1385</v>
      </c>
      <c r="H431" s="5" t="s">
        <v>1386</v>
      </c>
      <c r="I431" s="5" t="s">
        <v>212</v>
      </c>
      <c r="N431" s="5" t="s">
        <v>1387</v>
      </c>
      <c r="O431" s="5">
        <v>339.2</v>
      </c>
      <c r="P431" s="5">
        <v>339.2</v>
      </c>
      <c r="Q431" s="5">
        <v>331.25</v>
      </c>
      <c r="R431" s="5">
        <v>333.7</v>
      </c>
      <c r="S431" s="5">
        <v>333</v>
      </c>
      <c r="T431" s="5">
        <v>336.7</v>
      </c>
      <c r="V431" s="5">
        <v>333.64</v>
      </c>
      <c r="Y431" s="5">
        <v>83482</v>
      </c>
      <c r="Z431" s="5">
        <v>27815036.699999999</v>
      </c>
      <c r="AA431" s="5">
        <v>1896</v>
      </c>
      <c r="AB431" s="5" t="s">
        <v>85</v>
      </c>
      <c r="AC431" s="5">
        <v>1</v>
      </c>
    </row>
    <row r="432" spans="1:29" x14ac:dyDescent="0.3">
      <c r="A432" s="34">
        <v>46274</v>
      </c>
      <c r="B432" s="34">
        <v>46274</v>
      </c>
      <c r="C432" s="5" t="s">
        <v>78</v>
      </c>
      <c r="D432" s="5" t="s">
        <v>79</v>
      </c>
      <c r="E432" s="5" t="s">
        <v>80</v>
      </c>
      <c r="F432" s="5">
        <v>308</v>
      </c>
      <c r="G432" s="5" t="s">
        <v>1388</v>
      </c>
      <c r="H432" s="5" t="s">
        <v>1389</v>
      </c>
      <c r="I432" s="5" t="s">
        <v>212</v>
      </c>
      <c r="N432" s="5" t="s">
        <v>1390</v>
      </c>
      <c r="O432" s="5">
        <v>22.67</v>
      </c>
      <c r="P432" s="5">
        <v>22.67</v>
      </c>
      <c r="Q432" s="5">
        <v>21.16</v>
      </c>
      <c r="R432" s="5">
        <v>21.35</v>
      </c>
      <c r="S432" s="5">
        <v>21.32</v>
      </c>
      <c r="T432" s="5">
        <v>22.66</v>
      </c>
      <c r="V432" s="5">
        <v>21.35</v>
      </c>
      <c r="Y432" s="5">
        <v>26539319</v>
      </c>
      <c r="Z432" s="5">
        <v>573712544.88999999</v>
      </c>
      <c r="AA432" s="5">
        <v>30647</v>
      </c>
      <c r="AB432" s="5" t="s">
        <v>85</v>
      </c>
      <c r="AC432" s="5">
        <v>1</v>
      </c>
    </row>
    <row r="433" spans="1:29" x14ac:dyDescent="0.3">
      <c r="A433" s="34">
        <v>46274</v>
      </c>
      <c r="B433" s="34">
        <v>46274</v>
      </c>
      <c r="C433" s="5" t="s">
        <v>78</v>
      </c>
      <c r="D433" s="5" t="s">
        <v>79</v>
      </c>
      <c r="E433" s="5" t="s">
        <v>80</v>
      </c>
      <c r="F433" s="5">
        <v>305</v>
      </c>
      <c r="G433" s="5" t="s">
        <v>1391</v>
      </c>
      <c r="H433" s="5" t="s">
        <v>1392</v>
      </c>
      <c r="I433" s="5" t="s">
        <v>212</v>
      </c>
      <c r="N433" s="5" t="s">
        <v>1393</v>
      </c>
      <c r="O433" s="5">
        <v>11049</v>
      </c>
      <c r="P433" s="5">
        <v>11133</v>
      </c>
      <c r="Q433" s="5">
        <v>11001</v>
      </c>
      <c r="R433" s="5">
        <v>11078</v>
      </c>
      <c r="S433" s="5">
        <v>11078</v>
      </c>
      <c r="T433" s="5">
        <v>11046</v>
      </c>
      <c r="V433" s="5">
        <v>11079.11</v>
      </c>
      <c r="Y433" s="5">
        <v>18502</v>
      </c>
      <c r="Z433" s="5">
        <v>204931293</v>
      </c>
      <c r="AA433" s="5">
        <v>4353</v>
      </c>
      <c r="AB433" s="5" t="s">
        <v>85</v>
      </c>
      <c r="AC433" s="5">
        <v>1</v>
      </c>
    </row>
    <row r="434" spans="1:29" x14ac:dyDescent="0.3">
      <c r="A434" s="34">
        <v>46274</v>
      </c>
      <c r="B434" s="34">
        <v>46274</v>
      </c>
      <c r="C434" s="5" t="s">
        <v>78</v>
      </c>
      <c r="D434" s="5" t="s">
        <v>79</v>
      </c>
      <c r="E434" s="5" t="s">
        <v>80</v>
      </c>
      <c r="F434" s="5">
        <v>25270</v>
      </c>
      <c r="G434" s="5" t="s">
        <v>1394</v>
      </c>
      <c r="H434" s="5" t="s">
        <v>1395</v>
      </c>
      <c r="I434" s="5" t="s">
        <v>212</v>
      </c>
      <c r="N434" s="5" t="s">
        <v>1396</v>
      </c>
      <c r="O434" s="5">
        <v>84.1</v>
      </c>
      <c r="P434" s="5">
        <v>84.1</v>
      </c>
      <c r="Q434" s="5">
        <v>82.79</v>
      </c>
      <c r="R434" s="5">
        <v>82.92</v>
      </c>
      <c r="S434" s="5">
        <v>82.95</v>
      </c>
      <c r="T434" s="5">
        <v>84.01</v>
      </c>
      <c r="V434" s="5">
        <v>82.92</v>
      </c>
      <c r="Y434" s="5">
        <v>1812516</v>
      </c>
      <c r="Z434" s="5">
        <v>150695336.96000001</v>
      </c>
      <c r="AA434" s="5">
        <v>19047</v>
      </c>
      <c r="AB434" s="5" t="s">
        <v>85</v>
      </c>
      <c r="AC434" s="5">
        <v>1</v>
      </c>
    </row>
    <row r="435" spans="1:29" x14ac:dyDescent="0.3">
      <c r="A435" s="34">
        <v>46274</v>
      </c>
      <c r="B435" s="34">
        <v>46274</v>
      </c>
      <c r="C435" s="5" t="s">
        <v>78</v>
      </c>
      <c r="D435" s="5" t="s">
        <v>79</v>
      </c>
      <c r="E435" s="5" t="s">
        <v>80</v>
      </c>
      <c r="F435" s="5">
        <v>762563</v>
      </c>
      <c r="G435" s="5" t="s">
        <v>1397</v>
      </c>
      <c r="H435" s="5" t="s">
        <v>1398</v>
      </c>
      <c r="I435" s="5" t="s">
        <v>212</v>
      </c>
      <c r="N435" s="5" t="s">
        <v>1399</v>
      </c>
      <c r="O435" s="5">
        <v>365</v>
      </c>
      <c r="P435" s="5">
        <v>377.45</v>
      </c>
      <c r="Q435" s="5">
        <v>363</v>
      </c>
      <c r="R435" s="5">
        <v>369.85</v>
      </c>
      <c r="S435" s="5">
        <v>370</v>
      </c>
      <c r="T435" s="5">
        <v>365</v>
      </c>
      <c r="V435" s="5">
        <v>370.28</v>
      </c>
      <c r="Y435" s="5">
        <v>6692</v>
      </c>
      <c r="Z435" s="5">
        <v>2470723.4500000002</v>
      </c>
      <c r="AA435" s="5">
        <v>681</v>
      </c>
      <c r="AB435" s="5" t="s">
        <v>85</v>
      </c>
      <c r="AC435" s="5">
        <v>1</v>
      </c>
    </row>
    <row r="436" spans="1:29" x14ac:dyDescent="0.3">
      <c r="A436" s="34">
        <v>46274</v>
      </c>
      <c r="B436" s="34">
        <v>46274</v>
      </c>
      <c r="C436" s="5" t="s">
        <v>78</v>
      </c>
      <c r="D436" s="5" t="s">
        <v>79</v>
      </c>
      <c r="E436" s="5" t="s">
        <v>80</v>
      </c>
      <c r="F436" s="5">
        <v>20531</v>
      </c>
      <c r="G436" s="5" t="s">
        <v>1400</v>
      </c>
      <c r="H436" s="5" t="s">
        <v>1401</v>
      </c>
      <c r="I436" s="5" t="s">
        <v>212</v>
      </c>
      <c r="N436" s="5" t="s">
        <v>1402</v>
      </c>
      <c r="O436" s="5">
        <v>184.49</v>
      </c>
      <c r="P436" s="5">
        <v>184.9</v>
      </c>
      <c r="Q436" s="5">
        <v>182</v>
      </c>
      <c r="R436" s="5">
        <v>183.93</v>
      </c>
      <c r="S436" s="5">
        <v>183.11</v>
      </c>
      <c r="T436" s="5">
        <v>183.62</v>
      </c>
      <c r="V436" s="5">
        <v>183.89</v>
      </c>
      <c r="Y436" s="5">
        <v>90712</v>
      </c>
      <c r="Z436" s="5">
        <v>16651417.92</v>
      </c>
      <c r="AA436" s="5">
        <v>2012</v>
      </c>
      <c r="AB436" s="5" t="s">
        <v>85</v>
      </c>
      <c r="AC436" s="5">
        <v>1</v>
      </c>
    </row>
    <row r="437" spans="1:29" x14ac:dyDescent="0.3">
      <c r="A437" s="34">
        <v>46274</v>
      </c>
      <c r="B437" s="34">
        <v>46274</v>
      </c>
      <c r="C437" s="5" t="s">
        <v>78</v>
      </c>
      <c r="D437" s="5" t="s">
        <v>79</v>
      </c>
      <c r="E437" s="5" t="s">
        <v>80</v>
      </c>
      <c r="F437" s="5">
        <v>13441</v>
      </c>
      <c r="G437" s="5" t="s">
        <v>1403</v>
      </c>
      <c r="H437" s="5" t="s">
        <v>1404</v>
      </c>
      <c r="I437" s="5" t="s">
        <v>212</v>
      </c>
      <c r="N437" s="5" t="s">
        <v>1405</v>
      </c>
      <c r="O437" s="5">
        <v>95.1</v>
      </c>
      <c r="P437" s="5">
        <v>114.45</v>
      </c>
      <c r="Q437" s="5">
        <v>95.1</v>
      </c>
      <c r="R437" s="5">
        <v>114.45</v>
      </c>
      <c r="S437" s="5">
        <v>114.45</v>
      </c>
      <c r="T437" s="5">
        <v>95.38</v>
      </c>
      <c r="V437" s="5">
        <v>114.45</v>
      </c>
      <c r="Y437" s="5">
        <v>782802</v>
      </c>
      <c r="Z437" s="5">
        <v>85948835.400000006</v>
      </c>
      <c r="AA437" s="5">
        <v>6255</v>
      </c>
      <c r="AB437" s="5" t="s">
        <v>85</v>
      </c>
      <c r="AC437" s="5">
        <v>1</v>
      </c>
    </row>
    <row r="438" spans="1:29" x14ac:dyDescent="0.3">
      <c r="A438" s="34">
        <v>46274</v>
      </c>
      <c r="B438" s="34">
        <v>46274</v>
      </c>
      <c r="C438" s="5" t="s">
        <v>78</v>
      </c>
      <c r="D438" s="5" t="s">
        <v>79</v>
      </c>
      <c r="E438" s="5" t="s">
        <v>80</v>
      </c>
      <c r="F438" s="5">
        <v>14501</v>
      </c>
      <c r="G438" s="5" t="s">
        <v>1406</v>
      </c>
      <c r="H438" s="5" t="s">
        <v>1407</v>
      </c>
      <c r="I438" s="5" t="s">
        <v>212</v>
      </c>
      <c r="N438" s="5" t="s">
        <v>1408</v>
      </c>
      <c r="O438" s="5">
        <v>2475.4</v>
      </c>
      <c r="P438" s="5">
        <v>2487.1</v>
      </c>
      <c r="Q438" s="5">
        <v>2343</v>
      </c>
      <c r="R438" s="5">
        <v>2359.3000000000002</v>
      </c>
      <c r="S438" s="5">
        <v>2343</v>
      </c>
      <c r="T438" s="5">
        <v>2475.4</v>
      </c>
      <c r="V438" s="5">
        <v>2359.3000000000002</v>
      </c>
      <c r="Y438" s="5">
        <v>261839</v>
      </c>
      <c r="Z438" s="5">
        <v>624849816.89999998</v>
      </c>
      <c r="AA438" s="5">
        <v>28651</v>
      </c>
      <c r="AB438" s="5" t="s">
        <v>85</v>
      </c>
      <c r="AC438" s="5">
        <v>1</v>
      </c>
    </row>
    <row r="439" spans="1:29" x14ac:dyDescent="0.3">
      <c r="A439" s="34">
        <v>46274</v>
      </c>
      <c r="B439" s="34">
        <v>46274</v>
      </c>
      <c r="C439" s="5" t="s">
        <v>78</v>
      </c>
      <c r="D439" s="5" t="s">
        <v>79</v>
      </c>
      <c r="E439" s="5" t="s">
        <v>80</v>
      </c>
      <c r="F439" s="5">
        <v>30030</v>
      </c>
      <c r="G439" s="5" t="s">
        <v>1409</v>
      </c>
      <c r="H439" s="5" t="s">
        <v>1410</v>
      </c>
      <c r="I439" s="5" t="s">
        <v>313</v>
      </c>
      <c r="N439" s="5" t="s">
        <v>1411</v>
      </c>
      <c r="O439" s="5">
        <v>107.95</v>
      </c>
      <c r="P439" s="5">
        <v>113.5</v>
      </c>
      <c r="Q439" s="5">
        <v>107.95</v>
      </c>
      <c r="R439" s="5">
        <v>113</v>
      </c>
      <c r="S439" s="5">
        <v>113</v>
      </c>
      <c r="T439" s="5">
        <v>102.55</v>
      </c>
      <c r="V439" s="5">
        <v>113</v>
      </c>
      <c r="Y439" s="5">
        <v>18000</v>
      </c>
      <c r="Z439" s="5">
        <v>1997800</v>
      </c>
      <c r="AA439" s="5">
        <v>15</v>
      </c>
      <c r="AB439" s="5" t="s">
        <v>85</v>
      </c>
      <c r="AC439" s="5">
        <v>1000</v>
      </c>
    </row>
    <row r="440" spans="1:29" x14ac:dyDescent="0.3">
      <c r="A440" s="34">
        <v>46274</v>
      </c>
      <c r="B440" s="34">
        <v>46274</v>
      </c>
      <c r="C440" s="5" t="s">
        <v>78</v>
      </c>
      <c r="D440" s="5" t="s">
        <v>79</v>
      </c>
      <c r="E440" s="5" t="s">
        <v>80</v>
      </c>
      <c r="F440" s="5">
        <v>9158</v>
      </c>
      <c r="G440" s="5" t="s">
        <v>1412</v>
      </c>
      <c r="H440" s="5" t="s">
        <v>1413</v>
      </c>
      <c r="I440" s="5" t="s">
        <v>212</v>
      </c>
      <c r="N440" s="5" t="s">
        <v>1414</v>
      </c>
      <c r="O440" s="5">
        <v>93.6</v>
      </c>
      <c r="P440" s="5">
        <v>94.9</v>
      </c>
      <c r="Q440" s="5">
        <v>91.75</v>
      </c>
      <c r="R440" s="5">
        <v>92.85</v>
      </c>
      <c r="S440" s="5">
        <v>94.01</v>
      </c>
      <c r="T440" s="5">
        <v>93.42</v>
      </c>
      <c r="V440" s="5">
        <v>92.85</v>
      </c>
      <c r="Y440" s="5">
        <v>83298</v>
      </c>
      <c r="Z440" s="5">
        <v>7706792.9299999997</v>
      </c>
      <c r="AA440" s="5">
        <v>1214</v>
      </c>
      <c r="AB440" s="5" t="s">
        <v>85</v>
      </c>
      <c r="AC440" s="5">
        <v>1</v>
      </c>
    </row>
    <row r="441" spans="1:29" x14ac:dyDescent="0.3">
      <c r="A441" s="34">
        <v>46274</v>
      </c>
      <c r="B441" s="34">
        <v>46274</v>
      </c>
      <c r="C441" s="5" t="s">
        <v>78</v>
      </c>
      <c r="D441" s="5" t="s">
        <v>79</v>
      </c>
      <c r="E441" s="5" t="s">
        <v>80</v>
      </c>
      <c r="F441" s="5">
        <v>11309</v>
      </c>
      <c r="G441" s="5" t="s">
        <v>1415</v>
      </c>
      <c r="H441" s="5" t="s">
        <v>1416</v>
      </c>
      <c r="I441" s="5" t="s">
        <v>212</v>
      </c>
      <c r="N441" s="5" t="s">
        <v>1417</v>
      </c>
      <c r="O441" s="5">
        <v>24.18</v>
      </c>
      <c r="P441" s="5">
        <v>25.05</v>
      </c>
      <c r="Q441" s="5">
        <v>22.7</v>
      </c>
      <c r="R441" s="5">
        <v>23.68</v>
      </c>
      <c r="S441" s="5">
        <v>23.4</v>
      </c>
      <c r="T441" s="5">
        <v>23.34</v>
      </c>
      <c r="V441" s="5">
        <v>23.68</v>
      </c>
      <c r="Y441" s="5">
        <v>87548</v>
      </c>
      <c r="Z441" s="5">
        <v>2082557.53</v>
      </c>
      <c r="AA441" s="5">
        <v>421</v>
      </c>
      <c r="AB441" s="5" t="s">
        <v>85</v>
      </c>
      <c r="AC441" s="5">
        <v>1</v>
      </c>
    </row>
    <row r="442" spans="1:29" x14ac:dyDescent="0.3">
      <c r="A442" s="34">
        <v>46274</v>
      </c>
      <c r="B442" s="34">
        <v>46274</v>
      </c>
      <c r="C442" s="5" t="s">
        <v>78</v>
      </c>
      <c r="D442" s="5" t="s">
        <v>79</v>
      </c>
      <c r="E442" s="5" t="s">
        <v>80</v>
      </c>
      <c r="F442" s="5">
        <v>335</v>
      </c>
      <c r="G442" s="5" t="s">
        <v>1418</v>
      </c>
      <c r="H442" s="5" t="s">
        <v>1419</v>
      </c>
      <c r="I442" s="5" t="s">
        <v>212</v>
      </c>
      <c r="N442" s="5" t="s">
        <v>1420</v>
      </c>
      <c r="O442" s="5">
        <v>2220</v>
      </c>
      <c r="P442" s="5">
        <v>2248.5</v>
      </c>
      <c r="Q442" s="5">
        <v>2191.3000000000002</v>
      </c>
      <c r="R442" s="5">
        <v>2208.6</v>
      </c>
      <c r="S442" s="5">
        <v>2201.9</v>
      </c>
      <c r="T442" s="5">
        <v>2258</v>
      </c>
      <c r="V442" s="5">
        <v>2208.6</v>
      </c>
      <c r="Y442" s="5">
        <v>491646</v>
      </c>
      <c r="Z442" s="5">
        <v>1087675774</v>
      </c>
      <c r="AA442" s="5">
        <v>50936</v>
      </c>
      <c r="AB442" s="5" t="s">
        <v>85</v>
      </c>
      <c r="AC442" s="5">
        <v>1</v>
      </c>
    </row>
    <row r="443" spans="1:29" x14ac:dyDescent="0.3">
      <c r="A443" s="34">
        <v>46274</v>
      </c>
      <c r="B443" s="34">
        <v>46274</v>
      </c>
      <c r="C443" s="5" t="s">
        <v>78</v>
      </c>
      <c r="D443" s="5" t="s">
        <v>79</v>
      </c>
      <c r="E443" s="5" t="s">
        <v>80</v>
      </c>
      <c r="F443" s="5">
        <v>10181</v>
      </c>
      <c r="G443" s="5" t="s">
        <v>1421</v>
      </c>
      <c r="H443" s="5" t="s">
        <v>1422</v>
      </c>
      <c r="I443" s="5" t="s">
        <v>212</v>
      </c>
      <c r="N443" s="5" t="s">
        <v>1423</v>
      </c>
      <c r="O443" s="5">
        <v>17.059999999999999</v>
      </c>
      <c r="P443" s="5">
        <v>17.29</v>
      </c>
      <c r="Q443" s="5">
        <v>16.16</v>
      </c>
      <c r="R443" s="5">
        <v>16.52</v>
      </c>
      <c r="S443" s="5">
        <v>16.510000000000002</v>
      </c>
      <c r="T443" s="5">
        <v>17.03</v>
      </c>
      <c r="V443" s="5">
        <v>16.52</v>
      </c>
      <c r="Y443" s="5">
        <v>23179</v>
      </c>
      <c r="Z443" s="5">
        <v>384657.93</v>
      </c>
      <c r="AA443" s="5">
        <v>141</v>
      </c>
      <c r="AB443" s="5" t="s">
        <v>85</v>
      </c>
      <c r="AC443" s="5">
        <v>1</v>
      </c>
    </row>
    <row r="444" spans="1:29" x14ac:dyDescent="0.3">
      <c r="A444" s="34">
        <v>46274</v>
      </c>
      <c r="B444" s="34">
        <v>46274</v>
      </c>
      <c r="C444" s="5" t="s">
        <v>78</v>
      </c>
      <c r="D444" s="5" t="s">
        <v>79</v>
      </c>
      <c r="E444" s="5" t="s">
        <v>80</v>
      </c>
      <c r="F444" s="5">
        <v>338</v>
      </c>
      <c r="G444" s="5" t="s">
        <v>1424</v>
      </c>
      <c r="H444" s="5" t="s">
        <v>1425</v>
      </c>
      <c r="I444" s="5" t="s">
        <v>212</v>
      </c>
      <c r="N444" s="5" t="s">
        <v>1426</v>
      </c>
      <c r="O444" s="5">
        <v>177</v>
      </c>
      <c r="P444" s="5">
        <v>177</v>
      </c>
      <c r="Q444" s="5">
        <v>175.24</v>
      </c>
      <c r="R444" s="5">
        <v>175.6</v>
      </c>
      <c r="S444" s="5">
        <v>175.98</v>
      </c>
      <c r="T444" s="5">
        <v>176.38</v>
      </c>
      <c r="V444" s="5">
        <v>175.59</v>
      </c>
      <c r="Y444" s="5">
        <v>112860</v>
      </c>
      <c r="Z444" s="5">
        <v>19846619.079999998</v>
      </c>
      <c r="AA444" s="5">
        <v>2078</v>
      </c>
      <c r="AB444" s="5" t="s">
        <v>85</v>
      </c>
      <c r="AC444" s="5">
        <v>1</v>
      </c>
    </row>
    <row r="445" spans="1:29" x14ac:dyDescent="0.3">
      <c r="A445" s="34">
        <v>46274</v>
      </c>
      <c r="B445" s="34">
        <v>46274</v>
      </c>
      <c r="C445" s="5" t="s">
        <v>78</v>
      </c>
      <c r="D445" s="5" t="s">
        <v>79</v>
      </c>
      <c r="E445" s="5" t="s">
        <v>80</v>
      </c>
      <c r="F445" s="5">
        <v>762603</v>
      </c>
      <c r="G445" s="5" t="s">
        <v>1427</v>
      </c>
      <c r="H445" s="5" t="s">
        <v>1428</v>
      </c>
      <c r="I445" s="5" t="s">
        <v>212</v>
      </c>
      <c r="N445" s="5" t="s">
        <v>1429</v>
      </c>
      <c r="O445" s="5">
        <v>72.349999999999994</v>
      </c>
      <c r="P445" s="5">
        <v>72.430000000000007</v>
      </c>
      <c r="Q445" s="5">
        <v>71.5</v>
      </c>
      <c r="R445" s="5">
        <v>72.010000000000005</v>
      </c>
      <c r="S445" s="5">
        <v>72.12</v>
      </c>
      <c r="T445" s="5">
        <v>72.430000000000007</v>
      </c>
      <c r="V445" s="5">
        <v>72.02</v>
      </c>
      <c r="Y445" s="5">
        <v>123875</v>
      </c>
      <c r="Z445" s="5">
        <v>8915280.7400000002</v>
      </c>
      <c r="AA445" s="5">
        <v>1412</v>
      </c>
      <c r="AB445" s="5" t="s">
        <v>85</v>
      </c>
      <c r="AC445" s="5">
        <v>1</v>
      </c>
    </row>
    <row r="446" spans="1:29" x14ac:dyDescent="0.3">
      <c r="A446" s="34">
        <v>46274</v>
      </c>
      <c r="B446" s="34">
        <v>46274</v>
      </c>
      <c r="C446" s="5" t="s">
        <v>78</v>
      </c>
      <c r="D446" s="5" t="s">
        <v>79</v>
      </c>
      <c r="E446" s="5" t="s">
        <v>80</v>
      </c>
      <c r="F446" s="5">
        <v>341</v>
      </c>
      <c r="G446" s="5" t="s">
        <v>1430</v>
      </c>
      <c r="H446" s="5" t="s">
        <v>1431</v>
      </c>
      <c r="I446" s="5" t="s">
        <v>212</v>
      </c>
      <c r="N446" s="5" t="s">
        <v>1432</v>
      </c>
      <c r="O446" s="5">
        <v>710.05</v>
      </c>
      <c r="P446" s="5">
        <v>710.05</v>
      </c>
      <c r="Q446" s="5">
        <v>689</v>
      </c>
      <c r="R446" s="5">
        <v>700.05</v>
      </c>
      <c r="S446" s="5">
        <v>701.55</v>
      </c>
      <c r="T446" s="5">
        <v>711.45</v>
      </c>
      <c r="V446" s="5">
        <v>700.02</v>
      </c>
      <c r="Y446" s="5">
        <v>1337773</v>
      </c>
      <c r="Z446" s="5">
        <v>932221956.10000002</v>
      </c>
      <c r="AA446" s="5">
        <v>23146</v>
      </c>
      <c r="AB446" s="5" t="s">
        <v>85</v>
      </c>
      <c r="AC446" s="5">
        <v>1</v>
      </c>
    </row>
    <row r="447" spans="1:29" x14ac:dyDescent="0.3">
      <c r="A447" s="34">
        <v>46274</v>
      </c>
      <c r="B447" s="34">
        <v>46274</v>
      </c>
      <c r="C447" s="5" t="s">
        <v>78</v>
      </c>
      <c r="D447" s="5" t="s">
        <v>79</v>
      </c>
      <c r="E447" s="5" t="s">
        <v>80</v>
      </c>
      <c r="F447" s="5">
        <v>23607</v>
      </c>
      <c r="G447" s="5" t="s">
        <v>1433</v>
      </c>
      <c r="H447" s="5" t="s">
        <v>1434</v>
      </c>
      <c r="I447" s="5" t="s">
        <v>212</v>
      </c>
      <c r="N447" s="5" t="s">
        <v>1435</v>
      </c>
      <c r="O447" s="5">
        <v>539.79999999999995</v>
      </c>
      <c r="P447" s="5">
        <v>554.9</v>
      </c>
      <c r="Q447" s="5">
        <v>528.35</v>
      </c>
      <c r="R447" s="5">
        <v>541.54999999999995</v>
      </c>
      <c r="S447" s="5">
        <v>543.29999999999995</v>
      </c>
      <c r="T447" s="5">
        <v>541.65</v>
      </c>
      <c r="V447" s="5">
        <v>541.54999999999995</v>
      </c>
      <c r="Y447" s="5">
        <v>1038353</v>
      </c>
      <c r="Z447" s="5">
        <v>562308888.39999998</v>
      </c>
      <c r="AA447" s="5">
        <v>24421</v>
      </c>
      <c r="AB447" s="5" t="s">
        <v>85</v>
      </c>
      <c r="AC447" s="5">
        <v>1</v>
      </c>
    </row>
    <row r="448" spans="1:29" x14ac:dyDescent="0.3">
      <c r="A448" s="34">
        <v>46274</v>
      </c>
      <c r="B448" s="34">
        <v>46274</v>
      </c>
      <c r="C448" s="5" t="s">
        <v>78</v>
      </c>
      <c r="D448" s="5" t="s">
        <v>79</v>
      </c>
      <c r="E448" s="5" t="s">
        <v>80</v>
      </c>
      <c r="F448" s="5">
        <v>347</v>
      </c>
      <c r="G448" s="5" t="s">
        <v>1436</v>
      </c>
      <c r="H448" s="5" t="s">
        <v>1437</v>
      </c>
      <c r="I448" s="5" t="s">
        <v>212</v>
      </c>
      <c r="N448" s="5" t="s">
        <v>1438</v>
      </c>
      <c r="O448" s="5">
        <v>110.48</v>
      </c>
      <c r="P448" s="5">
        <v>112.8</v>
      </c>
      <c r="Q448" s="5">
        <v>110</v>
      </c>
      <c r="R448" s="5">
        <v>111.11</v>
      </c>
      <c r="S448" s="5">
        <v>111</v>
      </c>
      <c r="T448" s="5">
        <v>109.99</v>
      </c>
      <c r="V448" s="5">
        <v>111.11</v>
      </c>
      <c r="Y448" s="5">
        <v>650</v>
      </c>
      <c r="Z448" s="5">
        <v>72042.77</v>
      </c>
      <c r="AA448" s="5">
        <v>26</v>
      </c>
      <c r="AB448" s="5" t="s">
        <v>85</v>
      </c>
      <c r="AC448" s="5">
        <v>1</v>
      </c>
    </row>
    <row r="449" spans="1:29" x14ac:dyDescent="0.3">
      <c r="A449" s="34">
        <v>46274</v>
      </c>
      <c r="B449" s="34">
        <v>46274</v>
      </c>
      <c r="C449" s="5" t="s">
        <v>78</v>
      </c>
      <c r="D449" s="5" t="s">
        <v>79</v>
      </c>
      <c r="E449" s="5" t="s">
        <v>80</v>
      </c>
      <c r="F449" s="5">
        <v>13880</v>
      </c>
      <c r="G449" s="5" t="s">
        <v>1439</v>
      </c>
      <c r="H449" s="5" t="s">
        <v>1440</v>
      </c>
      <c r="I449" s="5" t="s">
        <v>212</v>
      </c>
      <c r="N449" s="5" t="s">
        <v>1441</v>
      </c>
      <c r="O449" s="5">
        <v>628</v>
      </c>
      <c r="P449" s="5">
        <v>649</v>
      </c>
      <c r="Q449" s="5">
        <v>624.25</v>
      </c>
      <c r="R449" s="5">
        <v>635.15</v>
      </c>
      <c r="S449" s="5">
        <v>634.1</v>
      </c>
      <c r="T449" s="5">
        <v>628.29999999999995</v>
      </c>
      <c r="V449" s="5">
        <v>635.14</v>
      </c>
      <c r="Y449" s="5">
        <v>222414</v>
      </c>
      <c r="Z449" s="5">
        <v>141885878.34999999</v>
      </c>
      <c r="AA449" s="5">
        <v>9510</v>
      </c>
      <c r="AB449" s="5" t="s">
        <v>85</v>
      </c>
      <c r="AC449" s="5">
        <v>1</v>
      </c>
    </row>
    <row r="450" spans="1:29" x14ac:dyDescent="0.3">
      <c r="A450" s="34">
        <v>46274</v>
      </c>
      <c r="B450" s="34">
        <v>46274</v>
      </c>
      <c r="C450" s="5" t="s">
        <v>78</v>
      </c>
      <c r="D450" s="5" t="s">
        <v>79</v>
      </c>
      <c r="E450" s="5" t="s">
        <v>80</v>
      </c>
      <c r="F450" s="5">
        <v>2263</v>
      </c>
      <c r="G450" s="5" t="s">
        <v>1442</v>
      </c>
      <c r="H450" s="5" t="s">
        <v>1443</v>
      </c>
      <c r="I450" s="5" t="s">
        <v>212</v>
      </c>
      <c r="N450" s="5" t="s">
        <v>1444</v>
      </c>
      <c r="O450" s="5">
        <v>170.6</v>
      </c>
      <c r="P450" s="5">
        <v>174.96</v>
      </c>
      <c r="Q450" s="5">
        <v>168.65</v>
      </c>
      <c r="R450" s="5">
        <v>171.7</v>
      </c>
      <c r="S450" s="5">
        <v>171.7</v>
      </c>
      <c r="T450" s="5">
        <v>171.58</v>
      </c>
      <c r="V450" s="5">
        <v>171.67</v>
      </c>
      <c r="Y450" s="5">
        <v>11130322</v>
      </c>
      <c r="Z450" s="5">
        <v>1917199829.51</v>
      </c>
      <c r="AA450" s="5">
        <v>50804</v>
      </c>
      <c r="AB450" s="5" t="s">
        <v>85</v>
      </c>
      <c r="AC450" s="5">
        <v>1</v>
      </c>
    </row>
    <row r="451" spans="1:29" x14ac:dyDescent="0.3">
      <c r="A451" s="34">
        <v>46274</v>
      </c>
      <c r="B451" s="34">
        <v>46274</v>
      </c>
      <c r="C451" s="5" t="s">
        <v>78</v>
      </c>
      <c r="D451" s="5" t="s">
        <v>79</v>
      </c>
      <c r="E451" s="5" t="s">
        <v>80</v>
      </c>
      <c r="F451" s="5">
        <v>760325</v>
      </c>
      <c r="G451" s="5" t="s">
        <v>1445</v>
      </c>
      <c r="H451" s="5" t="s">
        <v>1446</v>
      </c>
      <c r="I451" s="5" t="s">
        <v>212</v>
      </c>
      <c r="N451" s="5" t="s">
        <v>1447</v>
      </c>
      <c r="O451" s="5">
        <v>152.36000000000001</v>
      </c>
      <c r="P451" s="5">
        <v>152.69</v>
      </c>
      <c r="Q451" s="5">
        <v>151.15</v>
      </c>
      <c r="R451" s="5">
        <v>152.03</v>
      </c>
      <c r="S451" s="5">
        <v>151.47</v>
      </c>
      <c r="T451" s="5">
        <v>152.36000000000001</v>
      </c>
      <c r="V451" s="5">
        <v>152.05000000000001</v>
      </c>
      <c r="Y451" s="5">
        <v>6005</v>
      </c>
      <c r="Z451" s="5">
        <v>912686.29</v>
      </c>
      <c r="AA451" s="5">
        <v>114</v>
      </c>
      <c r="AB451" s="5" t="s">
        <v>85</v>
      </c>
      <c r="AC451" s="5">
        <v>1</v>
      </c>
    </row>
    <row r="452" spans="1:29" x14ac:dyDescent="0.3">
      <c r="A452" s="34">
        <v>46274</v>
      </c>
      <c r="B452" s="34">
        <v>46274</v>
      </c>
      <c r="C452" s="5" t="s">
        <v>78</v>
      </c>
      <c r="D452" s="5" t="s">
        <v>79</v>
      </c>
      <c r="E452" s="5" t="s">
        <v>80</v>
      </c>
      <c r="F452" s="5">
        <v>18783</v>
      </c>
      <c r="G452" s="5" t="s">
        <v>1448</v>
      </c>
      <c r="H452" s="5" t="s">
        <v>1449</v>
      </c>
      <c r="I452" s="5" t="s">
        <v>212</v>
      </c>
      <c r="N452" s="5" t="s">
        <v>1450</v>
      </c>
      <c r="O452" s="5">
        <v>259.52999999999997</v>
      </c>
      <c r="P452" s="5">
        <v>260.77</v>
      </c>
      <c r="Q452" s="5">
        <v>259.35000000000002</v>
      </c>
      <c r="R452" s="5">
        <v>259.95999999999998</v>
      </c>
      <c r="S452" s="5">
        <v>259.35000000000002</v>
      </c>
      <c r="T452" s="5">
        <v>261.92</v>
      </c>
      <c r="V452" s="5">
        <v>259.95999999999998</v>
      </c>
      <c r="Y452" s="5">
        <v>1475</v>
      </c>
      <c r="Z452" s="5">
        <v>383647.65</v>
      </c>
      <c r="AA452" s="5">
        <v>47</v>
      </c>
      <c r="AB452" s="5" t="s">
        <v>85</v>
      </c>
      <c r="AC452" s="5">
        <v>1</v>
      </c>
    </row>
    <row r="453" spans="1:29" x14ac:dyDescent="0.3">
      <c r="A453" s="34">
        <v>46274</v>
      </c>
      <c r="B453" s="34">
        <v>46274</v>
      </c>
      <c r="C453" s="5" t="s">
        <v>78</v>
      </c>
      <c r="D453" s="5" t="s">
        <v>79</v>
      </c>
      <c r="E453" s="5" t="s">
        <v>80</v>
      </c>
      <c r="F453" s="5">
        <v>760328</v>
      </c>
      <c r="G453" s="5" t="s">
        <v>1451</v>
      </c>
      <c r="H453" s="5" t="s">
        <v>1452</v>
      </c>
      <c r="I453" s="5" t="s">
        <v>212</v>
      </c>
      <c r="N453" s="5" t="s">
        <v>1453</v>
      </c>
      <c r="O453" s="5">
        <v>233.05</v>
      </c>
      <c r="P453" s="5">
        <v>234.89</v>
      </c>
      <c r="Q453" s="5">
        <v>231.84</v>
      </c>
      <c r="R453" s="5">
        <v>233.12</v>
      </c>
      <c r="S453" s="5">
        <v>233.15</v>
      </c>
      <c r="T453" s="5">
        <v>231.9</v>
      </c>
      <c r="V453" s="5">
        <v>233.12</v>
      </c>
      <c r="Y453" s="5">
        <v>12000</v>
      </c>
      <c r="Z453" s="5">
        <v>2799070.61</v>
      </c>
      <c r="AA453" s="5">
        <v>115</v>
      </c>
      <c r="AB453" s="5" t="s">
        <v>85</v>
      </c>
      <c r="AC453" s="5">
        <v>1</v>
      </c>
    </row>
    <row r="454" spans="1:29" x14ac:dyDescent="0.3">
      <c r="A454" s="34">
        <v>46274</v>
      </c>
      <c r="B454" s="34">
        <v>46274</v>
      </c>
      <c r="C454" s="5" t="s">
        <v>78</v>
      </c>
      <c r="D454" s="5" t="s">
        <v>79</v>
      </c>
      <c r="E454" s="5" t="s">
        <v>80</v>
      </c>
      <c r="F454" s="5">
        <v>15303</v>
      </c>
      <c r="G454" s="5" t="s">
        <v>1454</v>
      </c>
      <c r="H454" s="5" t="s">
        <v>1455</v>
      </c>
      <c r="I454" s="5" t="s">
        <v>212</v>
      </c>
      <c r="N454" s="5" t="s">
        <v>1456</v>
      </c>
      <c r="O454" s="5">
        <v>34.25</v>
      </c>
      <c r="P454" s="5">
        <v>35.99</v>
      </c>
      <c r="Q454" s="5">
        <v>33.049999999999997</v>
      </c>
      <c r="R454" s="5">
        <v>35.630000000000003</v>
      </c>
      <c r="S454" s="5">
        <v>35.6</v>
      </c>
      <c r="T454" s="5">
        <v>33.520000000000003</v>
      </c>
      <c r="V454" s="5">
        <v>35.65</v>
      </c>
      <c r="Y454" s="5">
        <v>144212</v>
      </c>
      <c r="Z454" s="5">
        <v>5060179.07</v>
      </c>
      <c r="AA454" s="5">
        <v>726</v>
      </c>
      <c r="AB454" s="5" t="s">
        <v>85</v>
      </c>
      <c r="AC454" s="5">
        <v>1</v>
      </c>
    </row>
    <row r="455" spans="1:29" x14ac:dyDescent="0.3">
      <c r="A455" s="34">
        <v>46274</v>
      </c>
      <c r="B455" s="34">
        <v>46274</v>
      </c>
      <c r="C455" s="5" t="s">
        <v>78</v>
      </c>
      <c r="D455" s="5" t="s">
        <v>79</v>
      </c>
      <c r="E455" s="5" t="s">
        <v>80</v>
      </c>
      <c r="F455" s="5">
        <v>4668</v>
      </c>
      <c r="G455" s="5" t="s">
        <v>1457</v>
      </c>
      <c r="H455" s="5" t="s">
        <v>1458</v>
      </c>
      <c r="I455" s="5" t="s">
        <v>212</v>
      </c>
      <c r="N455" s="5" t="s">
        <v>1459</v>
      </c>
      <c r="O455" s="5">
        <v>236.65</v>
      </c>
      <c r="P455" s="5">
        <v>237.15</v>
      </c>
      <c r="Q455" s="5">
        <v>234.05</v>
      </c>
      <c r="R455" s="5">
        <v>234.1</v>
      </c>
      <c r="S455" s="5">
        <v>234.1</v>
      </c>
      <c r="T455" s="5">
        <v>236.6</v>
      </c>
      <c r="V455" s="5">
        <v>234.1</v>
      </c>
      <c r="Y455" s="5">
        <v>14888061</v>
      </c>
      <c r="Z455" s="5">
        <v>3504341135.5</v>
      </c>
      <c r="AA455" s="5">
        <v>66521</v>
      </c>
      <c r="AB455" s="5" t="s">
        <v>85</v>
      </c>
      <c r="AC455" s="5">
        <v>1</v>
      </c>
    </row>
    <row r="456" spans="1:29" x14ac:dyDescent="0.3">
      <c r="A456" s="34">
        <v>46274</v>
      </c>
      <c r="B456" s="34">
        <v>46274</v>
      </c>
      <c r="C456" s="5" t="s">
        <v>78</v>
      </c>
      <c r="D456" s="5" t="s">
        <v>79</v>
      </c>
      <c r="E456" s="5" t="s">
        <v>80</v>
      </c>
      <c r="F456" s="5">
        <v>4745</v>
      </c>
      <c r="G456" s="5" t="s">
        <v>1460</v>
      </c>
      <c r="H456" s="5" t="s">
        <v>1461</v>
      </c>
      <c r="I456" s="5" t="s">
        <v>212</v>
      </c>
      <c r="N456" s="5" t="s">
        <v>1462</v>
      </c>
      <c r="O456" s="5">
        <v>140.38</v>
      </c>
      <c r="P456" s="5">
        <v>142.44999999999999</v>
      </c>
      <c r="Q456" s="5">
        <v>139.80000000000001</v>
      </c>
      <c r="R456" s="5">
        <v>141.06</v>
      </c>
      <c r="S456" s="5">
        <v>141.06</v>
      </c>
      <c r="T456" s="5">
        <v>140.86000000000001</v>
      </c>
      <c r="V456" s="5">
        <v>141.06</v>
      </c>
      <c r="Y456" s="5">
        <v>6061098</v>
      </c>
      <c r="Z456" s="5">
        <v>855718105.53999996</v>
      </c>
      <c r="AA456" s="5">
        <v>29422</v>
      </c>
      <c r="AB456" s="5" t="s">
        <v>85</v>
      </c>
      <c r="AC456" s="5">
        <v>1</v>
      </c>
    </row>
    <row r="457" spans="1:29" x14ac:dyDescent="0.3">
      <c r="A457" s="34">
        <v>46274</v>
      </c>
      <c r="B457" s="34">
        <v>46274</v>
      </c>
      <c r="C457" s="5" t="s">
        <v>78</v>
      </c>
      <c r="D457" s="5" t="s">
        <v>79</v>
      </c>
      <c r="E457" s="5" t="s">
        <v>80</v>
      </c>
      <c r="F457" s="5">
        <v>11377</v>
      </c>
      <c r="G457" s="5" t="s">
        <v>1463</v>
      </c>
      <c r="H457" s="5" t="s">
        <v>1464</v>
      </c>
      <c r="I457" s="5" t="s">
        <v>212</v>
      </c>
      <c r="N457" s="5" t="s">
        <v>1465</v>
      </c>
      <c r="O457" s="5">
        <v>84.78</v>
      </c>
      <c r="P457" s="5">
        <v>84.8</v>
      </c>
      <c r="Q457" s="5">
        <v>83.6</v>
      </c>
      <c r="R457" s="5">
        <v>84.56</v>
      </c>
      <c r="S457" s="5">
        <v>84.56</v>
      </c>
      <c r="T457" s="5">
        <v>84.79</v>
      </c>
      <c r="V457" s="5">
        <v>84.56</v>
      </c>
      <c r="Y457" s="5">
        <v>11713367</v>
      </c>
      <c r="Z457" s="5">
        <v>986210570.47000003</v>
      </c>
      <c r="AA457" s="5">
        <v>31038</v>
      </c>
      <c r="AB457" s="5" t="s">
        <v>85</v>
      </c>
      <c r="AC457" s="5">
        <v>1</v>
      </c>
    </row>
    <row r="458" spans="1:29" x14ac:dyDescent="0.3">
      <c r="A458" s="34">
        <v>46274</v>
      </c>
      <c r="B458" s="34">
        <v>46274</v>
      </c>
      <c r="C458" s="5" t="s">
        <v>78</v>
      </c>
      <c r="D458" s="5" t="s">
        <v>79</v>
      </c>
      <c r="E458" s="5" t="s">
        <v>80</v>
      </c>
      <c r="F458" s="5">
        <v>822</v>
      </c>
      <c r="G458" s="5" t="s">
        <v>1466</v>
      </c>
      <c r="H458" s="5" t="s">
        <v>1467</v>
      </c>
      <c r="I458" s="5" t="s">
        <v>212</v>
      </c>
      <c r="N458" s="5" t="s">
        <v>1468</v>
      </c>
      <c r="O458" s="5">
        <v>76.209999999999994</v>
      </c>
      <c r="P458" s="5">
        <v>82.39</v>
      </c>
      <c r="Q458" s="5">
        <v>75.150000000000006</v>
      </c>
      <c r="R458" s="5">
        <v>77.56</v>
      </c>
      <c r="S458" s="5">
        <v>77.3</v>
      </c>
      <c r="T458" s="5">
        <v>79.099999999999994</v>
      </c>
      <c r="V458" s="5">
        <v>77.56</v>
      </c>
      <c r="Y458" s="5">
        <v>13182</v>
      </c>
      <c r="Z458" s="5">
        <v>1023384.14</v>
      </c>
      <c r="AA458" s="5">
        <v>199</v>
      </c>
      <c r="AB458" s="5" t="s">
        <v>85</v>
      </c>
      <c r="AC458" s="5">
        <v>1</v>
      </c>
    </row>
    <row r="459" spans="1:29" x14ac:dyDescent="0.3">
      <c r="A459" s="34">
        <v>46274</v>
      </c>
      <c r="B459" s="34">
        <v>46274</v>
      </c>
      <c r="C459" s="5" t="s">
        <v>78</v>
      </c>
      <c r="D459" s="5" t="s">
        <v>79</v>
      </c>
      <c r="E459" s="5" t="s">
        <v>80</v>
      </c>
      <c r="F459" s="5">
        <v>12037</v>
      </c>
      <c r="G459" s="5" t="s">
        <v>1469</v>
      </c>
      <c r="H459" s="5" t="s">
        <v>1470</v>
      </c>
      <c r="I459" s="5" t="s">
        <v>234</v>
      </c>
      <c r="N459" s="5" t="s">
        <v>1471</v>
      </c>
      <c r="O459" s="5">
        <v>24.9</v>
      </c>
      <c r="P459" s="5">
        <v>24.9</v>
      </c>
      <c r="Q459" s="5">
        <v>23.92</v>
      </c>
      <c r="R459" s="5">
        <v>24.59</v>
      </c>
      <c r="S459" s="5">
        <v>24.5</v>
      </c>
      <c r="T459" s="5">
        <v>24.46</v>
      </c>
      <c r="V459" s="5">
        <v>24.59</v>
      </c>
      <c r="Y459" s="5">
        <v>42660</v>
      </c>
      <c r="Z459" s="5">
        <v>1038605.81</v>
      </c>
      <c r="AA459" s="5">
        <v>124</v>
      </c>
      <c r="AB459" s="5" t="s">
        <v>85</v>
      </c>
      <c r="AC459" s="5">
        <v>1</v>
      </c>
    </row>
    <row r="460" spans="1:29" x14ac:dyDescent="0.3">
      <c r="A460" s="34">
        <v>46274</v>
      </c>
      <c r="B460" s="34">
        <v>46274</v>
      </c>
      <c r="C460" s="5" t="s">
        <v>78</v>
      </c>
      <c r="D460" s="5" t="s">
        <v>79</v>
      </c>
      <c r="E460" s="5" t="s">
        <v>80</v>
      </c>
      <c r="F460" s="5">
        <v>350</v>
      </c>
      <c r="G460" s="5" t="s">
        <v>1472</v>
      </c>
      <c r="H460" s="5" t="s">
        <v>1473</v>
      </c>
      <c r="I460" s="5" t="s">
        <v>212</v>
      </c>
      <c r="N460" s="5" t="s">
        <v>1474</v>
      </c>
      <c r="O460" s="5">
        <v>3748</v>
      </c>
      <c r="P460" s="5">
        <v>3749.9</v>
      </c>
      <c r="Q460" s="5">
        <v>3613.6</v>
      </c>
      <c r="R460" s="5">
        <v>3650.8</v>
      </c>
      <c r="S460" s="5">
        <v>3613.6</v>
      </c>
      <c r="T460" s="5">
        <v>3743.6</v>
      </c>
      <c r="V460" s="5">
        <v>3650.94</v>
      </c>
      <c r="Y460" s="5">
        <v>1385</v>
      </c>
      <c r="Z460" s="5">
        <v>5088259.0999999996</v>
      </c>
      <c r="AA460" s="5">
        <v>289</v>
      </c>
      <c r="AB460" s="5" t="s">
        <v>85</v>
      </c>
      <c r="AC460" s="5">
        <v>1</v>
      </c>
    </row>
    <row r="461" spans="1:29" x14ac:dyDescent="0.3">
      <c r="A461" s="34">
        <v>46274</v>
      </c>
      <c r="B461" s="34">
        <v>46274</v>
      </c>
      <c r="C461" s="5" t="s">
        <v>78</v>
      </c>
      <c r="D461" s="5" t="s">
        <v>79</v>
      </c>
      <c r="E461" s="5" t="s">
        <v>80</v>
      </c>
      <c r="F461" s="5">
        <v>24386</v>
      </c>
      <c r="G461" s="5" t="s">
        <v>1475</v>
      </c>
      <c r="H461" s="5" t="s">
        <v>1476</v>
      </c>
      <c r="I461" s="5" t="s">
        <v>212</v>
      </c>
      <c r="N461" s="5" t="s">
        <v>1477</v>
      </c>
      <c r="O461" s="5">
        <v>312</v>
      </c>
      <c r="P461" s="5">
        <v>318.64999999999998</v>
      </c>
      <c r="Q461" s="5">
        <v>302.2</v>
      </c>
      <c r="R461" s="5">
        <v>304.35000000000002</v>
      </c>
      <c r="S461" s="5">
        <v>305.39999999999998</v>
      </c>
      <c r="T461" s="5">
        <v>314.89999999999998</v>
      </c>
      <c r="V461" s="5">
        <v>304.35000000000002</v>
      </c>
      <c r="Y461" s="5">
        <v>257221</v>
      </c>
      <c r="Z461" s="5">
        <v>78958435.099999994</v>
      </c>
      <c r="AA461" s="5">
        <v>7519</v>
      </c>
      <c r="AB461" s="5" t="s">
        <v>85</v>
      </c>
      <c r="AC461" s="5">
        <v>1</v>
      </c>
    </row>
    <row r="462" spans="1:29" x14ac:dyDescent="0.3">
      <c r="A462" s="34">
        <v>46274</v>
      </c>
      <c r="B462" s="34">
        <v>46274</v>
      </c>
      <c r="C462" s="5" t="s">
        <v>78</v>
      </c>
      <c r="D462" s="5" t="s">
        <v>79</v>
      </c>
      <c r="E462" s="5" t="s">
        <v>80</v>
      </c>
      <c r="F462" s="5">
        <v>14511</v>
      </c>
      <c r="G462" s="5" t="s">
        <v>1478</v>
      </c>
      <c r="H462" s="5" t="s">
        <v>1479</v>
      </c>
      <c r="I462" s="5" t="s">
        <v>212</v>
      </c>
      <c r="N462" s="5" t="s">
        <v>1480</v>
      </c>
      <c r="O462" s="5">
        <v>115.83</v>
      </c>
      <c r="P462" s="5">
        <v>116.89</v>
      </c>
      <c r="Q462" s="5">
        <v>112.54</v>
      </c>
      <c r="R462" s="5">
        <v>113.42</v>
      </c>
      <c r="S462" s="5">
        <v>114.75</v>
      </c>
      <c r="T462" s="5">
        <v>115</v>
      </c>
      <c r="V462" s="5">
        <v>113.45</v>
      </c>
      <c r="Y462" s="5">
        <v>25897</v>
      </c>
      <c r="Z462" s="5">
        <v>2945727.7</v>
      </c>
      <c r="AA462" s="5">
        <v>537</v>
      </c>
      <c r="AB462" s="5" t="s">
        <v>85</v>
      </c>
      <c r="AC462" s="5">
        <v>1</v>
      </c>
    </row>
    <row r="463" spans="1:29" x14ac:dyDescent="0.3">
      <c r="A463" s="34">
        <v>46274</v>
      </c>
      <c r="B463" s="34">
        <v>46274</v>
      </c>
      <c r="C463" s="5" t="s">
        <v>78</v>
      </c>
      <c r="D463" s="5" t="s">
        <v>79</v>
      </c>
      <c r="E463" s="5" t="s">
        <v>80</v>
      </c>
      <c r="F463" s="5">
        <v>15073</v>
      </c>
      <c r="G463" s="5" t="s">
        <v>1481</v>
      </c>
      <c r="H463" s="5" t="s">
        <v>1482</v>
      </c>
      <c r="I463" s="5" t="s">
        <v>212</v>
      </c>
      <c r="N463" s="5" t="s">
        <v>1483</v>
      </c>
      <c r="O463" s="5">
        <v>42.99</v>
      </c>
      <c r="P463" s="5">
        <v>48</v>
      </c>
      <c r="Q463" s="5">
        <v>42.28</v>
      </c>
      <c r="R463" s="5">
        <v>44.02</v>
      </c>
      <c r="S463" s="5">
        <v>43.8</v>
      </c>
      <c r="T463" s="5">
        <v>42.68</v>
      </c>
      <c r="V463" s="5">
        <v>44.03</v>
      </c>
      <c r="Y463" s="5">
        <v>205940</v>
      </c>
      <c r="Z463" s="5">
        <v>9327917.8100000005</v>
      </c>
      <c r="AA463" s="5">
        <v>1519</v>
      </c>
      <c r="AB463" s="5" t="s">
        <v>85</v>
      </c>
      <c r="AC463" s="5">
        <v>1</v>
      </c>
    </row>
    <row r="464" spans="1:29" x14ac:dyDescent="0.3">
      <c r="A464" s="34">
        <v>46274</v>
      </c>
      <c r="B464" s="34">
        <v>46274</v>
      </c>
      <c r="C464" s="5" t="s">
        <v>78</v>
      </c>
      <c r="D464" s="5" t="s">
        <v>79</v>
      </c>
      <c r="E464" s="5" t="s">
        <v>80</v>
      </c>
      <c r="F464" s="5">
        <v>29176</v>
      </c>
      <c r="G464" s="5" t="s">
        <v>1484</v>
      </c>
      <c r="H464" s="5" t="s">
        <v>1485</v>
      </c>
      <c r="I464" s="5" t="s">
        <v>313</v>
      </c>
      <c r="N464" s="5" t="s">
        <v>1486</v>
      </c>
      <c r="O464" s="5">
        <v>60.85</v>
      </c>
      <c r="P464" s="5">
        <v>60.85</v>
      </c>
      <c r="Q464" s="5">
        <v>59.9</v>
      </c>
      <c r="R464" s="5">
        <v>59.9</v>
      </c>
      <c r="S464" s="5">
        <v>59.9</v>
      </c>
      <c r="T464" s="5">
        <v>58.4</v>
      </c>
      <c r="V464" s="5">
        <v>59.9</v>
      </c>
      <c r="Y464" s="5">
        <v>4000</v>
      </c>
      <c r="Z464" s="5">
        <v>241500</v>
      </c>
      <c r="AA464" s="5">
        <v>2</v>
      </c>
      <c r="AB464" s="5" t="s">
        <v>85</v>
      </c>
      <c r="AC464" s="5">
        <v>2000</v>
      </c>
    </row>
    <row r="465" spans="1:29" x14ac:dyDescent="0.3">
      <c r="A465" s="34">
        <v>46274</v>
      </c>
      <c r="B465" s="34">
        <v>46274</v>
      </c>
      <c r="C465" s="5" t="s">
        <v>78</v>
      </c>
      <c r="D465" s="5" t="s">
        <v>79</v>
      </c>
      <c r="E465" s="5" t="s">
        <v>80</v>
      </c>
      <c r="F465" s="5">
        <v>24117</v>
      </c>
      <c r="G465" s="5" t="s">
        <v>1487</v>
      </c>
      <c r="H465" s="5" t="s">
        <v>1488</v>
      </c>
      <c r="I465" s="5" t="s">
        <v>212</v>
      </c>
      <c r="N465" s="5" t="s">
        <v>1489</v>
      </c>
      <c r="O465" s="5">
        <v>57.15</v>
      </c>
      <c r="P465" s="5">
        <v>58.55</v>
      </c>
      <c r="Q465" s="5">
        <v>56.75</v>
      </c>
      <c r="R465" s="5">
        <v>58.44</v>
      </c>
      <c r="S465" s="5">
        <v>56.75</v>
      </c>
      <c r="T465" s="5">
        <v>57.13</v>
      </c>
      <c r="V465" s="5">
        <v>57.22</v>
      </c>
      <c r="Y465" s="5">
        <v>596</v>
      </c>
      <c r="Z465" s="5">
        <v>34126.019999999997</v>
      </c>
      <c r="AA465" s="5">
        <v>23</v>
      </c>
      <c r="AB465" s="5" t="s">
        <v>85</v>
      </c>
      <c r="AC465" s="5">
        <v>1</v>
      </c>
    </row>
    <row r="466" spans="1:29" x14ac:dyDescent="0.3">
      <c r="A466" s="34">
        <v>46274</v>
      </c>
      <c r="B466" s="34">
        <v>46274</v>
      </c>
      <c r="C466" s="5" t="s">
        <v>78</v>
      </c>
      <c r="D466" s="5" t="s">
        <v>79</v>
      </c>
      <c r="E466" s="5" t="s">
        <v>80</v>
      </c>
      <c r="F466" s="5">
        <v>20547</v>
      </c>
      <c r="G466" s="5" t="s">
        <v>1490</v>
      </c>
      <c r="H466" s="5" t="s">
        <v>1491</v>
      </c>
      <c r="I466" s="5" t="s">
        <v>212</v>
      </c>
      <c r="N466" s="5" t="s">
        <v>1492</v>
      </c>
      <c r="O466" s="5">
        <v>147.6</v>
      </c>
      <c r="P466" s="5">
        <v>149</v>
      </c>
      <c r="Q466" s="5">
        <v>146.19999999999999</v>
      </c>
      <c r="R466" s="5">
        <v>147.4</v>
      </c>
      <c r="S466" s="5">
        <v>146.75</v>
      </c>
      <c r="T466" s="5">
        <v>147.6</v>
      </c>
      <c r="V466" s="5">
        <v>147.4</v>
      </c>
      <c r="Y466" s="5">
        <v>9016</v>
      </c>
      <c r="Z466" s="5">
        <v>1328640.45</v>
      </c>
      <c r="AA466" s="5">
        <v>82</v>
      </c>
      <c r="AB466" s="5" t="s">
        <v>85</v>
      </c>
      <c r="AC466" s="5">
        <v>1</v>
      </c>
    </row>
    <row r="467" spans="1:29" x14ac:dyDescent="0.3">
      <c r="A467" s="34">
        <v>46274</v>
      </c>
      <c r="B467" s="34">
        <v>46274</v>
      </c>
      <c r="C467" s="5" t="s">
        <v>78</v>
      </c>
      <c r="D467" s="5" t="s">
        <v>79</v>
      </c>
      <c r="E467" s="5" t="s">
        <v>80</v>
      </c>
      <c r="F467" s="5">
        <v>368</v>
      </c>
      <c r="G467" s="5" t="s">
        <v>1493</v>
      </c>
      <c r="H467" s="5" t="s">
        <v>1494</v>
      </c>
      <c r="I467" s="5" t="s">
        <v>212</v>
      </c>
      <c r="N467" s="5" t="s">
        <v>1495</v>
      </c>
      <c r="O467" s="5">
        <v>3760</v>
      </c>
      <c r="P467" s="5">
        <v>3820</v>
      </c>
      <c r="Q467" s="5">
        <v>3730.1</v>
      </c>
      <c r="R467" s="5">
        <v>3746</v>
      </c>
      <c r="S467" s="5">
        <v>3732</v>
      </c>
      <c r="T467" s="5">
        <v>3788.8</v>
      </c>
      <c r="V467" s="5">
        <v>3745.98</v>
      </c>
      <c r="Y467" s="5">
        <v>19474</v>
      </c>
      <c r="Z467" s="5">
        <v>73605238.200000003</v>
      </c>
      <c r="AA467" s="5">
        <v>4896</v>
      </c>
      <c r="AB467" s="5" t="s">
        <v>85</v>
      </c>
      <c r="AC467" s="5">
        <v>1</v>
      </c>
    </row>
    <row r="468" spans="1:29" x14ac:dyDescent="0.3">
      <c r="A468" s="34">
        <v>46274</v>
      </c>
      <c r="B468" s="34">
        <v>46274</v>
      </c>
      <c r="C468" s="5" t="s">
        <v>78</v>
      </c>
      <c r="D468" s="5" t="s">
        <v>79</v>
      </c>
      <c r="E468" s="5" t="s">
        <v>80</v>
      </c>
      <c r="F468" s="5">
        <v>18442</v>
      </c>
      <c r="G468" s="5" t="s">
        <v>1496</v>
      </c>
      <c r="H468" s="5" t="s">
        <v>1497</v>
      </c>
      <c r="I468" s="5" t="s">
        <v>313</v>
      </c>
      <c r="N468" s="5" t="s">
        <v>1498</v>
      </c>
      <c r="O468" s="5">
        <v>185</v>
      </c>
      <c r="P468" s="5">
        <v>192</v>
      </c>
      <c r="Q468" s="5">
        <v>185</v>
      </c>
      <c r="R468" s="5">
        <v>189.8</v>
      </c>
      <c r="S468" s="5">
        <v>190.95</v>
      </c>
      <c r="T468" s="5">
        <v>185.55</v>
      </c>
      <c r="V468" s="5">
        <v>189.8</v>
      </c>
      <c r="Y468" s="5">
        <v>7500</v>
      </c>
      <c r="Z468" s="5">
        <v>1425780</v>
      </c>
      <c r="AA468" s="5">
        <v>24</v>
      </c>
      <c r="AB468" s="5" t="s">
        <v>85</v>
      </c>
      <c r="AC468" s="5">
        <v>300</v>
      </c>
    </row>
    <row r="469" spans="1:29" x14ac:dyDescent="0.3">
      <c r="A469" s="34">
        <v>46274</v>
      </c>
      <c r="B469" s="34">
        <v>46274</v>
      </c>
      <c r="C469" s="5" t="s">
        <v>78</v>
      </c>
      <c r="D469" s="5" t="s">
        <v>79</v>
      </c>
      <c r="E469" s="5" t="s">
        <v>80</v>
      </c>
      <c r="F469" s="5">
        <v>371</v>
      </c>
      <c r="G469" s="5" t="s">
        <v>1499</v>
      </c>
      <c r="H469" s="5" t="s">
        <v>1500</v>
      </c>
      <c r="I469" s="5" t="s">
        <v>212</v>
      </c>
      <c r="N469" s="5" t="s">
        <v>1501</v>
      </c>
      <c r="O469" s="5">
        <v>664</v>
      </c>
      <c r="P469" s="5">
        <v>666.95</v>
      </c>
      <c r="Q469" s="5">
        <v>656.4</v>
      </c>
      <c r="R469" s="5">
        <v>661.05</v>
      </c>
      <c r="S469" s="5">
        <v>660.9</v>
      </c>
      <c r="T469" s="5">
        <v>663.85</v>
      </c>
      <c r="V469" s="5">
        <v>661.04</v>
      </c>
      <c r="Y469" s="5">
        <v>141443</v>
      </c>
      <c r="Z469" s="5">
        <v>93542598.549999997</v>
      </c>
      <c r="AA469" s="5">
        <v>9567</v>
      </c>
      <c r="AB469" s="5" t="s">
        <v>85</v>
      </c>
      <c r="AC469" s="5">
        <v>1</v>
      </c>
    </row>
    <row r="470" spans="1:29" x14ac:dyDescent="0.3">
      <c r="A470" s="34">
        <v>46274</v>
      </c>
      <c r="B470" s="34">
        <v>46274</v>
      </c>
      <c r="C470" s="5" t="s">
        <v>78</v>
      </c>
      <c r="D470" s="5" t="s">
        <v>79</v>
      </c>
      <c r="E470" s="5" t="s">
        <v>80</v>
      </c>
      <c r="F470" s="5">
        <v>762568</v>
      </c>
      <c r="G470" s="5" t="s">
        <v>1502</v>
      </c>
      <c r="H470" s="5" t="s">
        <v>1503</v>
      </c>
      <c r="I470" s="5" t="s">
        <v>212</v>
      </c>
      <c r="N470" s="5" t="s">
        <v>1504</v>
      </c>
      <c r="O470" s="5">
        <v>86.85</v>
      </c>
      <c r="P470" s="5">
        <v>89.66</v>
      </c>
      <c r="Q470" s="5">
        <v>86.26</v>
      </c>
      <c r="R470" s="5">
        <v>87.29</v>
      </c>
      <c r="S470" s="5">
        <v>86.61</v>
      </c>
      <c r="T470" s="5">
        <v>87.63</v>
      </c>
      <c r="V470" s="5">
        <v>87.29</v>
      </c>
      <c r="Y470" s="5">
        <v>45812</v>
      </c>
      <c r="Z470" s="5">
        <v>4001788.7</v>
      </c>
      <c r="AA470" s="5">
        <v>1658</v>
      </c>
      <c r="AB470" s="5" t="s">
        <v>85</v>
      </c>
      <c r="AC470" s="5">
        <v>1</v>
      </c>
    </row>
    <row r="471" spans="1:29" x14ac:dyDescent="0.3">
      <c r="A471" s="34">
        <v>46274</v>
      </c>
      <c r="B471" s="34">
        <v>46274</v>
      </c>
      <c r="C471" s="5" t="s">
        <v>78</v>
      </c>
      <c r="D471" s="5" t="s">
        <v>79</v>
      </c>
      <c r="E471" s="5" t="s">
        <v>80</v>
      </c>
      <c r="F471" s="5">
        <v>22571</v>
      </c>
      <c r="G471" s="5" t="s">
        <v>1505</v>
      </c>
      <c r="H471" s="5" t="s">
        <v>1506</v>
      </c>
      <c r="I471" s="5" t="s">
        <v>313</v>
      </c>
      <c r="N471" s="5" t="s">
        <v>1507</v>
      </c>
      <c r="O471" s="5">
        <v>24</v>
      </c>
      <c r="P471" s="5">
        <v>25.5</v>
      </c>
      <c r="Q471" s="5">
        <v>23.1</v>
      </c>
      <c r="R471" s="5">
        <v>23.65</v>
      </c>
      <c r="S471" s="5">
        <v>23.9</v>
      </c>
      <c r="T471" s="5">
        <v>25.6</v>
      </c>
      <c r="V471" s="5">
        <v>23.65</v>
      </c>
      <c r="Y471" s="5">
        <v>16000</v>
      </c>
      <c r="Z471" s="5">
        <v>380560</v>
      </c>
      <c r="AA471" s="5">
        <v>17</v>
      </c>
      <c r="AB471" s="5" t="s">
        <v>85</v>
      </c>
      <c r="AC471" s="5">
        <v>800</v>
      </c>
    </row>
    <row r="472" spans="1:29" x14ac:dyDescent="0.3">
      <c r="A472" s="34">
        <v>46274</v>
      </c>
      <c r="B472" s="34">
        <v>46274</v>
      </c>
      <c r="C472" s="5" t="s">
        <v>78</v>
      </c>
      <c r="D472" s="5" t="s">
        <v>79</v>
      </c>
      <c r="E472" s="5" t="s">
        <v>80</v>
      </c>
      <c r="F472" s="5">
        <v>17927</v>
      </c>
      <c r="G472" s="5" t="s">
        <v>1508</v>
      </c>
      <c r="H472" s="5" t="s">
        <v>1509</v>
      </c>
      <c r="I472" s="5" t="s">
        <v>212</v>
      </c>
      <c r="N472" s="5" t="s">
        <v>1510</v>
      </c>
      <c r="O472" s="5">
        <v>3990</v>
      </c>
      <c r="P472" s="5">
        <v>3999.8</v>
      </c>
      <c r="Q472" s="5">
        <v>3945</v>
      </c>
      <c r="R472" s="5">
        <v>3951.1</v>
      </c>
      <c r="S472" s="5">
        <v>3945.1</v>
      </c>
      <c r="T472" s="5">
        <v>3984.9</v>
      </c>
      <c r="V472" s="5">
        <v>3950.22</v>
      </c>
      <c r="Y472" s="5">
        <v>9019</v>
      </c>
      <c r="Z472" s="5">
        <v>35686743.899999999</v>
      </c>
      <c r="AA472" s="5">
        <v>1888</v>
      </c>
      <c r="AB472" s="5" t="s">
        <v>85</v>
      </c>
      <c r="AC472" s="5">
        <v>1</v>
      </c>
    </row>
    <row r="473" spans="1:29" x14ac:dyDescent="0.3">
      <c r="A473" s="34">
        <v>46274</v>
      </c>
      <c r="B473" s="34">
        <v>46274</v>
      </c>
      <c r="C473" s="5" t="s">
        <v>78</v>
      </c>
      <c r="D473" s="5" t="s">
        <v>79</v>
      </c>
      <c r="E473" s="5" t="s">
        <v>80</v>
      </c>
      <c r="F473" s="5">
        <v>2513</v>
      </c>
      <c r="G473" s="5" t="s">
        <v>1511</v>
      </c>
      <c r="H473" s="5" t="s">
        <v>1512</v>
      </c>
      <c r="I473" s="5" t="s">
        <v>212</v>
      </c>
      <c r="N473" s="5" t="s">
        <v>1513</v>
      </c>
      <c r="O473" s="5">
        <v>35.909999999999997</v>
      </c>
      <c r="P473" s="5">
        <v>35.99</v>
      </c>
      <c r="Q473" s="5">
        <v>34.9</v>
      </c>
      <c r="R473" s="5">
        <v>35.49</v>
      </c>
      <c r="S473" s="5">
        <v>35.4</v>
      </c>
      <c r="T473" s="5">
        <v>36</v>
      </c>
      <c r="V473" s="5">
        <v>35.49</v>
      </c>
      <c r="Y473" s="5">
        <v>606197</v>
      </c>
      <c r="Z473" s="5">
        <v>21479843.710000001</v>
      </c>
      <c r="AA473" s="5">
        <v>3181</v>
      </c>
      <c r="AB473" s="5" t="s">
        <v>85</v>
      </c>
      <c r="AC473" s="5">
        <v>1</v>
      </c>
    </row>
    <row r="474" spans="1:29" x14ac:dyDescent="0.3">
      <c r="A474" s="34">
        <v>46274</v>
      </c>
      <c r="B474" s="34">
        <v>46274</v>
      </c>
      <c r="C474" s="5" t="s">
        <v>78</v>
      </c>
      <c r="D474" s="5" t="s">
        <v>79</v>
      </c>
      <c r="E474" s="5" t="s">
        <v>80</v>
      </c>
      <c r="F474" s="5">
        <v>761494</v>
      </c>
      <c r="G474" s="5" t="s">
        <v>1514</v>
      </c>
      <c r="H474" s="5" t="s">
        <v>1515</v>
      </c>
      <c r="I474" s="5" t="s">
        <v>212</v>
      </c>
      <c r="N474" s="5" t="s">
        <v>1516</v>
      </c>
      <c r="O474" s="5">
        <v>71.989999999999995</v>
      </c>
      <c r="P474" s="5">
        <v>74</v>
      </c>
      <c r="Q474" s="5">
        <v>68.75</v>
      </c>
      <c r="R474" s="5">
        <v>72.709999999999994</v>
      </c>
      <c r="S474" s="5">
        <v>72.5</v>
      </c>
      <c r="T474" s="5">
        <v>71.040000000000006</v>
      </c>
      <c r="V474" s="5">
        <v>72.680000000000007</v>
      </c>
      <c r="Y474" s="5">
        <v>18800</v>
      </c>
      <c r="Z474" s="5">
        <v>1351528.96</v>
      </c>
      <c r="AA474" s="5">
        <v>483</v>
      </c>
      <c r="AB474" s="5" t="s">
        <v>85</v>
      </c>
      <c r="AC474" s="5">
        <v>1</v>
      </c>
    </row>
    <row r="475" spans="1:29" x14ac:dyDescent="0.3">
      <c r="A475" s="34">
        <v>46274</v>
      </c>
      <c r="B475" s="34">
        <v>46274</v>
      </c>
      <c r="C475" s="5" t="s">
        <v>78</v>
      </c>
      <c r="D475" s="5" t="s">
        <v>79</v>
      </c>
      <c r="E475" s="5" t="s">
        <v>80</v>
      </c>
      <c r="F475" s="5">
        <v>23922</v>
      </c>
      <c r="G475" s="5" t="s">
        <v>1517</v>
      </c>
      <c r="H475" s="5" t="s">
        <v>1518</v>
      </c>
      <c r="I475" s="5" t="s">
        <v>313</v>
      </c>
      <c r="N475" s="5" t="s">
        <v>1519</v>
      </c>
      <c r="O475" s="5">
        <v>82</v>
      </c>
      <c r="P475" s="5">
        <v>84.4</v>
      </c>
      <c r="Q475" s="5">
        <v>80.05</v>
      </c>
      <c r="R475" s="5">
        <v>84</v>
      </c>
      <c r="S475" s="5">
        <v>84</v>
      </c>
      <c r="T475" s="5">
        <v>82.6</v>
      </c>
      <c r="V475" s="5">
        <v>84</v>
      </c>
      <c r="Y475" s="5">
        <v>10000</v>
      </c>
      <c r="Z475" s="5">
        <v>827400</v>
      </c>
      <c r="AA475" s="5">
        <v>10</v>
      </c>
      <c r="AB475" s="5" t="s">
        <v>85</v>
      </c>
      <c r="AC475" s="5">
        <v>1000</v>
      </c>
    </row>
    <row r="476" spans="1:29" x14ac:dyDescent="0.3">
      <c r="A476" s="34">
        <v>46274</v>
      </c>
      <c r="B476" s="34">
        <v>46274</v>
      </c>
      <c r="C476" s="5" t="s">
        <v>78</v>
      </c>
      <c r="D476" s="5" t="s">
        <v>79</v>
      </c>
      <c r="E476" s="5" t="s">
        <v>80</v>
      </c>
      <c r="F476" s="5">
        <v>17933</v>
      </c>
      <c r="G476" s="5" t="s">
        <v>1520</v>
      </c>
      <c r="H476" s="5" t="s">
        <v>1521</v>
      </c>
      <c r="I476" s="5" t="s">
        <v>212</v>
      </c>
      <c r="N476" s="5" t="s">
        <v>1522</v>
      </c>
      <c r="O476" s="5">
        <v>24.77</v>
      </c>
      <c r="P476" s="5">
        <v>25.48</v>
      </c>
      <c r="Q476" s="5">
        <v>24.45</v>
      </c>
      <c r="R476" s="5">
        <v>24.96</v>
      </c>
      <c r="S476" s="5">
        <v>25.15</v>
      </c>
      <c r="T476" s="5">
        <v>24.77</v>
      </c>
      <c r="V476" s="5">
        <v>24.96</v>
      </c>
      <c r="Y476" s="5">
        <v>14564</v>
      </c>
      <c r="Z476" s="5">
        <v>360514.94</v>
      </c>
      <c r="AA476" s="5">
        <v>218</v>
      </c>
      <c r="AB476" s="5" t="s">
        <v>85</v>
      </c>
      <c r="AC476" s="5">
        <v>1</v>
      </c>
    </row>
    <row r="477" spans="1:29" x14ac:dyDescent="0.3">
      <c r="A477" s="34">
        <v>46274</v>
      </c>
      <c r="B477" s="34">
        <v>46274</v>
      </c>
      <c r="C477" s="5" t="s">
        <v>78</v>
      </c>
      <c r="D477" s="5" t="s">
        <v>79</v>
      </c>
      <c r="E477" s="5" t="s">
        <v>80</v>
      </c>
      <c r="F477" s="5">
        <v>20196</v>
      </c>
      <c r="G477" s="5" t="s">
        <v>1523</v>
      </c>
      <c r="H477" s="5" t="s">
        <v>1524</v>
      </c>
      <c r="I477" s="5" t="s">
        <v>212</v>
      </c>
      <c r="N477" s="5" t="s">
        <v>1525</v>
      </c>
      <c r="O477" s="5">
        <v>108.01</v>
      </c>
      <c r="P477" s="5">
        <v>110</v>
      </c>
      <c r="Q477" s="5">
        <v>106.33</v>
      </c>
      <c r="R477" s="5">
        <v>108.39</v>
      </c>
      <c r="S477" s="5">
        <v>108.38</v>
      </c>
      <c r="T477" s="5">
        <v>108</v>
      </c>
      <c r="V477" s="5">
        <v>108.39</v>
      </c>
      <c r="Y477" s="5">
        <v>1322</v>
      </c>
      <c r="Z477" s="5">
        <v>142936.24</v>
      </c>
      <c r="AA477" s="5">
        <v>24</v>
      </c>
      <c r="AB477" s="5" t="s">
        <v>85</v>
      </c>
      <c r="AC477" s="5">
        <v>1</v>
      </c>
    </row>
    <row r="478" spans="1:29" x14ac:dyDescent="0.3">
      <c r="A478" s="34">
        <v>46274</v>
      </c>
      <c r="B478" s="34">
        <v>46274</v>
      </c>
      <c r="C478" s="5" t="s">
        <v>78</v>
      </c>
      <c r="D478" s="5" t="s">
        <v>79</v>
      </c>
      <c r="E478" s="5" t="s">
        <v>80</v>
      </c>
      <c r="F478" s="5">
        <v>762573</v>
      </c>
      <c r="G478" s="5" t="s">
        <v>1526</v>
      </c>
      <c r="H478" s="5" t="s">
        <v>1527</v>
      </c>
      <c r="I478" s="5" t="s">
        <v>212</v>
      </c>
      <c r="N478" s="5" t="s">
        <v>1528</v>
      </c>
      <c r="O478" s="5">
        <v>426.9</v>
      </c>
      <c r="P478" s="5">
        <v>429.5</v>
      </c>
      <c r="Q478" s="5">
        <v>420.3</v>
      </c>
      <c r="R478" s="5">
        <v>426.15</v>
      </c>
      <c r="S478" s="5">
        <v>427</v>
      </c>
      <c r="T478" s="5">
        <v>427.6</v>
      </c>
      <c r="V478" s="5">
        <v>426.51</v>
      </c>
      <c r="Y478" s="5">
        <v>2146</v>
      </c>
      <c r="Z478" s="5">
        <v>911591.4</v>
      </c>
      <c r="AA478" s="5">
        <v>134</v>
      </c>
      <c r="AB478" s="5" t="s">
        <v>85</v>
      </c>
      <c r="AC478" s="5">
        <v>1</v>
      </c>
    </row>
    <row r="479" spans="1:29" x14ac:dyDescent="0.3">
      <c r="A479" s="34">
        <v>46274</v>
      </c>
      <c r="B479" s="34">
        <v>46274</v>
      </c>
      <c r="C479" s="5" t="s">
        <v>78</v>
      </c>
      <c r="D479" s="5" t="s">
        <v>79</v>
      </c>
      <c r="E479" s="5" t="s">
        <v>80</v>
      </c>
      <c r="F479" s="5">
        <v>765291</v>
      </c>
      <c r="G479" s="5" t="s">
        <v>1529</v>
      </c>
      <c r="H479" s="5" t="s">
        <v>1530</v>
      </c>
      <c r="I479" s="5" t="s">
        <v>212</v>
      </c>
      <c r="N479" s="5" t="s">
        <v>1531</v>
      </c>
      <c r="O479" s="5">
        <v>452</v>
      </c>
      <c r="P479" s="5">
        <v>465.8</v>
      </c>
      <c r="Q479" s="5">
        <v>451.15</v>
      </c>
      <c r="R479" s="5">
        <v>456.75</v>
      </c>
      <c r="S479" s="5">
        <v>458.5</v>
      </c>
      <c r="T479" s="5">
        <v>451.05</v>
      </c>
      <c r="V479" s="5">
        <v>456.83</v>
      </c>
      <c r="Y479" s="5">
        <v>1056205</v>
      </c>
      <c r="Z479" s="5">
        <v>485878282.10000002</v>
      </c>
      <c r="AA479" s="5">
        <v>20208</v>
      </c>
      <c r="AB479" s="5" t="s">
        <v>85</v>
      </c>
      <c r="AC479" s="5">
        <v>1</v>
      </c>
    </row>
    <row r="480" spans="1:29" x14ac:dyDescent="0.3">
      <c r="A480" s="34">
        <v>46274</v>
      </c>
      <c r="B480" s="34">
        <v>46274</v>
      </c>
      <c r="C480" s="5" t="s">
        <v>78</v>
      </c>
      <c r="D480" s="5" t="s">
        <v>79</v>
      </c>
      <c r="E480" s="5" t="s">
        <v>80</v>
      </c>
      <c r="F480" s="5">
        <v>757938</v>
      </c>
      <c r="G480" s="5" t="s">
        <v>1532</v>
      </c>
      <c r="H480" s="5" t="s">
        <v>1533</v>
      </c>
      <c r="I480" s="5" t="s">
        <v>212</v>
      </c>
      <c r="N480" s="5" t="s">
        <v>1534</v>
      </c>
      <c r="O480" s="5">
        <v>245</v>
      </c>
      <c r="P480" s="5">
        <v>250</v>
      </c>
      <c r="Q480" s="5">
        <v>240</v>
      </c>
      <c r="R480" s="5">
        <v>246.65</v>
      </c>
      <c r="S480" s="5">
        <v>250</v>
      </c>
      <c r="T480" s="5">
        <v>241.18</v>
      </c>
      <c r="V480" s="5">
        <v>247.12</v>
      </c>
      <c r="Y480" s="5">
        <v>8196</v>
      </c>
      <c r="Z480" s="5">
        <v>1995763.94</v>
      </c>
      <c r="AA480" s="5">
        <v>394</v>
      </c>
      <c r="AB480" s="5" t="s">
        <v>85</v>
      </c>
      <c r="AC480" s="5">
        <v>1</v>
      </c>
    </row>
    <row r="481" spans="1:29" x14ac:dyDescent="0.3">
      <c r="A481" s="34">
        <v>46274</v>
      </c>
      <c r="B481" s="34">
        <v>46274</v>
      </c>
      <c r="C481" s="5" t="s">
        <v>78</v>
      </c>
      <c r="D481" s="5" t="s">
        <v>79</v>
      </c>
      <c r="E481" s="5" t="s">
        <v>80</v>
      </c>
      <c r="F481" s="5">
        <v>757102</v>
      </c>
      <c r="G481" s="5" t="s">
        <v>1535</v>
      </c>
      <c r="H481" s="5" t="s">
        <v>1536</v>
      </c>
      <c r="I481" s="5" t="s">
        <v>212</v>
      </c>
      <c r="N481" s="5" t="s">
        <v>1537</v>
      </c>
      <c r="O481" s="5">
        <v>227.5</v>
      </c>
      <c r="P481" s="5">
        <v>231.54</v>
      </c>
      <c r="Q481" s="5">
        <v>227.5</v>
      </c>
      <c r="R481" s="5">
        <v>228.54</v>
      </c>
      <c r="S481" s="5">
        <v>228.6</v>
      </c>
      <c r="T481" s="5">
        <v>227.17</v>
      </c>
      <c r="V481" s="5">
        <v>228.53</v>
      </c>
      <c r="Y481" s="5">
        <v>1136349</v>
      </c>
      <c r="Z481" s="5">
        <v>260576740.06999999</v>
      </c>
      <c r="AA481" s="5">
        <v>20557</v>
      </c>
      <c r="AB481" s="5" t="s">
        <v>85</v>
      </c>
      <c r="AC481" s="5">
        <v>1</v>
      </c>
    </row>
    <row r="482" spans="1:29" x14ac:dyDescent="0.3">
      <c r="A482" s="34">
        <v>46274</v>
      </c>
      <c r="B482" s="34">
        <v>46274</v>
      </c>
      <c r="C482" s="5" t="s">
        <v>78</v>
      </c>
      <c r="D482" s="5" t="s">
        <v>79</v>
      </c>
      <c r="E482" s="5" t="s">
        <v>80</v>
      </c>
      <c r="F482" s="5">
        <v>15067</v>
      </c>
      <c r="G482" s="5" t="s">
        <v>1538</v>
      </c>
      <c r="H482" s="5" t="s">
        <v>1539</v>
      </c>
      <c r="I482" s="5" t="s">
        <v>212</v>
      </c>
      <c r="N482" s="5" t="s">
        <v>1540</v>
      </c>
      <c r="O482" s="5">
        <v>163.4</v>
      </c>
      <c r="P482" s="5">
        <v>163.44999999999999</v>
      </c>
      <c r="Q482" s="5">
        <v>160</v>
      </c>
      <c r="R482" s="5">
        <v>161.34</v>
      </c>
      <c r="S482" s="5">
        <v>160.5</v>
      </c>
      <c r="T482" s="5">
        <v>161.91999999999999</v>
      </c>
      <c r="V482" s="5">
        <v>161.30000000000001</v>
      </c>
      <c r="Y482" s="5">
        <v>14801</v>
      </c>
      <c r="Z482" s="5">
        <v>2394135.41</v>
      </c>
      <c r="AA482" s="5">
        <v>441</v>
      </c>
      <c r="AB482" s="5" t="s">
        <v>85</v>
      </c>
      <c r="AC482" s="5">
        <v>1</v>
      </c>
    </row>
    <row r="483" spans="1:29" x14ac:dyDescent="0.3">
      <c r="A483" s="34">
        <v>46274</v>
      </c>
      <c r="B483" s="34">
        <v>46274</v>
      </c>
      <c r="C483" s="5" t="s">
        <v>78</v>
      </c>
      <c r="D483" s="5" t="s">
        <v>79</v>
      </c>
      <c r="E483" s="5" t="s">
        <v>80</v>
      </c>
      <c r="F483" s="5">
        <v>395</v>
      </c>
      <c r="G483" s="5" t="s">
        <v>1541</v>
      </c>
      <c r="H483" s="5" t="s">
        <v>1542</v>
      </c>
      <c r="I483" s="5" t="s">
        <v>212</v>
      </c>
      <c r="N483" s="5" t="s">
        <v>1543</v>
      </c>
      <c r="O483" s="5">
        <v>2105</v>
      </c>
      <c r="P483" s="5">
        <v>2146</v>
      </c>
      <c r="Q483" s="5">
        <v>2069.8000000000002</v>
      </c>
      <c r="R483" s="5">
        <v>2097.8000000000002</v>
      </c>
      <c r="S483" s="5">
        <v>2095</v>
      </c>
      <c r="T483" s="5">
        <v>2105.6</v>
      </c>
      <c r="V483" s="5">
        <v>2097.7600000000002</v>
      </c>
      <c r="Y483" s="5">
        <v>465000</v>
      </c>
      <c r="Z483" s="5">
        <v>980413486.5</v>
      </c>
      <c r="AA483" s="5">
        <v>31171</v>
      </c>
      <c r="AB483" s="5" t="s">
        <v>85</v>
      </c>
      <c r="AC483" s="5">
        <v>1</v>
      </c>
    </row>
    <row r="484" spans="1:29" x14ac:dyDescent="0.3">
      <c r="A484" s="34">
        <v>46274</v>
      </c>
      <c r="B484" s="34">
        <v>46274</v>
      </c>
      <c r="C484" s="5" t="s">
        <v>78</v>
      </c>
      <c r="D484" s="5" t="s">
        <v>79</v>
      </c>
      <c r="E484" s="5" t="s">
        <v>80</v>
      </c>
      <c r="F484" s="5">
        <v>764618</v>
      </c>
      <c r="G484" s="5" t="s">
        <v>1544</v>
      </c>
      <c r="H484" s="5" t="s">
        <v>1545</v>
      </c>
      <c r="I484" s="5" t="s">
        <v>212</v>
      </c>
      <c r="N484" s="5" t="s">
        <v>1546</v>
      </c>
      <c r="O484" s="5">
        <v>10148</v>
      </c>
      <c r="P484" s="5">
        <v>10555</v>
      </c>
      <c r="Q484" s="5">
        <v>10070</v>
      </c>
      <c r="R484" s="5">
        <v>10520</v>
      </c>
      <c r="S484" s="5">
        <v>10531</v>
      </c>
      <c r="T484" s="5">
        <v>10250</v>
      </c>
      <c r="V484" s="5">
        <v>10590.65</v>
      </c>
      <c r="Y484" s="5">
        <v>279</v>
      </c>
      <c r="Z484" s="5">
        <v>2885529</v>
      </c>
      <c r="AA484" s="5">
        <v>123</v>
      </c>
      <c r="AB484" s="5" t="s">
        <v>85</v>
      </c>
      <c r="AC484" s="5">
        <v>1</v>
      </c>
    </row>
    <row r="485" spans="1:29" x14ac:dyDescent="0.3">
      <c r="A485" s="34">
        <v>46274</v>
      </c>
      <c r="B485" s="34">
        <v>46274</v>
      </c>
      <c r="C485" s="5" t="s">
        <v>78</v>
      </c>
      <c r="D485" s="5" t="s">
        <v>79</v>
      </c>
      <c r="E485" s="5" t="s">
        <v>80</v>
      </c>
      <c r="F485" s="5">
        <v>762578</v>
      </c>
      <c r="G485" s="5" t="s">
        <v>1547</v>
      </c>
      <c r="H485" s="5" t="s">
        <v>1548</v>
      </c>
      <c r="I485" s="5" t="s">
        <v>212</v>
      </c>
      <c r="N485" s="5" t="s">
        <v>1549</v>
      </c>
      <c r="O485" s="5">
        <v>6206.5</v>
      </c>
      <c r="P485" s="5">
        <v>6300</v>
      </c>
      <c r="Q485" s="5">
        <v>6113.5</v>
      </c>
      <c r="R485" s="5">
        <v>6149.5</v>
      </c>
      <c r="S485" s="5">
        <v>6130</v>
      </c>
      <c r="T485" s="5">
        <v>6222</v>
      </c>
      <c r="V485" s="5">
        <v>6149.68</v>
      </c>
      <c r="Y485" s="5">
        <v>6527</v>
      </c>
      <c r="Z485" s="5">
        <v>40596050.5</v>
      </c>
      <c r="AA485" s="5">
        <v>146</v>
      </c>
      <c r="AB485" s="5" t="s">
        <v>85</v>
      </c>
      <c r="AC485" s="5">
        <v>1</v>
      </c>
    </row>
    <row r="486" spans="1:29" x14ac:dyDescent="0.3">
      <c r="A486" s="34">
        <v>46274</v>
      </c>
      <c r="B486" s="34">
        <v>46274</v>
      </c>
      <c r="C486" s="5" t="s">
        <v>78</v>
      </c>
      <c r="D486" s="5" t="s">
        <v>79</v>
      </c>
      <c r="E486" s="5" t="s">
        <v>80</v>
      </c>
      <c r="F486" s="5">
        <v>404</v>
      </c>
      <c r="G486" s="5" t="s">
        <v>1550</v>
      </c>
      <c r="H486" s="5" t="s">
        <v>1551</v>
      </c>
      <c r="I486" s="5" t="s">
        <v>212</v>
      </c>
      <c r="N486" s="5" t="s">
        <v>1552</v>
      </c>
      <c r="O486" s="5">
        <v>483.9</v>
      </c>
      <c r="P486" s="5">
        <v>483.9</v>
      </c>
      <c r="Q486" s="5">
        <v>468</v>
      </c>
      <c r="R486" s="5">
        <v>470.8</v>
      </c>
      <c r="S486" s="5">
        <v>470</v>
      </c>
      <c r="T486" s="5">
        <v>479.45</v>
      </c>
      <c r="V486" s="5">
        <v>470.83</v>
      </c>
      <c r="Y486" s="5">
        <v>397752</v>
      </c>
      <c r="Z486" s="5">
        <v>189140072.65000001</v>
      </c>
      <c r="AA486" s="5">
        <v>13519</v>
      </c>
      <c r="AB486" s="5" t="s">
        <v>85</v>
      </c>
      <c r="AC486" s="5">
        <v>1</v>
      </c>
    </row>
    <row r="487" spans="1:29" x14ac:dyDescent="0.3">
      <c r="A487" s="34">
        <v>46274</v>
      </c>
      <c r="B487" s="34">
        <v>46274</v>
      </c>
      <c r="C487" s="5" t="s">
        <v>78</v>
      </c>
      <c r="D487" s="5" t="s">
        <v>79</v>
      </c>
      <c r="E487" s="5" t="s">
        <v>80</v>
      </c>
      <c r="F487" s="5">
        <v>2306</v>
      </c>
      <c r="G487" s="5" t="s">
        <v>1553</v>
      </c>
      <c r="H487" s="5" t="s">
        <v>1554</v>
      </c>
      <c r="I487" s="5" t="s">
        <v>212</v>
      </c>
      <c r="N487" s="5" t="s">
        <v>1555</v>
      </c>
      <c r="O487" s="5">
        <v>19.690000000000001</v>
      </c>
      <c r="P487" s="5">
        <v>19.93</v>
      </c>
      <c r="Q487" s="5">
        <v>19.16</v>
      </c>
      <c r="R487" s="5">
        <v>19.5</v>
      </c>
      <c r="S487" s="5">
        <v>19.440000000000001</v>
      </c>
      <c r="T487" s="5">
        <v>19.600000000000001</v>
      </c>
      <c r="V487" s="5">
        <v>19.489999999999998</v>
      </c>
      <c r="Y487" s="5">
        <v>599344</v>
      </c>
      <c r="Z487" s="5">
        <v>11649559.27</v>
      </c>
      <c r="AA487" s="5">
        <v>2407</v>
      </c>
      <c r="AB487" s="5" t="s">
        <v>85</v>
      </c>
      <c r="AC487" s="5">
        <v>1</v>
      </c>
    </row>
    <row r="488" spans="1:29" x14ac:dyDescent="0.3">
      <c r="A488" s="34">
        <v>46274</v>
      </c>
      <c r="B488" s="34">
        <v>46274</v>
      </c>
      <c r="C488" s="5" t="s">
        <v>78</v>
      </c>
      <c r="D488" s="5" t="s">
        <v>79</v>
      </c>
      <c r="E488" s="5" t="s">
        <v>80</v>
      </c>
      <c r="F488" s="5">
        <v>759842</v>
      </c>
      <c r="G488" s="5" t="s">
        <v>1556</v>
      </c>
      <c r="H488" s="5" t="s">
        <v>1557</v>
      </c>
      <c r="I488" s="5" t="s">
        <v>212</v>
      </c>
      <c r="N488" s="5" t="s">
        <v>1558</v>
      </c>
      <c r="O488" s="5">
        <v>2150.5</v>
      </c>
      <c r="P488" s="5">
        <v>2163.9</v>
      </c>
      <c r="Q488" s="5">
        <v>2105</v>
      </c>
      <c r="R488" s="5">
        <v>2107.6</v>
      </c>
      <c r="S488" s="5">
        <v>2110</v>
      </c>
      <c r="T488" s="5">
        <v>2139.8000000000002</v>
      </c>
      <c r="V488" s="5">
        <v>2107.6</v>
      </c>
      <c r="Y488" s="5">
        <v>9360</v>
      </c>
      <c r="Z488" s="5">
        <v>19808255</v>
      </c>
      <c r="AA488" s="5">
        <v>1357</v>
      </c>
      <c r="AB488" s="5" t="s">
        <v>85</v>
      </c>
      <c r="AC488" s="5">
        <v>1</v>
      </c>
    </row>
    <row r="489" spans="1:29" x14ac:dyDescent="0.3">
      <c r="A489" s="34">
        <v>46274</v>
      </c>
      <c r="B489" s="34">
        <v>46274</v>
      </c>
      <c r="C489" s="5" t="s">
        <v>78</v>
      </c>
      <c r="D489" s="5" t="s">
        <v>79</v>
      </c>
      <c r="E489" s="5" t="s">
        <v>80</v>
      </c>
      <c r="F489" s="5">
        <v>5662</v>
      </c>
      <c r="G489" s="5" t="s">
        <v>1559</v>
      </c>
      <c r="H489" s="5" t="s">
        <v>1560</v>
      </c>
      <c r="I489" s="5" t="s">
        <v>313</v>
      </c>
      <c r="N489" s="5" t="s">
        <v>1561</v>
      </c>
      <c r="O489" s="5">
        <v>49.7</v>
      </c>
      <c r="P489" s="5">
        <v>50</v>
      </c>
      <c r="Q489" s="5">
        <v>49</v>
      </c>
      <c r="R489" s="5">
        <v>49</v>
      </c>
      <c r="S489" s="5">
        <v>49</v>
      </c>
      <c r="T489" s="5">
        <v>49.35</v>
      </c>
      <c r="V489" s="5">
        <v>49</v>
      </c>
      <c r="Y489" s="5">
        <v>39500</v>
      </c>
      <c r="Z489" s="5">
        <v>1939325</v>
      </c>
      <c r="AA489" s="5">
        <v>26</v>
      </c>
      <c r="AB489" s="5" t="s">
        <v>85</v>
      </c>
      <c r="AC489" s="5">
        <v>500</v>
      </c>
    </row>
    <row r="490" spans="1:29" x14ac:dyDescent="0.3">
      <c r="A490" s="34">
        <v>46274</v>
      </c>
      <c r="B490" s="34">
        <v>46274</v>
      </c>
      <c r="C490" s="5" t="s">
        <v>78</v>
      </c>
      <c r="D490" s="5" t="s">
        <v>79</v>
      </c>
      <c r="E490" s="5" t="s">
        <v>80</v>
      </c>
      <c r="F490" s="5">
        <v>21113</v>
      </c>
      <c r="G490" s="5" t="s">
        <v>1562</v>
      </c>
      <c r="H490" s="5" t="s">
        <v>1563</v>
      </c>
      <c r="I490" s="5" t="s">
        <v>212</v>
      </c>
      <c r="N490" s="5" t="s">
        <v>1564</v>
      </c>
      <c r="O490" s="5">
        <v>448</v>
      </c>
      <c r="P490" s="5">
        <v>455.5</v>
      </c>
      <c r="Q490" s="5">
        <v>448</v>
      </c>
      <c r="R490" s="5">
        <v>449.7</v>
      </c>
      <c r="S490" s="5">
        <v>450</v>
      </c>
      <c r="T490" s="5">
        <v>451.15</v>
      </c>
      <c r="V490" s="5">
        <v>449.69</v>
      </c>
      <c r="Y490" s="5">
        <v>12979</v>
      </c>
      <c r="Z490" s="5">
        <v>5851503.2000000002</v>
      </c>
      <c r="AA490" s="5">
        <v>794</v>
      </c>
      <c r="AB490" s="5" t="s">
        <v>85</v>
      </c>
      <c r="AC490" s="5">
        <v>1</v>
      </c>
    </row>
    <row r="491" spans="1:29" x14ac:dyDescent="0.3">
      <c r="A491" s="34">
        <v>46274</v>
      </c>
      <c r="B491" s="34">
        <v>46274</v>
      </c>
      <c r="C491" s="5" t="s">
        <v>78</v>
      </c>
      <c r="D491" s="5" t="s">
        <v>79</v>
      </c>
      <c r="E491" s="5" t="s">
        <v>80</v>
      </c>
      <c r="F491" s="5">
        <v>14567</v>
      </c>
      <c r="G491" s="5" t="s">
        <v>1565</v>
      </c>
      <c r="H491" s="5" t="s">
        <v>1566</v>
      </c>
      <c r="I491" s="5" t="s">
        <v>212</v>
      </c>
      <c r="N491" s="5" t="s">
        <v>1567</v>
      </c>
      <c r="O491" s="5">
        <v>527.6</v>
      </c>
      <c r="P491" s="5">
        <v>537.79999999999995</v>
      </c>
      <c r="Q491" s="5">
        <v>520.1</v>
      </c>
      <c r="R491" s="5">
        <v>521.85</v>
      </c>
      <c r="S491" s="5">
        <v>520.1</v>
      </c>
      <c r="T491" s="5">
        <v>526.54999999999995</v>
      </c>
      <c r="V491" s="5">
        <v>521.94000000000005</v>
      </c>
      <c r="Y491" s="5">
        <v>43773</v>
      </c>
      <c r="Z491" s="5">
        <v>22953191.899999999</v>
      </c>
      <c r="AA491" s="5">
        <v>1850</v>
      </c>
      <c r="AB491" s="5" t="s">
        <v>85</v>
      </c>
      <c r="AC491" s="5">
        <v>1</v>
      </c>
    </row>
    <row r="492" spans="1:29" x14ac:dyDescent="0.3">
      <c r="A492" s="34">
        <v>46274</v>
      </c>
      <c r="B492" s="34">
        <v>46274</v>
      </c>
      <c r="C492" s="5" t="s">
        <v>78</v>
      </c>
      <c r="D492" s="5" t="s">
        <v>79</v>
      </c>
      <c r="E492" s="5" t="s">
        <v>80</v>
      </c>
      <c r="F492" s="5">
        <v>764183</v>
      </c>
      <c r="G492" s="5" t="s">
        <v>1568</v>
      </c>
      <c r="H492" s="5" t="s">
        <v>1569</v>
      </c>
      <c r="I492" s="5" t="s">
        <v>212</v>
      </c>
      <c r="N492" s="5" t="s">
        <v>1570</v>
      </c>
      <c r="O492" s="5">
        <v>20.62</v>
      </c>
      <c r="P492" s="5">
        <v>20.99</v>
      </c>
      <c r="Q492" s="5">
        <v>20.3</v>
      </c>
      <c r="R492" s="5">
        <v>20.420000000000002</v>
      </c>
      <c r="S492" s="5">
        <v>20.43</v>
      </c>
      <c r="T492" s="5">
        <v>20.52</v>
      </c>
      <c r="V492" s="5">
        <v>20.420000000000002</v>
      </c>
      <c r="Y492" s="5">
        <v>1824</v>
      </c>
      <c r="Z492" s="5">
        <v>37286.32</v>
      </c>
      <c r="AA492" s="5">
        <v>26</v>
      </c>
      <c r="AB492" s="5" t="s">
        <v>85</v>
      </c>
      <c r="AC492" s="5">
        <v>1</v>
      </c>
    </row>
    <row r="493" spans="1:29" x14ac:dyDescent="0.3">
      <c r="A493" s="34">
        <v>46274</v>
      </c>
      <c r="B493" s="34">
        <v>46274</v>
      </c>
      <c r="C493" s="5" t="s">
        <v>78</v>
      </c>
      <c r="D493" s="5" t="s">
        <v>79</v>
      </c>
      <c r="E493" s="5" t="s">
        <v>80</v>
      </c>
      <c r="F493" s="5">
        <v>21986</v>
      </c>
      <c r="G493" s="5" t="s">
        <v>1571</v>
      </c>
      <c r="H493" s="5" t="s">
        <v>1572</v>
      </c>
      <c r="I493" s="5" t="s">
        <v>212</v>
      </c>
      <c r="N493" s="5" t="s">
        <v>1573</v>
      </c>
      <c r="O493" s="5">
        <v>57.6</v>
      </c>
      <c r="P493" s="5">
        <v>57.87</v>
      </c>
      <c r="Q493" s="5">
        <v>57.23</v>
      </c>
      <c r="R493" s="5">
        <v>57.49</v>
      </c>
      <c r="S493" s="5">
        <v>57.23</v>
      </c>
      <c r="T493" s="5">
        <v>57.87</v>
      </c>
      <c r="V493" s="5">
        <v>57.49</v>
      </c>
      <c r="Y493" s="5">
        <v>7286</v>
      </c>
      <c r="Z493" s="5">
        <v>419307.61</v>
      </c>
      <c r="AA493" s="5">
        <v>215</v>
      </c>
      <c r="AB493" s="5" t="s">
        <v>85</v>
      </c>
      <c r="AC493" s="5">
        <v>1</v>
      </c>
    </row>
    <row r="494" spans="1:29" x14ac:dyDescent="0.3">
      <c r="A494" s="34">
        <v>46274</v>
      </c>
      <c r="B494" s="34">
        <v>46274</v>
      </c>
      <c r="C494" s="5" t="s">
        <v>78</v>
      </c>
      <c r="D494" s="5" t="s">
        <v>79</v>
      </c>
      <c r="E494" s="5" t="s">
        <v>80</v>
      </c>
      <c r="F494" s="5">
        <v>23915</v>
      </c>
      <c r="G494" s="5" t="s">
        <v>1574</v>
      </c>
      <c r="H494" s="5" t="s">
        <v>1575</v>
      </c>
      <c r="I494" s="5" t="s">
        <v>212</v>
      </c>
      <c r="N494" s="5" t="s">
        <v>1576</v>
      </c>
      <c r="O494" s="5">
        <v>1098.01</v>
      </c>
      <c r="P494" s="5">
        <v>1098.03</v>
      </c>
      <c r="Q494" s="5">
        <v>1098.01</v>
      </c>
      <c r="R494" s="5">
        <v>1098.02</v>
      </c>
      <c r="S494" s="5">
        <v>1098.02</v>
      </c>
      <c r="T494" s="5">
        <v>1097.8900000000001</v>
      </c>
      <c r="V494" s="5">
        <v>1098.02</v>
      </c>
      <c r="Y494" s="5">
        <v>212223</v>
      </c>
      <c r="Z494" s="5">
        <v>233025094.36000001</v>
      </c>
      <c r="AA494" s="5">
        <v>121</v>
      </c>
      <c r="AB494" s="5" t="s">
        <v>85</v>
      </c>
      <c r="AC494" s="5">
        <v>1</v>
      </c>
    </row>
    <row r="495" spans="1:29" x14ac:dyDescent="0.3">
      <c r="A495" s="34">
        <v>46274</v>
      </c>
      <c r="B495" s="34">
        <v>46274</v>
      </c>
      <c r="C495" s="5" t="s">
        <v>78</v>
      </c>
      <c r="D495" s="5" t="s">
        <v>79</v>
      </c>
      <c r="E495" s="5" t="s">
        <v>80</v>
      </c>
      <c r="F495" s="5">
        <v>21959</v>
      </c>
      <c r="G495" s="5" t="s">
        <v>1577</v>
      </c>
      <c r="H495" s="5" t="s">
        <v>1578</v>
      </c>
      <c r="I495" s="5" t="s">
        <v>212</v>
      </c>
      <c r="N495" s="5" t="s">
        <v>1579</v>
      </c>
      <c r="O495" s="5">
        <v>243.84</v>
      </c>
      <c r="P495" s="5">
        <v>243.84</v>
      </c>
      <c r="Q495" s="5">
        <v>241.7</v>
      </c>
      <c r="R495" s="5">
        <v>242.2</v>
      </c>
      <c r="S495" s="5">
        <v>242.13</v>
      </c>
      <c r="T495" s="5">
        <v>243.84</v>
      </c>
      <c r="V495" s="5">
        <v>242.34</v>
      </c>
      <c r="Y495" s="5">
        <v>2211</v>
      </c>
      <c r="Z495" s="5">
        <v>536000.68000000005</v>
      </c>
      <c r="AA495" s="5">
        <v>87</v>
      </c>
      <c r="AB495" s="5" t="s">
        <v>85</v>
      </c>
      <c r="AC495" s="5">
        <v>1</v>
      </c>
    </row>
    <row r="496" spans="1:29" x14ac:dyDescent="0.3">
      <c r="A496" s="34">
        <v>46274</v>
      </c>
      <c r="B496" s="34">
        <v>46274</v>
      </c>
      <c r="C496" s="5" t="s">
        <v>78</v>
      </c>
      <c r="D496" s="5" t="s">
        <v>79</v>
      </c>
      <c r="E496" s="5" t="s">
        <v>80</v>
      </c>
      <c r="F496" s="5">
        <v>15193</v>
      </c>
      <c r="G496" s="5" t="s">
        <v>1580</v>
      </c>
      <c r="H496" s="5" t="s">
        <v>1581</v>
      </c>
      <c r="I496" s="5" t="s">
        <v>234</v>
      </c>
      <c r="N496" s="5" t="s">
        <v>1582</v>
      </c>
      <c r="O496" s="5">
        <v>258.8</v>
      </c>
      <c r="P496" s="5">
        <v>260</v>
      </c>
      <c r="Q496" s="5">
        <v>248</v>
      </c>
      <c r="R496" s="5">
        <v>248.87</v>
      </c>
      <c r="S496" s="5">
        <v>248.4</v>
      </c>
      <c r="T496" s="5">
        <v>257.06</v>
      </c>
      <c r="V496" s="5">
        <v>249.14</v>
      </c>
      <c r="Y496" s="5">
        <v>24453</v>
      </c>
      <c r="Z496" s="5">
        <v>6154192.6600000001</v>
      </c>
      <c r="AA496" s="5">
        <v>352</v>
      </c>
      <c r="AB496" s="5" t="s">
        <v>85</v>
      </c>
      <c r="AC496" s="5">
        <v>1</v>
      </c>
    </row>
    <row r="497" spans="1:29" x14ac:dyDescent="0.3">
      <c r="A497" s="34">
        <v>46274</v>
      </c>
      <c r="B497" s="34">
        <v>46274</v>
      </c>
      <c r="C497" s="5" t="s">
        <v>78</v>
      </c>
      <c r="D497" s="5" t="s">
        <v>79</v>
      </c>
      <c r="E497" s="5" t="s">
        <v>80</v>
      </c>
      <c r="F497" s="5">
        <v>758228</v>
      </c>
      <c r="G497" s="5" t="s">
        <v>1583</v>
      </c>
      <c r="H497" s="5" t="s">
        <v>1584</v>
      </c>
      <c r="I497" s="5" t="s">
        <v>392</v>
      </c>
      <c r="N497" s="5" t="s">
        <v>1585</v>
      </c>
      <c r="O497" s="5">
        <v>115</v>
      </c>
      <c r="P497" s="5">
        <v>119.8</v>
      </c>
      <c r="Q497" s="5">
        <v>113</v>
      </c>
      <c r="R497" s="5">
        <v>119.45</v>
      </c>
      <c r="S497" s="5">
        <v>119.8</v>
      </c>
      <c r="T497" s="5">
        <v>114.6</v>
      </c>
      <c r="V497" s="5">
        <v>119.45</v>
      </c>
      <c r="Y497" s="5">
        <v>49200</v>
      </c>
      <c r="Z497" s="5">
        <v>5776920</v>
      </c>
      <c r="AA497" s="5">
        <v>33</v>
      </c>
      <c r="AB497" s="5" t="s">
        <v>85</v>
      </c>
      <c r="AC497" s="5">
        <v>1200</v>
      </c>
    </row>
    <row r="498" spans="1:29" x14ac:dyDescent="0.3">
      <c r="A498" s="34">
        <v>46274</v>
      </c>
      <c r="B498" s="34">
        <v>46274</v>
      </c>
      <c r="C498" s="5" t="s">
        <v>78</v>
      </c>
      <c r="D498" s="5" t="s">
        <v>79</v>
      </c>
      <c r="E498" s="5" t="s">
        <v>80</v>
      </c>
      <c r="F498" s="5">
        <v>13427</v>
      </c>
      <c r="G498" s="5" t="s">
        <v>1586</v>
      </c>
      <c r="H498" s="5" t="s">
        <v>1587</v>
      </c>
      <c r="I498" s="5" t="s">
        <v>234</v>
      </c>
      <c r="N498" s="5" t="s">
        <v>1588</v>
      </c>
      <c r="O498" s="5">
        <v>339</v>
      </c>
      <c r="P498" s="5">
        <v>342</v>
      </c>
      <c r="Q498" s="5">
        <v>319.05</v>
      </c>
      <c r="R498" s="5">
        <v>319.05</v>
      </c>
      <c r="S498" s="5">
        <v>319.05</v>
      </c>
      <c r="T498" s="5">
        <v>335.8</v>
      </c>
      <c r="V498" s="5">
        <v>318.31</v>
      </c>
      <c r="Y498" s="5">
        <v>167841</v>
      </c>
      <c r="Z498" s="5">
        <v>54141238.549999997</v>
      </c>
      <c r="AA498" s="5">
        <v>1346</v>
      </c>
      <c r="AB498" s="5" t="s">
        <v>85</v>
      </c>
      <c r="AC498" s="5">
        <v>1</v>
      </c>
    </row>
    <row r="499" spans="1:29" x14ac:dyDescent="0.3">
      <c r="A499" s="34">
        <v>46274</v>
      </c>
      <c r="B499" s="34">
        <v>46274</v>
      </c>
      <c r="C499" s="5" t="s">
        <v>78</v>
      </c>
      <c r="D499" s="5" t="s">
        <v>79</v>
      </c>
      <c r="E499" s="5" t="s">
        <v>80</v>
      </c>
      <c r="F499" s="5">
        <v>6164</v>
      </c>
      <c r="G499" s="5" t="s">
        <v>1589</v>
      </c>
      <c r="H499" s="5" t="s">
        <v>1590</v>
      </c>
      <c r="I499" s="5" t="s">
        <v>212</v>
      </c>
      <c r="N499" s="5" t="s">
        <v>1591</v>
      </c>
      <c r="O499" s="5">
        <v>258</v>
      </c>
      <c r="P499" s="5">
        <v>265.95</v>
      </c>
      <c r="Q499" s="5">
        <v>256.60000000000002</v>
      </c>
      <c r="R499" s="5">
        <v>262.55</v>
      </c>
      <c r="S499" s="5">
        <v>265</v>
      </c>
      <c r="T499" s="5">
        <v>259.05</v>
      </c>
      <c r="V499" s="5">
        <v>262.55</v>
      </c>
      <c r="Y499" s="5">
        <v>43494</v>
      </c>
      <c r="Z499" s="5">
        <v>11418887.699999999</v>
      </c>
      <c r="AA499" s="5">
        <v>1123</v>
      </c>
      <c r="AB499" s="5" t="s">
        <v>85</v>
      </c>
      <c r="AC499" s="5">
        <v>1</v>
      </c>
    </row>
    <row r="500" spans="1:29" x14ac:dyDescent="0.3">
      <c r="A500" s="34">
        <v>46274</v>
      </c>
      <c r="B500" s="34">
        <v>46274</v>
      </c>
      <c r="C500" s="5" t="s">
        <v>78</v>
      </c>
      <c r="D500" s="5" t="s">
        <v>79</v>
      </c>
      <c r="E500" s="5" t="s">
        <v>80</v>
      </c>
      <c r="F500" s="5">
        <v>20776</v>
      </c>
      <c r="G500" s="5" t="s">
        <v>1592</v>
      </c>
      <c r="H500" s="5" t="s">
        <v>1593</v>
      </c>
      <c r="I500" s="5" t="s">
        <v>212</v>
      </c>
      <c r="N500" s="5" t="s">
        <v>1594</v>
      </c>
      <c r="O500" s="5">
        <v>398.95</v>
      </c>
      <c r="P500" s="5">
        <v>411.65</v>
      </c>
      <c r="Q500" s="5">
        <v>391</v>
      </c>
      <c r="R500" s="5">
        <v>411.65</v>
      </c>
      <c r="S500" s="5">
        <v>411.65</v>
      </c>
      <c r="T500" s="5">
        <v>392.05</v>
      </c>
      <c r="V500" s="5">
        <v>411.65</v>
      </c>
      <c r="Y500" s="5">
        <v>471785</v>
      </c>
      <c r="Z500" s="5">
        <v>190394307.69999999</v>
      </c>
      <c r="AA500" s="5">
        <v>8715</v>
      </c>
      <c r="AB500" s="5" t="s">
        <v>85</v>
      </c>
      <c r="AC500" s="5">
        <v>1</v>
      </c>
    </row>
    <row r="501" spans="1:29" x14ac:dyDescent="0.3">
      <c r="A501" s="34">
        <v>46274</v>
      </c>
      <c r="B501" s="34">
        <v>46274</v>
      </c>
      <c r="C501" s="5" t="s">
        <v>78</v>
      </c>
      <c r="D501" s="5" t="s">
        <v>79</v>
      </c>
      <c r="E501" s="5" t="s">
        <v>80</v>
      </c>
      <c r="F501" s="5">
        <v>19556</v>
      </c>
      <c r="G501" s="5" t="s">
        <v>1595</v>
      </c>
      <c r="H501" s="5" t="s">
        <v>1596</v>
      </c>
      <c r="I501" s="5" t="s">
        <v>212</v>
      </c>
      <c r="N501" s="5" t="s">
        <v>1597</v>
      </c>
      <c r="O501" s="5">
        <v>3.05</v>
      </c>
      <c r="P501" s="5">
        <v>3.05</v>
      </c>
      <c r="Q501" s="5">
        <v>2.92</v>
      </c>
      <c r="R501" s="5">
        <v>3</v>
      </c>
      <c r="S501" s="5">
        <v>3.01</v>
      </c>
      <c r="T501" s="5">
        <v>3.01</v>
      </c>
      <c r="V501" s="5">
        <v>3</v>
      </c>
      <c r="Y501" s="5">
        <v>203925</v>
      </c>
      <c r="Z501" s="5">
        <v>612877.34</v>
      </c>
      <c r="AA501" s="5">
        <v>334</v>
      </c>
      <c r="AB501" s="5" t="s">
        <v>85</v>
      </c>
      <c r="AC501" s="5">
        <v>1</v>
      </c>
    </row>
    <row r="502" spans="1:29" x14ac:dyDescent="0.3">
      <c r="A502" s="34">
        <v>46274</v>
      </c>
      <c r="B502" s="34">
        <v>46274</v>
      </c>
      <c r="C502" s="5" t="s">
        <v>78</v>
      </c>
      <c r="D502" s="5" t="s">
        <v>79</v>
      </c>
      <c r="E502" s="5" t="s">
        <v>80</v>
      </c>
      <c r="F502" s="5">
        <v>419</v>
      </c>
      <c r="G502" s="5" t="s">
        <v>1598</v>
      </c>
      <c r="H502" s="5" t="s">
        <v>1599</v>
      </c>
      <c r="I502" s="5" t="s">
        <v>212</v>
      </c>
      <c r="N502" s="5" t="s">
        <v>1600</v>
      </c>
      <c r="O502" s="5">
        <v>135.15</v>
      </c>
      <c r="P502" s="5">
        <v>136</v>
      </c>
      <c r="Q502" s="5">
        <v>131.80000000000001</v>
      </c>
      <c r="R502" s="5">
        <v>133.56</v>
      </c>
      <c r="S502" s="5">
        <v>133.08000000000001</v>
      </c>
      <c r="T502" s="5">
        <v>133.84</v>
      </c>
      <c r="V502" s="5">
        <v>133.56</v>
      </c>
      <c r="Y502" s="5">
        <v>2507926</v>
      </c>
      <c r="Z502" s="5">
        <v>336444129.24000001</v>
      </c>
      <c r="AA502" s="5">
        <v>23399</v>
      </c>
      <c r="AB502" s="5" t="s">
        <v>85</v>
      </c>
      <c r="AC502" s="5">
        <v>1</v>
      </c>
    </row>
    <row r="503" spans="1:29" x14ac:dyDescent="0.3">
      <c r="A503" s="34">
        <v>46274</v>
      </c>
      <c r="B503" s="34">
        <v>46274</v>
      </c>
      <c r="C503" s="5" t="s">
        <v>78</v>
      </c>
      <c r="D503" s="5" t="s">
        <v>79</v>
      </c>
      <c r="E503" s="5" t="s">
        <v>80</v>
      </c>
      <c r="F503" s="5">
        <v>13761</v>
      </c>
      <c r="G503" s="5" t="s">
        <v>1601</v>
      </c>
      <c r="H503" s="5" t="s">
        <v>1602</v>
      </c>
      <c r="I503" s="5" t="s">
        <v>212</v>
      </c>
      <c r="N503" s="5" t="s">
        <v>1603</v>
      </c>
      <c r="O503" s="5">
        <v>2221</v>
      </c>
      <c r="P503" s="5">
        <v>2281.9</v>
      </c>
      <c r="Q503" s="5">
        <v>2221</v>
      </c>
      <c r="R503" s="5">
        <v>2245.5</v>
      </c>
      <c r="S503" s="5">
        <v>2251.9</v>
      </c>
      <c r="T503" s="5">
        <v>2240.1</v>
      </c>
      <c r="V503" s="5">
        <v>2245.54</v>
      </c>
      <c r="Y503" s="5">
        <v>15266</v>
      </c>
      <c r="Z503" s="5">
        <v>34399302.399999999</v>
      </c>
      <c r="AA503" s="5">
        <v>2403</v>
      </c>
      <c r="AB503" s="5" t="s">
        <v>85</v>
      </c>
      <c r="AC503" s="5">
        <v>1</v>
      </c>
    </row>
    <row r="504" spans="1:29" x14ac:dyDescent="0.3">
      <c r="A504" s="34">
        <v>46274</v>
      </c>
      <c r="B504" s="34">
        <v>46274</v>
      </c>
      <c r="C504" s="5" t="s">
        <v>78</v>
      </c>
      <c r="D504" s="5" t="s">
        <v>79</v>
      </c>
      <c r="E504" s="5" t="s">
        <v>80</v>
      </c>
      <c r="F504" s="5">
        <v>760726</v>
      </c>
      <c r="G504" s="5" t="s">
        <v>1604</v>
      </c>
      <c r="H504" s="5" t="s">
        <v>1605</v>
      </c>
      <c r="I504" s="5" t="s">
        <v>212</v>
      </c>
      <c r="N504" s="5" t="s">
        <v>1606</v>
      </c>
      <c r="O504" s="5">
        <v>34</v>
      </c>
      <c r="P504" s="5">
        <v>34.5</v>
      </c>
      <c r="Q504" s="5">
        <v>33.590000000000003</v>
      </c>
      <c r="R504" s="5">
        <v>33.79</v>
      </c>
      <c r="S504" s="5">
        <v>33.75</v>
      </c>
      <c r="T504" s="5">
        <v>33.51</v>
      </c>
      <c r="V504" s="5">
        <v>33.79</v>
      </c>
      <c r="Y504" s="5">
        <v>5615661</v>
      </c>
      <c r="Z504" s="5">
        <v>191038424.55000001</v>
      </c>
      <c r="AA504" s="5">
        <v>15998</v>
      </c>
      <c r="AB504" s="5" t="s">
        <v>85</v>
      </c>
      <c r="AC504" s="5">
        <v>1</v>
      </c>
    </row>
    <row r="505" spans="1:29" x14ac:dyDescent="0.3">
      <c r="A505" s="34">
        <v>46274</v>
      </c>
      <c r="B505" s="34">
        <v>46274</v>
      </c>
      <c r="C505" s="5" t="s">
        <v>78</v>
      </c>
      <c r="D505" s="5" t="s">
        <v>79</v>
      </c>
      <c r="E505" s="5" t="s">
        <v>80</v>
      </c>
      <c r="F505" s="5">
        <v>2144</v>
      </c>
      <c r="G505" s="5" t="s">
        <v>1607</v>
      </c>
      <c r="H505" s="5" t="s">
        <v>1608</v>
      </c>
      <c r="I505" s="5" t="s">
        <v>212</v>
      </c>
      <c r="N505" s="5" t="s">
        <v>1609</v>
      </c>
      <c r="O505" s="5">
        <v>1241</v>
      </c>
      <c r="P505" s="5">
        <v>1248</v>
      </c>
      <c r="Q505" s="5">
        <v>1209.5</v>
      </c>
      <c r="R505" s="5">
        <v>1218.0999999999999</v>
      </c>
      <c r="S505" s="5">
        <v>1218.0999999999999</v>
      </c>
      <c r="T505" s="5">
        <v>1242.5</v>
      </c>
      <c r="V505" s="5">
        <v>1218.03</v>
      </c>
      <c r="Y505" s="5">
        <v>1337188</v>
      </c>
      <c r="Z505" s="5">
        <v>1633714096.9000001</v>
      </c>
      <c r="AA505" s="5">
        <v>43431</v>
      </c>
      <c r="AB505" s="5" t="s">
        <v>85</v>
      </c>
      <c r="AC505" s="5">
        <v>1</v>
      </c>
    </row>
    <row r="506" spans="1:29" x14ac:dyDescent="0.3">
      <c r="A506" s="34">
        <v>46274</v>
      </c>
      <c r="B506" s="34">
        <v>46274</v>
      </c>
      <c r="C506" s="5" t="s">
        <v>78</v>
      </c>
      <c r="D506" s="5" t="s">
        <v>79</v>
      </c>
      <c r="E506" s="5" t="s">
        <v>80</v>
      </c>
      <c r="F506" s="5">
        <v>383</v>
      </c>
      <c r="G506" s="5" t="s">
        <v>1610</v>
      </c>
      <c r="H506" s="5" t="s">
        <v>1611</v>
      </c>
      <c r="I506" s="5" t="s">
        <v>212</v>
      </c>
      <c r="N506" s="5" t="s">
        <v>1612</v>
      </c>
      <c r="O506" s="5">
        <v>411.55</v>
      </c>
      <c r="P506" s="5">
        <v>413.85</v>
      </c>
      <c r="Q506" s="5">
        <v>406</v>
      </c>
      <c r="R506" s="5">
        <v>406</v>
      </c>
      <c r="S506" s="5">
        <v>406</v>
      </c>
      <c r="T506" s="5">
        <v>410.55</v>
      </c>
      <c r="V506" s="5">
        <v>406</v>
      </c>
      <c r="Y506" s="5">
        <v>10899391</v>
      </c>
      <c r="Z506" s="5">
        <v>4452651294.8000002</v>
      </c>
      <c r="AA506" s="5">
        <v>107726</v>
      </c>
      <c r="AB506" s="5" t="s">
        <v>85</v>
      </c>
      <c r="AC506" s="5">
        <v>1</v>
      </c>
    </row>
    <row r="507" spans="1:29" x14ac:dyDescent="0.3">
      <c r="A507" s="34">
        <v>46274</v>
      </c>
      <c r="B507" s="34">
        <v>46274</v>
      </c>
      <c r="C507" s="5" t="s">
        <v>78</v>
      </c>
      <c r="D507" s="5" t="s">
        <v>79</v>
      </c>
      <c r="E507" s="5" t="s">
        <v>80</v>
      </c>
      <c r="F507" s="5">
        <v>422</v>
      </c>
      <c r="G507" s="5" t="s">
        <v>1613</v>
      </c>
      <c r="H507" s="5" t="s">
        <v>1614</v>
      </c>
      <c r="I507" s="5" t="s">
        <v>212</v>
      </c>
      <c r="N507" s="5" t="s">
        <v>1615</v>
      </c>
      <c r="O507" s="5">
        <v>1995.5</v>
      </c>
      <c r="P507" s="5">
        <v>2005</v>
      </c>
      <c r="Q507" s="5">
        <v>1970.5</v>
      </c>
      <c r="R507" s="5">
        <v>1979.6</v>
      </c>
      <c r="S507" s="5">
        <v>1979.6</v>
      </c>
      <c r="T507" s="5">
        <v>2003.7</v>
      </c>
      <c r="V507" s="5">
        <v>1979.57</v>
      </c>
      <c r="Y507" s="5">
        <v>522619</v>
      </c>
      <c r="Z507" s="5">
        <v>1035620046.9</v>
      </c>
      <c r="AA507" s="5">
        <v>23915</v>
      </c>
      <c r="AB507" s="5" t="s">
        <v>85</v>
      </c>
      <c r="AC507" s="5">
        <v>1</v>
      </c>
    </row>
    <row r="508" spans="1:29" x14ac:dyDescent="0.3">
      <c r="A508" s="34">
        <v>46274</v>
      </c>
      <c r="B508" s="34">
        <v>46274</v>
      </c>
      <c r="C508" s="5" t="s">
        <v>78</v>
      </c>
      <c r="D508" s="5" t="s">
        <v>79</v>
      </c>
      <c r="E508" s="5" t="s">
        <v>80</v>
      </c>
      <c r="F508" s="5">
        <v>9397</v>
      </c>
      <c r="G508" s="5" t="s">
        <v>1616</v>
      </c>
      <c r="H508" s="5" t="s">
        <v>1617</v>
      </c>
      <c r="I508" s="5" t="s">
        <v>234</v>
      </c>
      <c r="N508" s="5" t="s">
        <v>1618</v>
      </c>
      <c r="O508" s="5">
        <v>101.6</v>
      </c>
      <c r="P508" s="5">
        <v>103.45</v>
      </c>
      <c r="Q508" s="5">
        <v>101.11</v>
      </c>
      <c r="R508" s="5">
        <v>101.75</v>
      </c>
      <c r="S508" s="5">
        <v>101.4</v>
      </c>
      <c r="T508" s="5">
        <v>102.78</v>
      </c>
      <c r="V508" s="5">
        <v>101.73</v>
      </c>
      <c r="Y508" s="5">
        <v>12062</v>
      </c>
      <c r="Z508" s="5">
        <v>1232479.97</v>
      </c>
      <c r="AA508" s="5">
        <v>150</v>
      </c>
      <c r="AB508" s="5" t="s">
        <v>85</v>
      </c>
      <c r="AC508" s="5">
        <v>1</v>
      </c>
    </row>
    <row r="509" spans="1:29" x14ac:dyDescent="0.3">
      <c r="A509" s="34">
        <v>46274</v>
      </c>
      <c r="B509" s="34">
        <v>46274</v>
      </c>
      <c r="C509" s="5" t="s">
        <v>78</v>
      </c>
      <c r="D509" s="5" t="s">
        <v>79</v>
      </c>
      <c r="E509" s="5" t="s">
        <v>80</v>
      </c>
      <c r="F509" s="5">
        <v>764623</v>
      </c>
      <c r="G509" s="5" t="s">
        <v>1619</v>
      </c>
      <c r="H509" s="5" t="s">
        <v>1620</v>
      </c>
      <c r="I509" s="5" t="s">
        <v>212</v>
      </c>
      <c r="N509" s="5" t="s">
        <v>1621</v>
      </c>
      <c r="O509" s="5">
        <v>1570</v>
      </c>
      <c r="P509" s="5">
        <v>1582.5</v>
      </c>
      <c r="Q509" s="5">
        <v>1500</v>
      </c>
      <c r="R509" s="5">
        <v>1518.6</v>
      </c>
      <c r="S509" s="5">
        <v>1550</v>
      </c>
      <c r="T509" s="5">
        <v>1568.8</v>
      </c>
      <c r="V509" s="5">
        <v>1524.97</v>
      </c>
      <c r="Y509" s="5">
        <v>1692</v>
      </c>
      <c r="Z509" s="5">
        <v>2621225.9</v>
      </c>
      <c r="AA509" s="5">
        <v>166</v>
      </c>
      <c r="AB509" s="5" t="s">
        <v>85</v>
      </c>
      <c r="AC509" s="5">
        <v>1</v>
      </c>
    </row>
    <row r="510" spans="1:29" x14ac:dyDescent="0.3">
      <c r="A510" s="34">
        <v>46274</v>
      </c>
      <c r="B510" s="34">
        <v>46274</v>
      </c>
      <c r="C510" s="5" t="s">
        <v>78</v>
      </c>
      <c r="D510" s="5" t="s">
        <v>79</v>
      </c>
      <c r="E510" s="5" t="s">
        <v>80</v>
      </c>
      <c r="F510" s="5">
        <v>526</v>
      </c>
      <c r="G510" s="5" t="s">
        <v>1622</v>
      </c>
      <c r="H510" s="5" t="s">
        <v>1623</v>
      </c>
      <c r="I510" s="5" t="s">
        <v>212</v>
      </c>
      <c r="N510" s="5" t="s">
        <v>1624</v>
      </c>
      <c r="O510" s="5">
        <v>300.14999999999998</v>
      </c>
      <c r="P510" s="5">
        <v>306.5</v>
      </c>
      <c r="Q510" s="5">
        <v>298.64999999999998</v>
      </c>
      <c r="R510" s="5">
        <v>303.55</v>
      </c>
      <c r="S510" s="5">
        <v>303.55</v>
      </c>
      <c r="T510" s="5">
        <v>303.85000000000002</v>
      </c>
      <c r="V510" s="5">
        <v>303.55</v>
      </c>
      <c r="Y510" s="5">
        <v>4492551</v>
      </c>
      <c r="Z510" s="5">
        <v>1364200770.8499999</v>
      </c>
      <c r="AA510" s="5">
        <v>59193</v>
      </c>
      <c r="AB510" s="5" t="s">
        <v>85</v>
      </c>
      <c r="AC510" s="5">
        <v>1</v>
      </c>
    </row>
    <row r="511" spans="1:29" x14ac:dyDescent="0.3">
      <c r="A511" s="34">
        <v>46274</v>
      </c>
      <c r="B511" s="34">
        <v>46274</v>
      </c>
      <c r="C511" s="5" t="s">
        <v>78</v>
      </c>
      <c r="D511" s="5" t="s">
        <v>79</v>
      </c>
      <c r="E511" s="5" t="s">
        <v>80</v>
      </c>
      <c r="F511" s="5">
        <v>3834</v>
      </c>
      <c r="G511" s="5" t="s">
        <v>1625</v>
      </c>
      <c r="H511" s="5" t="s">
        <v>1626</v>
      </c>
      <c r="I511" s="5" t="s">
        <v>212</v>
      </c>
      <c r="N511" s="5" t="s">
        <v>1627</v>
      </c>
      <c r="O511" s="5">
        <v>1159.8</v>
      </c>
      <c r="P511" s="5">
        <v>1175</v>
      </c>
      <c r="Q511" s="5">
        <v>1154</v>
      </c>
      <c r="R511" s="5">
        <v>1167</v>
      </c>
      <c r="S511" s="5">
        <v>1165.0999999999999</v>
      </c>
      <c r="T511" s="5">
        <v>1159.5</v>
      </c>
      <c r="V511" s="5">
        <v>1167.5999999999999</v>
      </c>
      <c r="Y511" s="5">
        <v>7263</v>
      </c>
      <c r="Z511" s="5">
        <v>8473614.5999999996</v>
      </c>
      <c r="AA511" s="5">
        <v>1335</v>
      </c>
      <c r="AB511" s="5" t="s">
        <v>85</v>
      </c>
      <c r="AC511" s="5">
        <v>1</v>
      </c>
    </row>
    <row r="512" spans="1:29" x14ac:dyDescent="0.3">
      <c r="A512" s="34">
        <v>46274</v>
      </c>
      <c r="B512" s="34">
        <v>46274</v>
      </c>
      <c r="C512" s="5" t="s">
        <v>78</v>
      </c>
      <c r="D512" s="5" t="s">
        <v>79</v>
      </c>
      <c r="E512" s="5" t="s">
        <v>80</v>
      </c>
      <c r="F512" s="5">
        <v>21683</v>
      </c>
      <c r="G512" s="5" t="s">
        <v>1628</v>
      </c>
      <c r="H512" s="5" t="s">
        <v>1629</v>
      </c>
      <c r="I512" s="5" t="s">
        <v>212</v>
      </c>
      <c r="N512" s="5" t="s">
        <v>1630</v>
      </c>
      <c r="O512" s="5">
        <v>17</v>
      </c>
      <c r="P512" s="5">
        <v>17.12</v>
      </c>
      <c r="Q512" s="5">
        <v>16.5</v>
      </c>
      <c r="R512" s="5">
        <v>16.78</v>
      </c>
      <c r="S512" s="5">
        <v>16.75</v>
      </c>
      <c r="T512" s="5">
        <v>17.12</v>
      </c>
      <c r="V512" s="5">
        <v>16.73</v>
      </c>
      <c r="Y512" s="5">
        <v>30372</v>
      </c>
      <c r="Z512" s="5">
        <v>510993.26</v>
      </c>
      <c r="AA512" s="5">
        <v>339</v>
      </c>
      <c r="AB512" s="5" t="s">
        <v>85</v>
      </c>
      <c r="AC512" s="5">
        <v>1</v>
      </c>
    </row>
    <row r="513" spans="1:29" x14ac:dyDescent="0.3">
      <c r="A513" s="34">
        <v>46274</v>
      </c>
      <c r="B513" s="34">
        <v>46274</v>
      </c>
      <c r="C513" s="5" t="s">
        <v>78</v>
      </c>
      <c r="D513" s="5" t="s">
        <v>79</v>
      </c>
      <c r="E513" s="5" t="s">
        <v>80</v>
      </c>
      <c r="F513" s="5">
        <v>30244</v>
      </c>
      <c r="G513" s="5" t="s">
        <v>1631</v>
      </c>
      <c r="H513" s="5" t="s">
        <v>1632</v>
      </c>
      <c r="I513" s="5" t="s">
        <v>212</v>
      </c>
      <c r="N513" s="5" t="s">
        <v>1633</v>
      </c>
      <c r="O513" s="5">
        <v>227.49</v>
      </c>
      <c r="P513" s="5">
        <v>227.84</v>
      </c>
      <c r="Q513" s="5">
        <v>221.01</v>
      </c>
      <c r="R513" s="5">
        <v>222</v>
      </c>
      <c r="S513" s="5">
        <v>222</v>
      </c>
      <c r="T513" s="5">
        <v>226.85</v>
      </c>
      <c r="V513" s="5">
        <v>222.01</v>
      </c>
      <c r="Y513" s="5">
        <v>65367</v>
      </c>
      <c r="Z513" s="5">
        <v>14590139.52</v>
      </c>
      <c r="AA513" s="5">
        <v>2074</v>
      </c>
      <c r="AB513" s="5" t="s">
        <v>85</v>
      </c>
      <c r="AC513" s="5">
        <v>1</v>
      </c>
    </row>
    <row r="514" spans="1:29" x14ac:dyDescent="0.3">
      <c r="A514" s="34">
        <v>46274</v>
      </c>
      <c r="B514" s="34">
        <v>46274</v>
      </c>
      <c r="C514" s="5" t="s">
        <v>78</v>
      </c>
      <c r="D514" s="5" t="s">
        <v>79</v>
      </c>
      <c r="E514" s="5" t="s">
        <v>80</v>
      </c>
      <c r="F514" s="5">
        <v>16123</v>
      </c>
      <c r="G514" s="5" t="s">
        <v>1634</v>
      </c>
      <c r="H514" s="5" t="s">
        <v>1635</v>
      </c>
      <c r="I514" s="5" t="s">
        <v>212</v>
      </c>
      <c r="N514" s="5" t="s">
        <v>1636</v>
      </c>
      <c r="O514" s="5">
        <v>176</v>
      </c>
      <c r="P514" s="5">
        <v>177.88</v>
      </c>
      <c r="Q514" s="5">
        <v>170.23</v>
      </c>
      <c r="R514" s="5">
        <v>171.84</v>
      </c>
      <c r="S514" s="5">
        <v>172.42</v>
      </c>
      <c r="T514" s="5">
        <v>176.19</v>
      </c>
      <c r="V514" s="5">
        <v>171.86</v>
      </c>
      <c r="Y514" s="5">
        <v>154260</v>
      </c>
      <c r="Z514" s="5">
        <v>26773707.059999999</v>
      </c>
      <c r="AA514" s="5">
        <v>3139</v>
      </c>
      <c r="AB514" s="5" t="s">
        <v>85</v>
      </c>
      <c r="AC514" s="5">
        <v>1</v>
      </c>
    </row>
    <row r="515" spans="1:29" x14ac:dyDescent="0.3">
      <c r="A515" s="34">
        <v>46274</v>
      </c>
      <c r="B515" s="34">
        <v>46274</v>
      </c>
      <c r="C515" s="5" t="s">
        <v>78</v>
      </c>
      <c r="D515" s="5" t="s">
        <v>79</v>
      </c>
      <c r="E515" s="5" t="s">
        <v>80</v>
      </c>
      <c r="F515" s="5">
        <v>10604</v>
      </c>
      <c r="G515" s="5" t="s">
        <v>1637</v>
      </c>
      <c r="H515" s="5" t="s">
        <v>1638</v>
      </c>
      <c r="I515" s="5" t="s">
        <v>212</v>
      </c>
      <c r="N515" s="5" t="s">
        <v>1639</v>
      </c>
      <c r="O515" s="5">
        <v>1830.5</v>
      </c>
      <c r="P515" s="5">
        <v>1834.8</v>
      </c>
      <c r="Q515" s="5">
        <v>1813</v>
      </c>
      <c r="R515" s="5">
        <v>1814.7</v>
      </c>
      <c r="S515" s="5">
        <v>1814.7</v>
      </c>
      <c r="T515" s="5">
        <v>1844</v>
      </c>
      <c r="V515" s="5">
        <v>1814.73</v>
      </c>
      <c r="Y515" s="5">
        <v>5574027</v>
      </c>
      <c r="Z515" s="5">
        <v>10165611329.200001</v>
      </c>
      <c r="AA515" s="5">
        <v>142567</v>
      </c>
      <c r="AB515" s="5" t="s">
        <v>85</v>
      </c>
      <c r="AC515" s="5">
        <v>1</v>
      </c>
    </row>
    <row r="516" spans="1:29" x14ac:dyDescent="0.3">
      <c r="A516" s="34">
        <v>46274</v>
      </c>
      <c r="B516" s="34">
        <v>46274</v>
      </c>
      <c r="C516" s="5" t="s">
        <v>78</v>
      </c>
      <c r="D516" s="5" t="s">
        <v>79</v>
      </c>
      <c r="E516" s="5" t="s">
        <v>80</v>
      </c>
      <c r="F516" s="5">
        <v>23489</v>
      </c>
      <c r="G516" s="5" t="s">
        <v>1640</v>
      </c>
      <c r="H516" s="5" t="s">
        <v>1641</v>
      </c>
      <c r="I516" s="5" t="s">
        <v>212</v>
      </c>
      <c r="N516" s="5" t="s">
        <v>1642</v>
      </c>
      <c r="O516" s="5">
        <v>1549.3</v>
      </c>
      <c r="P516" s="5">
        <v>1562</v>
      </c>
      <c r="Q516" s="5">
        <v>1526.1</v>
      </c>
      <c r="R516" s="5">
        <v>1544.8</v>
      </c>
      <c r="S516" s="5">
        <v>1543</v>
      </c>
      <c r="T516" s="5">
        <v>1549.3</v>
      </c>
      <c r="V516" s="5">
        <v>1544.83</v>
      </c>
      <c r="Y516" s="5">
        <v>74733</v>
      </c>
      <c r="Z516" s="5">
        <v>115368025.90000001</v>
      </c>
      <c r="AA516" s="5">
        <v>15059</v>
      </c>
      <c r="AB516" s="5" t="s">
        <v>85</v>
      </c>
      <c r="AC516" s="5">
        <v>1</v>
      </c>
    </row>
    <row r="517" spans="1:29" x14ac:dyDescent="0.3">
      <c r="A517" s="34">
        <v>46274</v>
      </c>
      <c r="B517" s="34">
        <v>46274</v>
      </c>
      <c r="C517" s="5" t="s">
        <v>78</v>
      </c>
      <c r="D517" s="5" t="s">
        <v>79</v>
      </c>
      <c r="E517" s="5" t="s">
        <v>80</v>
      </c>
      <c r="F517" s="5">
        <v>7848</v>
      </c>
      <c r="G517" s="5" t="s">
        <v>1643</v>
      </c>
      <c r="H517" s="5" t="s">
        <v>1644</v>
      </c>
      <c r="I517" s="5" t="s">
        <v>212</v>
      </c>
      <c r="N517" s="5" t="s">
        <v>1645</v>
      </c>
      <c r="O517" s="5">
        <v>938.4</v>
      </c>
      <c r="P517" s="5">
        <v>1124.2</v>
      </c>
      <c r="Q517" s="5">
        <v>915.1</v>
      </c>
      <c r="R517" s="5">
        <v>1108.2</v>
      </c>
      <c r="S517" s="5">
        <v>1107.05</v>
      </c>
      <c r="T517" s="5">
        <v>936.85</v>
      </c>
      <c r="V517" s="5">
        <v>1108.0999999999999</v>
      </c>
      <c r="Y517" s="5">
        <v>191572</v>
      </c>
      <c r="Z517" s="5">
        <v>207650507.94999999</v>
      </c>
      <c r="AA517" s="5">
        <v>8435</v>
      </c>
      <c r="AB517" s="5" t="s">
        <v>85</v>
      </c>
      <c r="AC517" s="5">
        <v>1</v>
      </c>
    </row>
    <row r="518" spans="1:29" x14ac:dyDescent="0.3">
      <c r="A518" s="34">
        <v>46274</v>
      </c>
      <c r="B518" s="34">
        <v>46274</v>
      </c>
      <c r="C518" s="5" t="s">
        <v>78</v>
      </c>
      <c r="D518" s="5" t="s">
        <v>79</v>
      </c>
      <c r="E518" s="5" t="s">
        <v>80</v>
      </c>
      <c r="F518" s="5">
        <v>438</v>
      </c>
      <c r="G518" s="5" t="s">
        <v>1646</v>
      </c>
      <c r="H518" s="5" t="s">
        <v>1647</v>
      </c>
      <c r="I518" s="5" t="s">
        <v>212</v>
      </c>
      <c r="N518" s="5" t="s">
        <v>1647</v>
      </c>
      <c r="O518" s="5">
        <v>422.15</v>
      </c>
      <c r="P518" s="5">
        <v>436</v>
      </c>
      <c r="Q518" s="5">
        <v>421.65</v>
      </c>
      <c r="R518" s="5">
        <v>433.7</v>
      </c>
      <c r="S518" s="5">
        <v>433.7</v>
      </c>
      <c r="T518" s="5">
        <v>422.15</v>
      </c>
      <c r="V518" s="5">
        <v>433.68</v>
      </c>
      <c r="Y518" s="5">
        <v>8487227</v>
      </c>
      <c r="Z518" s="5">
        <v>3657381664.75</v>
      </c>
      <c r="AA518" s="5">
        <v>69203</v>
      </c>
      <c r="AB518" s="5" t="s">
        <v>85</v>
      </c>
      <c r="AC518" s="5">
        <v>1</v>
      </c>
    </row>
    <row r="519" spans="1:29" x14ac:dyDescent="0.3">
      <c r="A519" s="34">
        <v>46274</v>
      </c>
      <c r="B519" s="34">
        <v>46274</v>
      </c>
      <c r="C519" s="5" t="s">
        <v>78</v>
      </c>
      <c r="D519" s="5" t="s">
        <v>79</v>
      </c>
      <c r="E519" s="5" t="s">
        <v>80</v>
      </c>
      <c r="F519" s="5">
        <v>762621</v>
      </c>
      <c r="G519" s="5" t="s">
        <v>1648</v>
      </c>
      <c r="H519" s="5" t="s">
        <v>1649</v>
      </c>
      <c r="I519" s="5" t="s">
        <v>234</v>
      </c>
      <c r="N519" s="5" t="s">
        <v>1650</v>
      </c>
      <c r="O519" s="5">
        <v>43.21</v>
      </c>
      <c r="P519" s="5">
        <v>43.21</v>
      </c>
      <c r="Q519" s="5">
        <v>40.65</v>
      </c>
      <c r="R519" s="5">
        <v>42.29</v>
      </c>
      <c r="S519" s="5">
        <v>43</v>
      </c>
      <c r="T519" s="5">
        <v>42.36</v>
      </c>
      <c r="V519" s="5">
        <v>42.29</v>
      </c>
      <c r="Y519" s="5">
        <v>5066</v>
      </c>
      <c r="Z519" s="5">
        <v>210413.03</v>
      </c>
      <c r="AA519" s="5">
        <v>34</v>
      </c>
      <c r="AB519" s="5" t="s">
        <v>85</v>
      </c>
      <c r="AC519" s="5">
        <v>1</v>
      </c>
    </row>
    <row r="520" spans="1:29" x14ac:dyDescent="0.3">
      <c r="A520" s="34">
        <v>46274</v>
      </c>
      <c r="B520" s="34">
        <v>46274</v>
      </c>
      <c r="C520" s="5" t="s">
        <v>78</v>
      </c>
      <c r="D520" s="5" t="s">
        <v>79</v>
      </c>
      <c r="E520" s="5" t="s">
        <v>80</v>
      </c>
      <c r="F520" s="5">
        <v>18431</v>
      </c>
      <c r="G520" s="5" t="s">
        <v>1651</v>
      </c>
      <c r="H520" s="5" t="s">
        <v>1652</v>
      </c>
      <c r="I520" s="5" t="s">
        <v>212</v>
      </c>
      <c r="N520" s="5" t="s">
        <v>1653</v>
      </c>
      <c r="O520" s="5">
        <v>40.700000000000003</v>
      </c>
      <c r="P520" s="5">
        <v>41.43</v>
      </c>
      <c r="Q520" s="5">
        <v>40.450000000000003</v>
      </c>
      <c r="R520" s="5">
        <v>40.82</v>
      </c>
      <c r="S520" s="5">
        <v>40.67</v>
      </c>
      <c r="T520" s="5">
        <v>41.19</v>
      </c>
      <c r="V520" s="5">
        <v>40.82</v>
      </c>
      <c r="Y520" s="5">
        <v>33278</v>
      </c>
      <c r="Z520" s="5">
        <v>1354915.34</v>
      </c>
      <c r="AA520" s="5">
        <v>520</v>
      </c>
      <c r="AB520" s="5" t="s">
        <v>85</v>
      </c>
      <c r="AC520" s="5">
        <v>1</v>
      </c>
    </row>
    <row r="521" spans="1:29" x14ac:dyDescent="0.3">
      <c r="A521" s="34">
        <v>46274</v>
      </c>
      <c r="B521" s="34">
        <v>46274</v>
      </c>
      <c r="C521" s="5" t="s">
        <v>78</v>
      </c>
      <c r="D521" s="5" t="s">
        <v>79</v>
      </c>
      <c r="E521" s="5" t="s">
        <v>80</v>
      </c>
      <c r="F521" s="5">
        <v>11966</v>
      </c>
      <c r="G521" s="5" t="s">
        <v>1654</v>
      </c>
      <c r="H521" s="5" t="s">
        <v>1655</v>
      </c>
      <c r="I521" s="5" t="s">
        <v>212</v>
      </c>
      <c r="N521" s="5" t="s">
        <v>1656</v>
      </c>
      <c r="O521" s="5">
        <v>580</v>
      </c>
      <c r="P521" s="5">
        <v>584.04999999999995</v>
      </c>
      <c r="Q521" s="5">
        <v>571</v>
      </c>
      <c r="R521" s="5">
        <v>571.70000000000005</v>
      </c>
      <c r="S521" s="5">
        <v>572</v>
      </c>
      <c r="T521" s="5">
        <v>583.70000000000005</v>
      </c>
      <c r="V521" s="5">
        <v>571.73</v>
      </c>
      <c r="Y521" s="5">
        <v>64910</v>
      </c>
      <c r="Z521" s="5">
        <v>37257565</v>
      </c>
      <c r="AA521" s="5">
        <v>5247</v>
      </c>
      <c r="AB521" s="5" t="s">
        <v>85</v>
      </c>
      <c r="AC521" s="5">
        <v>1</v>
      </c>
    </row>
    <row r="522" spans="1:29" x14ac:dyDescent="0.3">
      <c r="A522" s="34">
        <v>46274</v>
      </c>
      <c r="B522" s="34">
        <v>46274</v>
      </c>
      <c r="C522" s="5" t="s">
        <v>78</v>
      </c>
      <c r="D522" s="5" t="s">
        <v>79</v>
      </c>
      <c r="E522" s="5" t="s">
        <v>80</v>
      </c>
      <c r="F522" s="5">
        <v>25527</v>
      </c>
      <c r="G522" s="5" t="s">
        <v>1657</v>
      </c>
      <c r="H522" s="5" t="s">
        <v>1658</v>
      </c>
      <c r="I522" s="5" t="s">
        <v>392</v>
      </c>
      <c r="N522" s="5" t="s">
        <v>1659</v>
      </c>
      <c r="O522" s="5">
        <v>109.8</v>
      </c>
      <c r="P522" s="5">
        <v>109.8</v>
      </c>
      <c r="Q522" s="5">
        <v>105</v>
      </c>
      <c r="R522" s="5">
        <v>108.55</v>
      </c>
      <c r="S522" s="5">
        <v>109.25</v>
      </c>
      <c r="T522" s="5">
        <v>104.6</v>
      </c>
      <c r="V522" s="5">
        <v>108.55</v>
      </c>
      <c r="Y522" s="5">
        <v>148000</v>
      </c>
      <c r="Z522" s="5">
        <v>16027500</v>
      </c>
      <c r="AA522" s="5">
        <v>57</v>
      </c>
      <c r="AB522" s="5" t="s">
        <v>85</v>
      </c>
      <c r="AC522" s="5">
        <v>2000</v>
      </c>
    </row>
    <row r="523" spans="1:29" x14ac:dyDescent="0.3">
      <c r="A523" s="34">
        <v>46274</v>
      </c>
      <c r="B523" s="34">
        <v>46274</v>
      </c>
      <c r="C523" s="5" t="s">
        <v>78</v>
      </c>
      <c r="D523" s="5" t="s">
        <v>79</v>
      </c>
      <c r="E523" s="5" t="s">
        <v>80</v>
      </c>
      <c r="F523" s="5">
        <v>13622</v>
      </c>
      <c r="G523" s="5" t="s">
        <v>1660</v>
      </c>
      <c r="H523" s="5" t="s">
        <v>1661</v>
      </c>
      <c r="I523" s="5" t="s">
        <v>234</v>
      </c>
      <c r="N523" s="5" t="s">
        <v>1662</v>
      </c>
      <c r="O523" s="5">
        <v>4.05</v>
      </c>
      <c r="P523" s="5">
        <v>4.25</v>
      </c>
      <c r="Q523" s="5">
        <v>4.05</v>
      </c>
      <c r="R523" s="5">
        <v>4.05</v>
      </c>
      <c r="S523" s="5">
        <v>4.05</v>
      </c>
      <c r="T523" s="5">
        <v>4.0999999999999996</v>
      </c>
      <c r="V523" s="5">
        <v>4.05</v>
      </c>
      <c r="Y523" s="5">
        <v>2596</v>
      </c>
      <c r="Z523" s="5">
        <v>10535.8</v>
      </c>
      <c r="AA523" s="5">
        <v>13</v>
      </c>
      <c r="AB523" s="5" t="s">
        <v>85</v>
      </c>
      <c r="AC523" s="5">
        <v>1</v>
      </c>
    </row>
    <row r="524" spans="1:29" x14ac:dyDescent="0.3">
      <c r="A524" s="34">
        <v>46274</v>
      </c>
      <c r="B524" s="34">
        <v>46274</v>
      </c>
      <c r="C524" s="5" t="s">
        <v>78</v>
      </c>
      <c r="D524" s="5" t="s">
        <v>79</v>
      </c>
      <c r="E524" s="5" t="s">
        <v>80</v>
      </c>
      <c r="F524" s="5">
        <v>762586</v>
      </c>
      <c r="G524" s="5" t="s">
        <v>1663</v>
      </c>
      <c r="H524" s="5" t="s">
        <v>1664</v>
      </c>
      <c r="I524" s="5" t="s">
        <v>234</v>
      </c>
      <c r="N524" s="5" t="s">
        <v>1665</v>
      </c>
      <c r="O524" s="5">
        <v>92.61</v>
      </c>
      <c r="P524" s="5">
        <v>94</v>
      </c>
      <c r="Q524" s="5">
        <v>91.31</v>
      </c>
      <c r="R524" s="5">
        <v>91.66</v>
      </c>
      <c r="S524" s="5">
        <v>92</v>
      </c>
      <c r="T524" s="5">
        <v>96.11</v>
      </c>
      <c r="V524" s="5">
        <v>91.66</v>
      </c>
      <c r="Y524" s="5">
        <v>32476</v>
      </c>
      <c r="Z524" s="5">
        <v>2996339.63</v>
      </c>
      <c r="AA524" s="5">
        <v>181</v>
      </c>
      <c r="AB524" s="5" t="s">
        <v>85</v>
      </c>
      <c r="AC524" s="5">
        <v>1</v>
      </c>
    </row>
    <row r="525" spans="1:29" x14ac:dyDescent="0.3">
      <c r="A525" s="34">
        <v>46274</v>
      </c>
      <c r="B525" s="34">
        <v>46274</v>
      </c>
      <c r="C525" s="5" t="s">
        <v>78</v>
      </c>
      <c r="D525" s="5" t="s">
        <v>79</v>
      </c>
      <c r="E525" s="5" t="s">
        <v>80</v>
      </c>
      <c r="F525" s="5">
        <v>759806</v>
      </c>
      <c r="G525" s="5" t="s">
        <v>1666</v>
      </c>
      <c r="H525" s="5" t="s">
        <v>1667</v>
      </c>
      <c r="I525" s="5" t="s">
        <v>212</v>
      </c>
      <c r="N525" s="5" t="s">
        <v>1668</v>
      </c>
      <c r="O525" s="5">
        <v>195</v>
      </c>
      <c r="P525" s="5">
        <v>195.5</v>
      </c>
      <c r="Q525" s="5">
        <v>192.18</v>
      </c>
      <c r="R525" s="5">
        <v>194.63</v>
      </c>
      <c r="S525" s="5">
        <v>194.45</v>
      </c>
      <c r="T525" s="5">
        <v>195.24</v>
      </c>
      <c r="V525" s="5">
        <v>194.63</v>
      </c>
      <c r="Y525" s="5">
        <v>20798963</v>
      </c>
      <c r="Z525" s="5">
        <v>4033844066.75</v>
      </c>
      <c r="AA525" s="5">
        <v>116432</v>
      </c>
      <c r="AB525" s="5" t="s">
        <v>85</v>
      </c>
      <c r="AC525" s="5">
        <v>1</v>
      </c>
    </row>
    <row r="526" spans="1:29" x14ac:dyDescent="0.3">
      <c r="A526" s="34">
        <v>46274</v>
      </c>
      <c r="B526" s="34">
        <v>46274</v>
      </c>
      <c r="C526" s="5" t="s">
        <v>78</v>
      </c>
      <c r="D526" s="5" t="s">
        <v>79</v>
      </c>
      <c r="E526" s="5" t="s">
        <v>80</v>
      </c>
      <c r="F526" s="5">
        <v>762588</v>
      </c>
      <c r="G526" s="5" t="s">
        <v>1669</v>
      </c>
      <c r="H526" s="5" t="s">
        <v>1670</v>
      </c>
      <c r="I526" s="5" t="s">
        <v>212</v>
      </c>
      <c r="N526" s="5" t="s">
        <v>1671</v>
      </c>
      <c r="O526" s="5">
        <v>612.65</v>
      </c>
      <c r="P526" s="5">
        <v>655.5</v>
      </c>
      <c r="Q526" s="5">
        <v>611</v>
      </c>
      <c r="R526" s="5">
        <v>650</v>
      </c>
      <c r="S526" s="5">
        <v>650</v>
      </c>
      <c r="T526" s="5">
        <v>612.5</v>
      </c>
      <c r="V526" s="5">
        <v>650</v>
      </c>
      <c r="Y526" s="5">
        <v>2520</v>
      </c>
      <c r="Z526" s="5">
        <v>1630366.1</v>
      </c>
      <c r="AA526" s="5">
        <v>77</v>
      </c>
      <c r="AB526" s="5" t="s">
        <v>85</v>
      </c>
      <c r="AC526" s="5">
        <v>1</v>
      </c>
    </row>
    <row r="527" spans="1:29" x14ac:dyDescent="0.3">
      <c r="A527" s="34">
        <v>46274</v>
      </c>
      <c r="B527" s="34">
        <v>46274</v>
      </c>
      <c r="C527" s="5" t="s">
        <v>78</v>
      </c>
      <c r="D527" s="5" t="s">
        <v>79</v>
      </c>
      <c r="E527" s="5" t="s">
        <v>80</v>
      </c>
      <c r="F527" s="5">
        <v>763598</v>
      </c>
      <c r="G527" s="5" t="s">
        <v>1672</v>
      </c>
      <c r="H527" s="5" t="s">
        <v>1673</v>
      </c>
      <c r="I527" s="5" t="s">
        <v>313</v>
      </c>
      <c r="N527" s="5" t="s">
        <v>1674</v>
      </c>
      <c r="O527" s="5">
        <v>158</v>
      </c>
      <c r="P527" s="5">
        <v>162</v>
      </c>
      <c r="Q527" s="5">
        <v>158</v>
      </c>
      <c r="R527" s="5">
        <v>160.44999999999999</v>
      </c>
      <c r="S527" s="5">
        <v>160.4</v>
      </c>
      <c r="T527" s="5">
        <v>159.65</v>
      </c>
      <c r="V527" s="5">
        <v>160.44999999999999</v>
      </c>
      <c r="Y527" s="5">
        <v>23000</v>
      </c>
      <c r="Z527" s="5">
        <v>3686400</v>
      </c>
      <c r="AA527" s="5">
        <v>19</v>
      </c>
      <c r="AB527" s="5" t="s">
        <v>85</v>
      </c>
      <c r="AC527" s="5">
        <v>1000</v>
      </c>
    </row>
    <row r="528" spans="1:29" x14ac:dyDescent="0.3">
      <c r="A528" s="34">
        <v>46274</v>
      </c>
      <c r="B528" s="34">
        <v>46274</v>
      </c>
      <c r="C528" s="5" t="s">
        <v>78</v>
      </c>
      <c r="D528" s="5" t="s">
        <v>79</v>
      </c>
      <c r="E528" s="5" t="s">
        <v>80</v>
      </c>
      <c r="F528" s="5">
        <v>11373</v>
      </c>
      <c r="G528" s="5" t="s">
        <v>1675</v>
      </c>
      <c r="H528" s="5" t="s">
        <v>1676</v>
      </c>
      <c r="I528" s="5" t="s">
        <v>212</v>
      </c>
      <c r="N528" s="5" t="s">
        <v>1677</v>
      </c>
      <c r="O528" s="5">
        <v>394</v>
      </c>
      <c r="P528" s="5">
        <v>403.95</v>
      </c>
      <c r="Q528" s="5">
        <v>393</v>
      </c>
      <c r="R528" s="5">
        <v>395</v>
      </c>
      <c r="S528" s="5">
        <v>395</v>
      </c>
      <c r="T528" s="5">
        <v>392.3</v>
      </c>
      <c r="V528" s="5">
        <v>395</v>
      </c>
      <c r="Y528" s="5">
        <v>10271402</v>
      </c>
      <c r="Z528" s="5">
        <v>4086622180.9000001</v>
      </c>
      <c r="AA528" s="5">
        <v>123485</v>
      </c>
      <c r="AB528" s="5" t="s">
        <v>85</v>
      </c>
      <c r="AC528" s="5">
        <v>1</v>
      </c>
    </row>
    <row r="529" spans="1:29" x14ac:dyDescent="0.3">
      <c r="A529" s="34">
        <v>46274</v>
      </c>
      <c r="B529" s="34">
        <v>46274</v>
      </c>
      <c r="C529" s="5" t="s">
        <v>78</v>
      </c>
      <c r="D529" s="5" t="s">
        <v>79</v>
      </c>
      <c r="E529" s="5" t="s">
        <v>80</v>
      </c>
      <c r="F529" s="5">
        <v>4136</v>
      </c>
      <c r="G529" s="5" t="s">
        <v>1678</v>
      </c>
      <c r="H529" s="5" t="s">
        <v>1679</v>
      </c>
      <c r="I529" s="5" t="s">
        <v>212</v>
      </c>
      <c r="N529" s="5" t="s">
        <v>1680</v>
      </c>
      <c r="O529" s="5">
        <v>32.15</v>
      </c>
      <c r="P529" s="5">
        <v>32.15</v>
      </c>
      <c r="Q529" s="5">
        <v>31.26</v>
      </c>
      <c r="R529" s="5">
        <v>31.46</v>
      </c>
      <c r="S529" s="5">
        <v>31.37</v>
      </c>
      <c r="T529" s="5">
        <v>31.52</v>
      </c>
      <c r="V529" s="5">
        <v>31.46</v>
      </c>
      <c r="Y529" s="5">
        <v>7167</v>
      </c>
      <c r="Z529" s="5">
        <v>226169.57</v>
      </c>
      <c r="AA529" s="5">
        <v>153</v>
      </c>
      <c r="AB529" s="5" t="s">
        <v>85</v>
      </c>
      <c r="AC529" s="5">
        <v>1</v>
      </c>
    </row>
    <row r="530" spans="1:29" x14ac:dyDescent="0.3">
      <c r="A530" s="34">
        <v>46274</v>
      </c>
      <c r="B530" s="34">
        <v>46274</v>
      </c>
      <c r="C530" s="5" t="s">
        <v>78</v>
      </c>
      <c r="D530" s="5" t="s">
        <v>79</v>
      </c>
      <c r="E530" s="5" t="s">
        <v>80</v>
      </c>
      <c r="F530" s="5">
        <v>760942</v>
      </c>
      <c r="G530" s="5" t="s">
        <v>1681</v>
      </c>
      <c r="H530" s="5" t="s">
        <v>1682</v>
      </c>
      <c r="I530" s="5" t="s">
        <v>313</v>
      </c>
      <c r="N530" s="5" t="s">
        <v>1683</v>
      </c>
      <c r="O530" s="5">
        <v>47.5</v>
      </c>
      <c r="P530" s="5">
        <v>47.55</v>
      </c>
      <c r="Q530" s="5">
        <v>44.95</v>
      </c>
      <c r="R530" s="5">
        <v>44.95</v>
      </c>
      <c r="S530" s="5">
        <v>44.95</v>
      </c>
      <c r="T530" s="5">
        <v>47.3</v>
      </c>
      <c r="V530" s="5">
        <v>44.95</v>
      </c>
      <c r="Y530" s="5">
        <v>46800</v>
      </c>
      <c r="Z530" s="5">
        <v>2133660</v>
      </c>
      <c r="AA530" s="5">
        <v>36</v>
      </c>
      <c r="AB530" s="5" t="s">
        <v>85</v>
      </c>
      <c r="AC530" s="5">
        <v>1200</v>
      </c>
    </row>
    <row r="531" spans="1:29" x14ac:dyDescent="0.3">
      <c r="A531" s="34">
        <v>46274</v>
      </c>
      <c r="B531" s="34">
        <v>46274</v>
      </c>
      <c r="C531" s="5" t="s">
        <v>78</v>
      </c>
      <c r="D531" s="5" t="s">
        <v>79</v>
      </c>
      <c r="E531" s="5" t="s">
        <v>80</v>
      </c>
      <c r="F531" s="5">
        <v>477</v>
      </c>
      <c r="G531" s="5" t="s">
        <v>1684</v>
      </c>
      <c r="H531" s="5" t="s">
        <v>1685</v>
      </c>
      <c r="I531" s="5" t="s">
        <v>212</v>
      </c>
      <c r="N531" s="5" t="s">
        <v>1686</v>
      </c>
      <c r="O531" s="5">
        <v>326</v>
      </c>
      <c r="P531" s="5">
        <v>356.85</v>
      </c>
      <c r="Q531" s="5">
        <v>326</v>
      </c>
      <c r="R531" s="5">
        <v>356.85</v>
      </c>
      <c r="S531" s="5">
        <v>356.85</v>
      </c>
      <c r="T531" s="5">
        <v>339.9</v>
      </c>
      <c r="V531" s="5">
        <v>356.85</v>
      </c>
      <c r="Y531" s="5">
        <v>1334884</v>
      </c>
      <c r="Z531" s="5">
        <v>461848915.25</v>
      </c>
      <c r="AA531" s="5">
        <v>10302</v>
      </c>
      <c r="AB531" s="5" t="s">
        <v>85</v>
      </c>
      <c r="AC531" s="5">
        <v>1</v>
      </c>
    </row>
    <row r="532" spans="1:29" x14ac:dyDescent="0.3">
      <c r="A532" s="34">
        <v>46274</v>
      </c>
      <c r="B532" s="34">
        <v>46274</v>
      </c>
      <c r="C532" s="5" t="s">
        <v>78</v>
      </c>
      <c r="D532" s="5" t="s">
        <v>79</v>
      </c>
      <c r="E532" s="5" t="s">
        <v>80</v>
      </c>
      <c r="F532" s="5">
        <v>480</v>
      </c>
      <c r="G532" s="5" t="s">
        <v>1687</v>
      </c>
      <c r="H532" s="5" t="s">
        <v>1688</v>
      </c>
      <c r="I532" s="5" t="s">
        <v>212</v>
      </c>
      <c r="N532" s="5" t="s">
        <v>1689</v>
      </c>
      <c r="O532" s="5">
        <v>861.15</v>
      </c>
      <c r="P532" s="5">
        <v>861.15</v>
      </c>
      <c r="Q532" s="5">
        <v>832.1</v>
      </c>
      <c r="R532" s="5">
        <v>836.9</v>
      </c>
      <c r="S532" s="5">
        <v>834</v>
      </c>
      <c r="T532" s="5">
        <v>854.3</v>
      </c>
      <c r="V532" s="5">
        <v>836.86</v>
      </c>
      <c r="Y532" s="5">
        <v>82083</v>
      </c>
      <c r="Z532" s="5">
        <v>69257384.799999997</v>
      </c>
      <c r="AA532" s="5">
        <v>5749</v>
      </c>
      <c r="AB532" s="5" t="s">
        <v>85</v>
      </c>
      <c r="AC532" s="5">
        <v>1</v>
      </c>
    </row>
    <row r="533" spans="1:29" x14ac:dyDescent="0.3">
      <c r="A533" s="34">
        <v>46274</v>
      </c>
      <c r="B533" s="34">
        <v>46274</v>
      </c>
      <c r="C533" s="5" t="s">
        <v>78</v>
      </c>
      <c r="D533" s="5" t="s">
        <v>79</v>
      </c>
      <c r="E533" s="5" t="s">
        <v>80</v>
      </c>
      <c r="F533" s="5">
        <v>762596</v>
      </c>
      <c r="G533" s="5" t="s">
        <v>1690</v>
      </c>
      <c r="H533" s="5" t="s">
        <v>1691</v>
      </c>
      <c r="I533" s="5" t="s">
        <v>234</v>
      </c>
      <c r="N533" s="5" t="s">
        <v>1692</v>
      </c>
      <c r="O533" s="5">
        <v>54.11</v>
      </c>
      <c r="P533" s="5">
        <v>57</v>
      </c>
      <c r="Q533" s="5">
        <v>51.78</v>
      </c>
      <c r="R533" s="5">
        <v>56.48</v>
      </c>
      <c r="S533" s="5">
        <v>56.16</v>
      </c>
      <c r="T533" s="5">
        <v>54.5</v>
      </c>
      <c r="V533" s="5">
        <v>56.48</v>
      </c>
      <c r="Y533" s="5">
        <v>147033</v>
      </c>
      <c r="Z533" s="5">
        <v>8025937.1500000004</v>
      </c>
      <c r="AA533" s="5">
        <v>639</v>
      </c>
      <c r="AB533" s="5" t="s">
        <v>85</v>
      </c>
      <c r="AC533" s="5">
        <v>1</v>
      </c>
    </row>
    <row r="534" spans="1:29" x14ac:dyDescent="0.3">
      <c r="A534" s="34">
        <v>46274</v>
      </c>
      <c r="B534" s="34">
        <v>46274</v>
      </c>
      <c r="C534" s="5" t="s">
        <v>78</v>
      </c>
      <c r="D534" s="5" t="s">
        <v>79</v>
      </c>
      <c r="E534" s="5" t="s">
        <v>80</v>
      </c>
      <c r="F534" s="5">
        <v>1455</v>
      </c>
      <c r="G534" s="5" t="s">
        <v>1693</v>
      </c>
      <c r="H534" s="5" t="s">
        <v>15</v>
      </c>
      <c r="I534" s="5" t="s">
        <v>212</v>
      </c>
      <c r="N534" s="5" t="s">
        <v>1694</v>
      </c>
      <c r="O534" s="5">
        <v>1430</v>
      </c>
      <c r="P534" s="5">
        <v>1432.8</v>
      </c>
      <c r="Q534" s="5">
        <v>1394</v>
      </c>
      <c r="R534" s="5">
        <v>1407.8</v>
      </c>
      <c r="S534" s="5">
        <v>1406</v>
      </c>
      <c r="T534" s="5">
        <v>1433.2</v>
      </c>
      <c r="V534" s="5">
        <v>1407.86</v>
      </c>
      <c r="Y534" s="5">
        <v>6435</v>
      </c>
      <c r="Z534" s="5">
        <v>9096912.6999999993</v>
      </c>
      <c r="AA534" s="5">
        <v>722</v>
      </c>
      <c r="AB534" s="5" t="s">
        <v>85</v>
      </c>
      <c r="AC534" s="5">
        <v>1</v>
      </c>
    </row>
    <row r="535" spans="1:29" x14ac:dyDescent="0.3">
      <c r="A535" s="34">
        <v>46274</v>
      </c>
      <c r="B535" s="34">
        <v>46274</v>
      </c>
      <c r="C535" s="5" t="s">
        <v>78</v>
      </c>
      <c r="D535" s="5" t="s">
        <v>79</v>
      </c>
      <c r="E535" s="5" t="s">
        <v>80</v>
      </c>
      <c r="F535" s="5">
        <v>760247</v>
      </c>
      <c r="G535" s="5" t="s">
        <v>1695</v>
      </c>
      <c r="H535" s="5" t="s">
        <v>1696</v>
      </c>
      <c r="I535" s="5" t="s">
        <v>212</v>
      </c>
      <c r="N535" s="5" t="s">
        <v>1697</v>
      </c>
      <c r="O535" s="5">
        <v>167.5</v>
      </c>
      <c r="P535" s="5">
        <v>167.5</v>
      </c>
      <c r="Q535" s="5">
        <v>165</v>
      </c>
      <c r="R535" s="5">
        <v>165.01</v>
      </c>
      <c r="S535" s="5">
        <v>165</v>
      </c>
      <c r="T535" s="5">
        <v>167.31</v>
      </c>
      <c r="V535" s="5">
        <v>165.01</v>
      </c>
      <c r="Y535" s="5">
        <v>1456</v>
      </c>
      <c r="Z535" s="5">
        <v>241880.63</v>
      </c>
      <c r="AA535" s="5">
        <v>22</v>
      </c>
      <c r="AB535" s="5" t="s">
        <v>85</v>
      </c>
      <c r="AC535" s="5">
        <v>1</v>
      </c>
    </row>
    <row r="536" spans="1:29" x14ac:dyDescent="0.3">
      <c r="A536" s="34">
        <v>46274</v>
      </c>
      <c r="B536" s="34">
        <v>46274</v>
      </c>
      <c r="C536" s="5" t="s">
        <v>78</v>
      </c>
      <c r="D536" s="5" t="s">
        <v>79</v>
      </c>
      <c r="E536" s="5" t="s">
        <v>80</v>
      </c>
      <c r="F536" s="5">
        <v>13987</v>
      </c>
      <c r="G536" s="5" t="s">
        <v>1698</v>
      </c>
      <c r="H536" s="5" t="s">
        <v>1699</v>
      </c>
      <c r="I536" s="5" t="s">
        <v>212</v>
      </c>
      <c r="N536" s="5" t="s">
        <v>1700</v>
      </c>
      <c r="O536" s="5">
        <v>58.91</v>
      </c>
      <c r="P536" s="5">
        <v>58.91</v>
      </c>
      <c r="Q536" s="5">
        <v>57.8</v>
      </c>
      <c r="R536" s="5">
        <v>58</v>
      </c>
      <c r="S536" s="5">
        <v>57.97</v>
      </c>
      <c r="T536" s="5">
        <v>58.31</v>
      </c>
      <c r="V536" s="5">
        <v>58</v>
      </c>
      <c r="Y536" s="5">
        <v>156871</v>
      </c>
      <c r="Z536" s="5">
        <v>9116436.6899999995</v>
      </c>
      <c r="AA536" s="5">
        <v>392</v>
      </c>
      <c r="AB536" s="5" t="s">
        <v>85</v>
      </c>
      <c r="AC536" s="5">
        <v>1</v>
      </c>
    </row>
    <row r="537" spans="1:29" x14ac:dyDescent="0.3">
      <c r="A537" s="34">
        <v>46274</v>
      </c>
      <c r="B537" s="34">
        <v>46274</v>
      </c>
      <c r="C537" s="5" t="s">
        <v>78</v>
      </c>
      <c r="D537" s="5" t="s">
        <v>79</v>
      </c>
      <c r="E537" s="5" t="s">
        <v>80</v>
      </c>
      <c r="F537" s="5">
        <v>14518</v>
      </c>
      <c r="G537" s="5" t="s">
        <v>1701</v>
      </c>
      <c r="H537" s="5" t="s">
        <v>1702</v>
      </c>
      <c r="I537" s="5" t="s">
        <v>212</v>
      </c>
      <c r="N537" s="5" t="s">
        <v>1703</v>
      </c>
      <c r="O537" s="5">
        <v>1000</v>
      </c>
      <c r="P537" s="5">
        <v>1000.01</v>
      </c>
      <c r="Q537" s="5">
        <v>999.99</v>
      </c>
      <c r="R537" s="5">
        <v>999.99</v>
      </c>
      <c r="S537" s="5">
        <v>999.99</v>
      </c>
      <c r="T537" s="5">
        <v>1000</v>
      </c>
      <c r="V537" s="5">
        <v>999.99</v>
      </c>
      <c r="Y537" s="5">
        <v>257</v>
      </c>
      <c r="Z537" s="5">
        <v>257000.88</v>
      </c>
      <c r="AA537" s="5">
        <v>13</v>
      </c>
      <c r="AB537" s="5" t="s">
        <v>85</v>
      </c>
      <c r="AC537" s="5">
        <v>1</v>
      </c>
    </row>
    <row r="538" spans="1:29" x14ac:dyDescent="0.3">
      <c r="A538" s="34">
        <v>46274</v>
      </c>
      <c r="B538" s="34">
        <v>46274</v>
      </c>
      <c r="C538" s="5" t="s">
        <v>78</v>
      </c>
      <c r="D538" s="5" t="s">
        <v>79</v>
      </c>
      <c r="E538" s="5" t="s">
        <v>80</v>
      </c>
      <c r="F538" s="5">
        <v>761066</v>
      </c>
      <c r="G538" s="5" t="s">
        <v>1704</v>
      </c>
      <c r="H538" s="5" t="s">
        <v>1705</v>
      </c>
      <c r="I538" s="5" t="s">
        <v>212</v>
      </c>
      <c r="N538" s="5" t="s">
        <v>1706</v>
      </c>
      <c r="O538" s="5">
        <v>29.42</v>
      </c>
      <c r="P538" s="5">
        <v>29.57</v>
      </c>
      <c r="Q538" s="5">
        <v>29.1</v>
      </c>
      <c r="R538" s="5">
        <v>29.19</v>
      </c>
      <c r="S538" s="5">
        <v>29.57</v>
      </c>
      <c r="T538" s="5">
        <v>29.34</v>
      </c>
      <c r="V538" s="5">
        <v>29.19</v>
      </c>
      <c r="Y538" s="5">
        <v>121</v>
      </c>
      <c r="Z538" s="5">
        <v>3530.83</v>
      </c>
      <c r="AA538" s="5">
        <v>18</v>
      </c>
      <c r="AB538" s="5" t="s">
        <v>85</v>
      </c>
      <c r="AC538" s="5">
        <v>1</v>
      </c>
    </row>
    <row r="539" spans="1:29" x14ac:dyDescent="0.3">
      <c r="A539" s="34">
        <v>46274</v>
      </c>
      <c r="B539" s="34">
        <v>46274</v>
      </c>
      <c r="C539" s="5" t="s">
        <v>78</v>
      </c>
      <c r="D539" s="5" t="s">
        <v>79</v>
      </c>
      <c r="E539" s="5" t="s">
        <v>80</v>
      </c>
      <c r="F539" s="5">
        <v>7339</v>
      </c>
      <c r="G539" s="5" t="s">
        <v>1707</v>
      </c>
      <c r="H539" s="5" t="s">
        <v>1708</v>
      </c>
      <c r="I539" s="5" t="s">
        <v>212</v>
      </c>
      <c r="N539" s="5" t="s">
        <v>1709</v>
      </c>
      <c r="O539" s="5">
        <v>76.849999999999994</v>
      </c>
      <c r="P539" s="5">
        <v>77.5</v>
      </c>
      <c r="Q539" s="5">
        <v>76.52</v>
      </c>
      <c r="R539" s="5">
        <v>76.8</v>
      </c>
      <c r="S539" s="5">
        <v>77.5</v>
      </c>
      <c r="T539" s="5">
        <v>76.849999999999994</v>
      </c>
      <c r="V539" s="5">
        <v>76.8</v>
      </c>
      <c r="Y539" s="5">
        <v>5514</v>
      </c>
      <c r="Z539" s="5">
        <v>423687.31</v>
      </c>
      <c r="AA539" s="5">
        <v>171</v>
      </c>
      <c r="AB539" s="5" t="s">
        <v>85</v>
      </c>
      <c r="AC539" s="5">
        <v>1</v>
      </c>
    </row>
    <row r="540" spans="1:29" x14ac:dyDescent="0.3">
      <c r="A540" s="34">
        <v>46274</v>
      </c>
      <c r="B540" s="34">
        <v>46274</v>
      </c>
      <c r="C540" s="5" t="s">
        <v>78</v>
      </c>
      <c r="D540" s="5" t="s">
        <v>79</v>
      </c>
      <c r="E540" s="5" t="s">
        <v>80</v>
      </c>
      <c r="F540" s="5">
        <v>5957</v>
      </c>
      <c r="G540" s="5" t="s">
        <v>1710</v>
      </c>
      <c r="H540" s="5" t="s">
        <v>1711</v>
      </c>
      <c r="I540" s="5" t="s">
        <v>212</v>
      </c>
      <c r="N540" s="5" t="s">
        <v>1712</v>
      </c>
      <c r="O540" s="5">
        <v>76.56</v>
      </c>
      <c r="P540" s="5">
        <v>78</v>
      </c>
      <c r="Q540" s="5">
        <v>75.67</v>
      </c>
      <c r="R540" s="5">
        <v>76.069999999999993</v>
      </c>
      <c r="S540" s="5">
        <v>75.67</v>
      </c>
      <c r="T540" s="5">
        <v>76.540000000000006</v>
      </c>
      <c r="V540" s="5">
        <v>75.930000000000007</v>
      </c>
      <c r="Y540" s="5">
        <v>6613</v>
      </c>
      <c r="Z540" s="5">
        <v>501838.56</v>
      </c>
      <c r="AA540" s="5">
        <v>166</v>
      </c>
      <c r="AB540" s="5" t="s">
        <v>85</v>
      </c>
      <c r="AC540" s="5">
        <v>1</v>
      </c>
    </row>
    <row r="541" spans="1:29" x14ac:dyDescent="0.3">
      <c r="A541" s="34">
        <v>46274</v>
      </c>
      <c r="B541" s="34">
        <v>46274</v>
      </c>
      <c r="C541" s="5" t="s">
        <v>78</v>
      </c>
      <c r="D541" s="5" t="s">
        <v>79</v>
      </c>
      <c r="E541" s="5" t="s">
        <v>80</v>
      </c>
      <c r="F541" s="5">
        <v>24847</v>
      </c>
      <c r="G541" s="5" t="s">
        <v>1713</v>
      </c>
      <c r="H541" s="5" t="s">
        <v>1714</v>
      </c>
      <c r="I541" s="5" t="s">
        <v>212</v>
      </c>
      <c r="N541" s="5" t="s">
        <v>1715</v>
      </c>
      <c r="O541" s="5">
        <v>112.93</v>
      </c>
      <c r="P541" s="5">
        <v>113.27</v>
      </c>
      <c r="Q541" s="5">
        <v>111.82</v>
      </c>
      <c r="R541" s="5">
        <v>113.27</v>
      </c>
      <c r="S541" s="5">
        <v>113.27</v>
      </c>
      <c r="T541" s="5">
        <v>112.93</v>
      </c>
      <c r="V541" s="5">
        <v>113.27</v>
      </c>
      <c r="Y541" s="5">
        <v>34</v>
      </c>
      <c r="Z541" s="5">
        <v>3807.34</v>
      </c>
      <c r="AA541" s="5">
        <v>3</v>
      </c>
      <c r="AB541" s="5" t="s">
        <v>85</v>
      </c>
      <c r="AC541" s="5">
        <v>1</v>
      </c>
    </row>
    <row r="542" spans="1:29" x14ac:dyDescent="0.3">
      <c r="A542" s="34">
        <v>46274</v>
      </c>
      <c r="B542" s="34">
        <v>46274</v>
      </c>
      <c r="C542" s="5" t="s">
        <v>78</v>
      </c>
      <c r="D542" s="5" t="s">
        <v>79</v>
      </c>
      <c r="E542" s="5" t="s">
        <v>80</v>
      </c>
      <c r="F542" s="5">
        <v>6297</v>
      </c>
      <c r="G542" s="5" t="s">
        <v>1716</v>
      </c>
      <c r="H542" s="5" t="s">
        <v>1717</v>
      </c>
      <c r="I542" s="5" t="s">
        <v>212</v>
      </c>
      <c r="N542" s="5" t="s">
        <v>1718</v>
      </c>
      <c r="O542" s="5">
        <v>17.170000000000002</v>
      </c>
      <c r="P542" s="5">
        <v>17.25</v>
      </c>
      <c r="Q542" s="5">
        <v>16.95</v>
      </c>
      <c r="R542" s="5">
        <v>17.05</v>
      </c>
      <c r="S542" s="5">
        <v>17.02</v>
      </c>
      <c r="T542" s="5">
        <v>17.09</v>
      </c>
      <c r="V542" s="5">
        <v>17.059999999999999</v>
      </c>
      <c r="Y542" s="5">
        <v>246034</v>
      </c>
      <c r="Z542" s="5">
        <v>4208108.01</v>
      </c>
      <c r="AA542" s="5">
        <v>880</v>
      </c>
      <c r="AB542" s="5" t="s">
        <v>85</v>
      </c>
      <c r="AC542" s="5">
        <v>1</v>
      </c>
    </row>
    <row r="543" spans="1:29" x14ac:dyDescent="0.3">
      <c r="A543" s="34">
        <v>46274</v>
      </c>
      <c r="B543" s="34">
        <v>46274</v>
      </c>
      <c r="C543" s="5" t="s">
        <v>78</v>
      </c>
      <c r="D543" s="5" t="s">
        <v>79</v>
      </c>
      <c r="E543" s="5" t="s">
        <v>80</v>
      </c>
      <c r="F543" s="5">
        <v>10693</v>
      </c>
      <c r="G543" s="5" t="s">
        <v>1719</v>
      </c>
      <c r="H543" s="5" t="s">
        <v>1720</v>
      </c>
      <c r="I543" s="5" t="s">
        <v>212</v>
      </c>
      <c r="N543" s="5" t="s">
        <v>1721</v>
      </c>
      <c r="O543" s="5">
        <v>31.25</v>
      </c>
      <c r="P543" s="5">
        <v>31.74</v>
      </c>
      <c r="Q543" s="5">
        <v>31.03</v>
      </c>
      <c r="R543" s="5">
        <v>31.57</v>
      </c>
      <c r="S543" s="5">
        <v>31.16</v>
      </c>
      <c r="T543" s="5">
        <v>31.46</v>
      </c>
      <c r="V543" s="5">
        <v>31.57</v>
      </c>
      <c r="Y543" s="5">
        <v>229971</v>
      </c>
      <c r="Z543" s="5">
        <v>7260531.96</v>
      </c>
      <c r="AA543" s="5">
        <v>199</v>
      </c>
      <c r="AB543" s="5" t="s">
        <v>85</v>
      </c>
      <c r="AC543" s="5">
        <v>1</v>
      </c>
    </row>
    <row r="544" spans="1:29" x14ac:dyDescent="0.3">
      <c r="A544" s="34">
        <v>46274</v>
      </c>
      <c r="B544" s="34">
        <v>46274</v>
      </c>
      <c r="C544" s="5" t="s">
        <v>78</v>
      </c>
      <c r="D544" s="5" t="s">
        <v>79</v>
      </c>
      <c r="E544" s="5" t="s">
        <v>80</v>
      </c>
      <c r="F544" s="5">
        <v>10690</v>
      </c>
      <c r="G544" s="5" t="s">
        <v>1722</v>
      </c>
      <c r="H544" s="5" t="s">
        <v>1723</v>
      </c>
      <c r="I544" s="5" t="s">
        <v>212</v>
      </c>
      <c r="N544" s="5" t="s">
        <v>1724</v>
      </c>
      <c r="O544" s="5">
        <v>20.94</v>
      </c>
      <c r="P544" s="5">
        <v>21.09</v>
      </c>
      <c r="Q544" s="5">
        <v>20.86</v>
      </c>
      <c r="R544" s="5">
        <v>20.92</v>
      </c>
      <c r="S544" s="5">
        <v>20.99</v>
      </c>
      <c r="T544" s="5">
        <v>21.04</v>
      </c>
      <c r="V544" s="5">
        <v>20.92</v>
      </c>
      <c r="Y544" s="5">
        <v>38855</v>
      </c>
      <c r="Z544" s="5">
        <v>813198.76</v>
      </c>
      <c r="AA544" s="5">
        <v>221</v>
      </c>
      <c r="AB544" s="5" t="s">
        <v>85</v>
      </c>
      <c r="AC544" s="5">
        <v>1</v>
      </c>
    </row>
    <row r="545" spans="1:29" x14ac:dyDescent="0.3">
      <c r="A545" s="34">
        <v>46274</v>
      </c>
      <c r="B545" s="34">
        <v>46274</v>
      </c>
      <c r="C545" s="5" t="s">
        <v>78</v>
      </c>
      <c r="D545" s="5" t="s">
        <v>79</v>
      </c>
      <c r="E545" s="5" t="s">
        <v>80</v>
      </c>
      <c r="F545" s="5">
        <v>8003</v>
      </c>
      <c r="G545" s="5" t="s">
        <v>1725</v>
      </c>
      <c r="H545" s="5" t="s">
        <v>1726</v>
      </c>
      <c r="I545" s="5" t="s">
        <v>212</v>
      </c>
      <c r="N545" s="5" t="s">
        <v>1727</v>
      </c>
      <c r="O545" s="5">
        <v>232.39</v>
      </c>
      <c r="P545" s="5">
        <v>233.64</v>
      </c>
      <c r="Q545" s="5">
        <v>231.33</v>
      </c>
      <c r="R545" s="5">
        <v>232.45</v>
      </c>
      <c r="S545" s="5">
        <v>232.48</v>
      </c>
      <c r="T545" s="5">
        <v>231.1</v>
      </c>
      <c r="V545" s="5">
        <v>232.45</v>
      </c>
      <c r="Y545" s="5">
        <v>554586</v>
      </c>
      <c r="Z545" s="5">
        <v>128963226.09</v>
      </c>
      <c r="AA545" s="5">
        <v>6388</v>
      </c>
      <c r="AB545" s="5" t="s">
        <v>85</v>
      </c>
      <c r="AC545" s="5">
        <v>1</v>
      </c>
    </row>
    <row r="546" spans="1:29" x14ac:dyDescent="0.3">
      <c r="A546" s="34">
        <v>46274</v>
      </c>
      <c r="B546" s="34">
        <v>46274</v>
      </c>
      <c r="C546" s="5" t="s">
        <v>78</v>
      </c>
      <c r="D546" s="5" t="s">
        <v>79</v>
      </c>
      <c r="E546" s="5" t="s">
        <v>80</v>
      </c>
      <c r="F546" s="5">
        <v>6462</v>
      </c>
      <c r="G546" s="5" t="s">
        <v>1728</v>
      </c>
      <c r="H546" s="5" t="s">
        <v>1729</v>
      </c>
      <c r="I546" s="5" t="s">
        <v>212</v>
      </c>
      <c r="N546" s="5" t="s">
        <v>1730</v>
      </c>
      <c r="O546" s="5">
        <v>32.79</v>
      </c>
      <c r="P546" s="5">
        <v>32.79</v>
      </c>
      <c r="Q546" s="5">
        <v>31.61</v>
      </c>
      <c r="R546" s="5">
        <v>31.76</v>
      </c>
      <c r="S546" s="5">
        <v>32.57</v>
      </c>
      <c r="T546" s="5">
        <v>32.79</v>
      </c>
      <c r="V546" s="5">
        <v>31.77</v>
      </c>
      <c r="Y546" s="5">
        <v>122686</v>
      </c>
      <c r="Z546" s="5">
        <v>3897236.13</v>
      </c>
      <c r="AA546" s="5">
        <v>454</v>
      </c>
      <c r="AB546" s="5" t="s">
        <v>85</v>
      </c>
      <c r="AC546" s="5">
        <v>1</v>
      </c>
    </row>
    <row r="547" spans="1:29" x14ac:dyDescent="0.3">
      <c r="A547" s="34">
        <v>46274</v>
      </c>
      <c r="B547" s="34">
        <v>46274</v>
      </c>
      <c r="C547" s="5" t="s">
        <v>78</v>
      </c>
      <c r="D547" s="5" t="s">
        <v>79</v>
      </c>
      <c r="E547" s="5" t="s">
        <v>80</v>
      </c>
      <c r="F547" s="5">
        <v>23806</v>
      </c>
      <c r="G547" s="5" t="s">
        <v>1731</v>
      </c>
      <c r="H547" s="5" t="s">
        <v>1732</v>
      </c>
      <c r="I547" s="5" t="s">
        <v>212</v>
      </c>
      <c r="N547" s="5" t="s">
        <v>1733</v>
      </c>
      <c r="O547" s="5">
        <v>10.1</v>
      </c>
      <c r="P547" s="5">
        <v>10.23</v>
      </c>
      <c r="Q547" s="5">
        <v>10.1</v>
      </c>
      <c r="R547" s="5">
        <v>10.19</v>
      </c>
      <c r="S547" s="5">
        <v>10.199999999999999</v>
      </c>
      <c r="T547" s="5">
        <v>10.130000000000001</v>
      </c>
      <c r="V547" s="5">
        <v>10.19</v>
      </c>
      <c r="Y547" s="5">
        <v>90916</v>
      </c>
      <c r="Z547" s="5">
        <v>926725.09</v>
      </c>
      <c r="AA547" s="5">
        <v>335</v>
      </c>
      <c r="AB547" s="5" t="s">
        <v>85</v>
      </c>
      <c r="AC547" s="5">
        <v>1</v>
      </c>
    </row>
    <row r="548" spans="1:29" x14ac:dyDescent="0.3">
      <c r="A548" s="34">
        <v>46274</v>
      </c>
      <c r="B548" s="34">
        <v>46274</v>
      </c>
      <c r="C548" s="5" t="s">
        <v>78</v>
      </c>
      <c r="D548" s="5" t="s">
        <v>79</v>
      </c>
      <c r="E548" s="5" t="s">
        <v>80</v>
      </c>
      <c r="F548" s="5">
        <v>6994</v>
      </c>
      <c r="G548" s="5" t="s">
        <v>1734</v>
      </c>
      <c r="H548" s="5" t="s">
        <v>1735</v>
      </c>
      <c r="I548" s="5" t="s">
        <v>212</v>
      </c>
      <c r="N548" s="5" t="s">
        <v>1736</v>
      </c>
      <c r="O548" s="5">
        <v>279.85000000000002</v>
      </c>
      <c r="P548" s="5">
        <v>279.85000000000002</v>
      </c>
      <c r="Q548" s="5">
        <v>276.10000000000002</v>
      </c>
      <c r="R548" s="5">
        <v>277.2</v>
      </c>
      <c r="S548" s="5">
        <v>277.2</v>
      </c>
      <c r="T548" s="5">
        <v>281.64999999999998</v>
      </c>
      <c r="V548" s="5">
        <v>277.20999999999998</v>
      </c>
      <c r="Y548" s="5">
        <v>945788</v>
      </c>
      <c r="Z548" s="5">
        <v>262716230.34999999</v>
      </c>
      <c r="AA548" s="5">
        <v>21164</v>
      </c>
      <c r="AB548" s="5" t="s">
        <v>85</v>
      </c>
      <c r="AC548" s="5">
        <v>1</v>
      </c>
    </row>
    <row r="549" spans="1:29" x14ac:dyDescent="0.3">
      <c r="A549" s="34">
        <v>46274</v>
      </c>
      <c r="B549" s="34">
        <v>46274</v>
      </c>
      <c r="C549" s="5" t="s">
        <v>78</v>
      </c>
      <c r="D549" s="5" t="s">
        <v>79</v>
      </c>
      <c r="E549" s="5" t="s">
        <v>80</v>
      </c>
      <c r="F549" s="5">
        <v>3435</v>
      </c>
      <c r="G549" s="5" t="s">
        <v>1737</v>
      </c>
      <c r="H549" s="5" t="s">
        <v>1738</v>
      </c>
      <c r="I549" s="5" t="s">
        <v>212</v>
      </c>
      <c r="N549" s="5" t="s">
        <v>1739</v>
      </c>
      <c r="O549" s="5">
        <v>769.65</v>
      </c>
      <c r="P549" s="5">
        <v>777.5</v>
      </c>
      <c r="Q549" s="5">
        <v>755</v>
      </c>
      <c r="R549" s="5">
        <v>763.1</v>
      </c>
      <c r="S549" s="5">
        <v>762</v>
      </c>
      <c r="T549" s="5">
        <v>770.9</v>
      </c>
      <c r="V549" s="5">
        <v>763.09</v>
      </c>
      <c r="Y549" s="5">
        <v>261045</v>
      </c>
      <c r="Z549" s="5">
        <v>200366699</v>
      </c>
      <c r="AA549" s="5">
        <v>17177</v>
      </c>
      <c r="AB549" s="5" t="s">
        <v>85</v>
      </c>
      <c r="AC549" s="5">
        <v>1</v>
      </c>
    </row>
    <row r="550" spans="1:29" x14ac:dyDescent="0.3">
      <c r="A550" s="34">
        <v>46274</v>
      </c>
      <c r="B550" s="34">
        <v>46274</v>
      </c>
      <c r="C550" s="5" t="s">
        <v>78</v>
      </c>
      <c r="D550" s="5" t="s">
        <v>79</v>
      </c>
      <c r="E550" s="5" t="s">
        <v>80</v>
      </c>
      <c r="F550" s="5">
        <v>762601</v>
      </c>
      <c r="G550" s="5" t="s">
        <v>1740</v>
      </c>
      <c r="H550" s="5" t="s">
        <v>1741</v>
      </c>
      <c r="I550" s="5" t="s">
        <v>234</v>
      </c>
      <c r="N550" s="5" t="s">
        <v>1742</v>
      </c>
      <c r="O550" s="5">
        <v>112.75</v>
      </c>
      <c r="P550" s="5">
        <v>112.75</v>
      </c>
      <c r="Q550" s="5">
        <v>110.8</v>
      </c>
      <c r="R550" s="5">
        <v>112.02</v>
      </c>
      <c r="S550" s="5">
        <v>112.45</v>
      </c>
      <c r="T550" s="5">
        <v>112.27</v>
      </c>
      <c r="V550" s="5">
        <v>112.24</v>
      </c>
      <c r="Y550" s="5">
        <v>13351</v>
      </c>
      <c r="Z550" s="5">
        <v>1492071.5</v>
      </c>
      <c r="AA550" s="5">
        <v>156</v>
      </c>
      <c r="AB550" s="5" t="s">
        <v>85</v>
      </c>
      <c r="AC550" s="5">
        <v>1</v>
      </c>
    </row>
    <row r="551" spans="1:29" x14ac:dyDescent="0.3">
      <c r="A551" s="34">
        <v>46274</v>
      </c>
      <c r="B551" s="34">
        <v>46274</v>
      </c>
      <c r="C551" s="5" t="s">
        <v>78</v>
      </c>
      <c r="D551" s="5" t="s">
        <v>79</v>
      </c>
      <c r="E551" s="5" t="s">
        <v>80</v>
      </c>
      <c r="F551" s="5">
        <v>27144</v>
      </c>
      <c r="G551" s="5" t="s">
        <v>1743</v>
      </c>
      <c r="H551" s="5" t="s">
        <v>1744</v>
      </c>
      <c r="I551" s="5" t="s">
        <v>212</v>
      </c>
      <c r="N551" s="5" t="s">
        <v>1745</v>
      </c>
      <c r="O551" s="5">
        <v>600.4</v>
      </c>
      <c r="P551" s="5">
        <v>600.5</v>
      </c>
      <c r="Q551" s="5">
        <v>577.65</v>
      </c>
      <c r="R551" s="5">
        <v>580.04999999999995</v>
      </c>
      <c r="S551" s="5">
        <v>579.79999999999995</v>
      </c>
      <c r="T551" s="5">
        <v>573.4</v>
      </c>
      <c r="V551" s="5">
        <v>580.07000000000005</v>
      </c>
      <c r="Y551" s="5">
        <v>1125030</v>
      </c>
      <c r="Z551" s="5">
        <v>657296836.39999998</v>
      </c>
      <c r="AA551" s="5">
        <v>73054</v>
      </c>
      <c r="AB551" s="5" t="s">
        <v>85</v>
      </c>
      <c r="AC551" s="5">
        <v>1</v>
      </c>
    </row>
    <row r="552" spans="1:29" x14ac:dyDescent="0.3">
      <c r="A552" s="34">
        <v>46274</v>
      </c>
      <c r="B552" s="34">
        <v>46274</v>
      </c>
      <c r="C552" s="5" t="s">
        <v>78</v>
      </c>
      <c r="D552" s="5" t="s">
        <v>79</v>
      </c>
      <c r="E552" s="5" t="s">
        <v>80</v>
      </c>
      <c r="F552" s="5">
        <v>8132</v>
      </c>
      <c r="G552" s="5" t="s">
        <v>1746</v>
      </c>
      <c r="H552" s="5" t="s">
        <v>1747</v>
      </c>
      <c r="I552" s="5" t="s">
        <v>212</v>
      </c>
      <c r="N552" s="5" t="s">
        <v>1748</v>
      </c>
      <c r="O552" s="5">
        <v>16.899999999999999</v>
      </c>
      <c r="P552" s="5">
        <v>17.010000000000002</v>
      </c>
      <c r="Q552" s="5">
        <v>16.420000000000002</v>
      </c>
      <c r="R552" s="5">
        <v>16.5</v>
      </c>
      <c r="S552" s="5">
        <v>16.45</v>
      </c>
      <c r="T552" s="5">
        <v>16.88</v>
      </c>
      <c r="V552" s="5">
        <v>16.5</v>
      </c>
      <c r="Y552" s="5">
        <v>102796</v>
      </c>
      <c r="Z552" s="5">
        <v>1704791.27</v>
      </c>
      <c r="AA552" s="5">
        <v>272</v>
      </c>
      <c r="AB552" s="5" t="s">
        <v>85</v>
      </c>
      <c r="AC552" s="5">
        <v>1</v>
      </c>
    </row>
    <row r="553" spans="1:29" x14ac:dyDescent="0.3">
      <c r="A553" s="34">
        <v>46274</v>
      </c>
      <c r="B553" s="34">
        <v>46274</v>
      </c>
      <c r="C553" s="5" t="s">
        <v>78</v>
      </c>
      <c r="D553" s="5" t="s">
        <v>79</v>
      </c>
      <c r="E553" s="5" t="s">
        <v>80</v>
      </c>
      <c r="F553" s="5">
        <v>19269</v>
      </c>
      <c r="G553" s="5" t="s">
        <v>1749</v>
      </c>
      <c r="H553" s="5" t="s">
        <v>1750</v>
      </c>
      <c r="I553" s="5" t="s">
        <v>234</v>
      </c>
      <c r="N553" s="5" t="s">
        <v>1751</v>
      </c>
      <c r="O553" s="5">
        <v>722.3</v>
      </c>
      <c r="P553" s="5">
        <v>725</v>
      </c>
      <c r="Q553" s="5">
        <v>690.1</v>
      </c>
      <c r="R553" s="5">
        <v>692.85</v>
      </c>
      <c r="S553" s="5">
        <v>705</v>
      </c>
      <c r="T553" s="5">
        <v>722.3</v>
      </c>
      <c r="V553" s="5">
        <v>692.84</v>
      </c>
      <c r="Y553" s="5">
        <v>344600</v>
      </c>
      <c r="Z553" s="5">
        <v>242158583.15000001</v>
      </c>
      <c r="AA553" s="5">
        <v>5203</v>
      </c>
      <c r="AB553" s="5" t="s">
        <v>85</v>
      </c>
      <c r="AC553" s="5">
        <v>1</v>
      </c>
    </row>
    <row r="554" spans="1:29" x14ac:dyDescent="0.3">
      <c r="A554" s="34">
        <v>46274</v>
      </c>
      <c r="B554" s="34">
        <v>46274</v>
      </c>
      <c r="C554" s="5" t="s">
        <v>78</v>
      </c>
      <c r="D554" s="5" t="s">
        <v>79</v>
      </c>
      <c r="E554" s="5" t="s">
        <v>80</v>
      </c>
      <c r="F554" s="5">
        <v>22566</v>
      </c>
      <c r="G554" s="5" t="s">
        <v>1752</v>
      </c>
      <c r="H554" s="5" t="s">
        <v>1753</v>
      </c>
      <c r="I554" s="5" t="s">
        <v>212</v>
      </c>
      <c r="N554" s="5" t="s">
        <v>1754</v>
      </c>
      <c r="O554" s="5">
        <v>322.05</v>
      </c>
      <c r="P554" s="5">
        <v>328.5</v>
      </c>
      <c r="Q554" s="5">
        <v>318.14999999999998</v>
      </c>
      <c r="R554" s="5">
        <v>320.60000000000002</v>
      </c>
      <c r="S554" s="5">
        <v>319.3</v>
      </c>
      <c r="T554" s="5">
        <v>322.05</v>
      </c>
      <c r="V554" s="5">
        <v>320.61</v>
      </c>
      <c r="Y554" s="5">
        <v>178708</v>
      </c>
      <c r="Z554" s="5">
        <v>57919550.149999999</v>
      </c>
      <c r="AA554" s="5">
        <v>4410</v>
      </c>
      <c r="AB554" s="5" t="s">
        <v>85</v>
      </c>
      <c r="AC554" s="5">
        <v>1</v>
      </c>
    </row>
    <row r="555" spans="1:29" x14ac:dyDescent="0.3">
      <c r="A555" s="34">
        <v>46274</v>
      </c>
      <c r="B555" s="34">
        <v>46274</v>
      </c>
      <c r="C555" s="5" t="s">
        <v>78</v>
      </c>
      <c r="D555" s="5" t="s">
        <v>79</v>
      </c>
      <c r="E555" s="5" t="s">
        <v>80</v>
      </c>
      <c r="F555" s="5">
        <v>17279</v>
      </c>
      <c r="G555" s="5" t="s">
        <v>1755</v>
      </c>
      <c r="H555" s="5" t="s">
        <v>1756</v>
      </c>
      <c r="I555" s="5" t="s">
        <v>212</v>
      </c>
      <c r="N555" s="5" t="s">
        <v>1757</v>
      </c>
      <c r="O555" s="5">
        <v>237.6</v>
      </c>
      <c r="P555" s="5">
        <v>239.02</v>
      </c>
      <c r="Q555" s="5">
        <v>235.11</v>
      </c>
      <c r="R555" s="5">
        <v>236.45</v>
      </c>
      <c r="S555" s="5">
        <v>236.6</v>
      </c>
      <c r="T555" s="5">
        <v>237.7</v>
      </c>
      <c r="V555" s="5">
        <v>236.45</v>
      </c>
      <c r="Y555" s="5">
        <v>589949</v>
      </c>
      <c r="Z555" s="5">
        <v>139632987.41</v>
      </c>
      <c r="AA555" s="5">
        <v>12836</v>
      </c>
      <c r="AB555" s="5" t="s">
        <v>85</v>
      </c>
      <c r="AC555" s="5">
        <v>1</v>
      </c>
    </row>
    <row r="556" spans="1:29" x14ac:dyDescent="0.3">
      <c r="A556" s="34">
        <v>46274</v>
      </c>
      <c r="B556" s="34">
        <v>46274</v>
      </c>
      <c r="C556" s="5" t="s">
        <v>78</v>
      </c>
      <c r="D556" s="5" t="s">
        <v>79</v>
      </c>
      <c r="E556" s="5" t="s">
        <v>80</v>
      </c>
      <c r="F556" s="5">
        <v>765040</v>
      </c>
      <c r="G556" s="5" t="s">
        <v>1758</v>
      </c>
      <c r="H556" s="5" t="s">
        <v>1759</v>
      </c>
      <c r="I556" s="5" t="s">
        <v>212</v>
      </c>
      <c r="N556" s="5" t="s">
        <v>1760</v>
      </c>
      <c r="O556" s="5">
        <v>19.89</v>
      </c>
      <c r="P556" s="5">
        <v>19.89</v>
      </c>
      <c r="Q556" s="5">
        <v>19.55</v>
      </c>
      <c r="R556" s="5">
        <v>19.7</v>
      </c>
      <c r="S556" s="5">
        <v>19.75</v>
      </c>
      <c r="T556" s="5">
        <v>19.75</v>
      </c>
      <c r="V556" s="5">
        <v>19.7</v>
      </c>
      <c r="Y556" s="5">
        <v>722640</v>
      </c>
      <c r="Z556" s="5">
        <v>14215000.67</v>
      </c>
      <c r="AA556" s="5">
        <v>1886</v>
      </c>
      <c r="AB556" s="5" t="s">
        <v>85</v>
      </c>
      <c r="AC556" s="5">
        <v>1</v>
      </c>
    </row>
    <row r="557" spans="1:29" x14ac:dyDescent="0.3">
      <c r="A557" s="34">
        <v>46274</v>
      </c>
      <c r="B557" s="34">
        <v>46274</v>
      </c>
      <c r="C557" s="5" t="s">
        <v>78</v>
      </c>
      <c r="D557" s="5" t="s">
        <v>79</v>
      </c>
      <c r="E557" s="5" t="s">
        <v>80</v>
      </c>
      <c r="F557" s="5">
        <v>7480</v>
      </c>
      <c r="G557" s="5" t="s">
        <v>1761</v>
      </c>
      <c r="H557" s="5" t="s">
        <v>1762</v>
      </c>
      <c r="I557" s="5" t="s">
        <v>212</v>
      </c>
      <c r="N557" s="5" t="s">
        <v>1763</v>
      </c>
      <c r="O557" s="5">
        <v>22.21</v>
      </c>
      <c r="P557" s="5">
        <v>23</v>
      </c>
      <c r="Q557" s="5">
        <v>21.4</v>
      </c>
      <c r="R557" s="5">
        <v>22.5</v>
      </c>
      <c r="S557" s="5">
        <v>22.5</v>
      </c>
      <c r="T557" s="5">
        <v>22.1</v>
      </c>
      <c r="V557" s="5">
        <v>22.5</v>
      </c>
      <c r="Y557" s="5">
        <v>811</v>
      </c>
      <c r="Z557" s="5">
        <v>17959.34</v>
      </c>
      <c r="AA557" s="5">
        <v>18</v>
      </c>
      <c r="AB557" s="5" t="s">
        <v>85</v>
      </c>
      <c r="AC557" s="5">
        <v>1</v>
      </c>
    </row>
    <row r="558" spans="1:29" x14ac:dyDescent="0.3">
      <c r="A558" s="34">
        <v>46274</v>
      </c>
      <c r="B558" s="34">
        <v>46274</v>
      </c>
      <c r="C558" s="5" t="s">
        <v>78</v>
      </c>
      <c r="D558" s="5" t="s">
        <v>79</v>
      </c>
      <c r="E558" s="5" t="s">
        <v>80</v>
      </c>
      <c r="F558" s="5">
        <v>495</v>
      </c>
      <c r="G558" s="5" t="s">
        <v>1764</v>
      </c>
      <c r="H558" s="5" t="s">
        <v>1765</v>
      </c>
      <c r="I558" s="5" t="s">
        <v>212</v>
      </c>
      <c r="N558" s="5" t="s">
        <v>1766</v>
      </c>
      <c r="O558" s="5">
        <v>4962.3</v>
      </c>
      <c r="P558" s="5">
        <v>4975.6000000000004</v>
      </c>
      <c r="Q558" s="5">
        <v>4920</v>
      </c>
      <c r="R558" s="5">
        <v>4928.3999999999996</v>
      </c>
      <c r="S558" s="5">
        <v>4920</v>
      </c>
      <c r="T558" s="5">
        <v>4987.2</v>
      </c>
      <c r="V558" s="5">
        <v>4928.38</v>
      </c>
      <c r="Y558" s="5">
        <v>5343</v>
      </c>
      <c r="Z558" s="5">
        <v>26385731.600000001</v>
      </c>
      <c r="AA558" s="5">
        <v>1575</v>
      </c>
      <c r="AB558" s="5" t="s">
        <v>85</v>
      </c>
      <c r="AC558" s="5">
        <v>1</v>
      </c>
    </row>
    <row r="559" spans="1:29" x14ac:dyDescent="0.3">
      <c r="A559" s="34">
        <v>46274</v>
      </c>
      <c r="B559" s="34">
        <v>46274</v>
      </c>
      <c r="C559" s="5" t="s">
        <v>78</v>
      </c>
      <c r="D559" s="5" t="s">
        <v>79</v>
      </c>
      <c r="E559" s="5" t="s">
        <v>80</v>
      </c>
      <c r="F559" s="5">
        <v>19686</v>
      </c>
      <c r="G559" s="5" t="s">
        <v>1767</v>
      </c>
      <c r="H559" s="5" t="s">
        <v>1768</v>
      </c>
      <c r="I559" s="5" t="s">
        <v>212</v>
      </c>
      <c r="N559" s="5" t="s">
        <v>1769</v>
      </c>
      <c r="O559" s="5">
        <v>580.1</v>
      </c>
      <c r="P559" s="5">
        <v>584</v>
      </c>
      <c r="Q559" s="5">
        <v>573</v>
      </c>
      <c r="R559" s="5">
        <v>575.29999999999995</v>
      </c>
      <c r="S559" s="5">
        <v>573.65</v>
      </c>
      <c r="T559" s="5">
        <v>581.5</v>
      </c>
      <c r="V559" s="5">
        <v>575.30999999999995</v>
      </c>
      <c r="Y559" s="5">
        <v>216832</v>
      </c>
      <c r="Z559" s="5">
        <v>125368430.45</v>
      </c>
      <c r="AA559" s="5">
        <v>10008</v>
      </c>
      <c r="AB559" s="5" t="s">
        <v>85</v>
      </c>
      <c r="AC559" s="5">
        <v>1</v>
      </c>
    </row>
    <row r="560" spans="1:29" x14ac:dyDescent="0.3">
      <c r="A560" s="34">
        <v>46274</v>
      </c>
      <c r="B560" s="34">
        <v>46274</v>
      </c>
      <c r="C560" s="5" t="s">
        <v>78</v>
      </c>
      <c r="D560" s="5" t="s">
        <v>79</v>
      </c>
      <c r="E560" s="5" t="s">
        <v>80</v>
      </c>
      <c r="F560" s="5">
        <v>23410</v>
      </c>
      <c r="G560" s="5" t="s">
        <v>1770</v>
      </c>
      <c r="H560" s="5" t="s">
        <v>1771</v>
      </c>
      <c r="I560" s="5" t="s">
        <v>313</v>
      </c>
      <c r="N560" s="5" t="s">
        <v>1772</v>
      </c>
      <c r="O560" s="5">
        <v>79.95</v>
      </c>
      <c r="P560" s="5">
        <v>80</v>
      </c>
      <c r="Q560" s="5">
        <v>77</v>
      </c>
      <c r="R560" s="5">
        <v>78.7</v>
      </c>
      <c r="S560" s="5">
        <v>78</v>
      </c>
      <c r="T560" s="5">
        <v>76.599999999999994</v>
      </c>
      <c r="V560" s="5">
        <v>78.7</v>
      </c>
      <c r="Y560" s="5">
        <v>4400</v>
      </c>
      <c r="Z560" s="5">
        <v>348100</v>
      </c>
      <c r="AA560" s="5">
        <v>11</v>
      </c>
      <c r="AB560" s="5" t="s">
        <v>85</v>
      </c>
      <c r="AC560" s="5">
        <v>400</v>
      </c>
    </row>
    <row r="561" spans="1:29" x14ac:dyDescent="0.3">
      <c r="A561" s="34">
        <v>46274</v>
      </c>
      <c r="B561" s="34">
        <v>46274</v>
      </c>
      <c r="C561" s="5" t="s">
        <v>78</v>
      </c>
      <c r="D561" s="5" t="s">
        <v>79</v>
      </c>
      <c r="E561" s="5" t="s">
        <v>80</v>
      </c>
      <c r="F561" s="5">
        <v>8311</v>
      </c>
      <c r="G561" s="5" t="s">
        <v>1773</v>
      </c>
      <c r="H561" s="5" t="s">
        <v>1774</v>
      </c>
      <c r="I561" s="5" t="s">
        <v>212</v>
      </c>
      <c r="N561" s="5" t="s">
        <v>1775</v>
      </c>
      <c r="O561" s="5">
        <v>1462</v>
      </c>
      <c r="P561" s="5">
        <v>1470.5</v>
      </c>
      <c r="Q561" s="5">
        <v>1432.3</v>
      </c>
      <c r="R561" s="5">
        <v>1456.9</v>
      </c>
      <c r="S561" s="5">
        <v>1456.9</v>
      </c>
      <c r="T561" s="5">
        <v>1460.9</v>
      </c>
      <c r="V561" s="5">
        <v>1456.87</v>
      </c>
      <c r="Y561" s="5">
        <v>714546</v>
      </c>
      <c r="Z561" s="5">
        <v>1043729209.3</v>
      </c>
      <c r="AA561" s="5">
        <v>23251</v>
      </c>
      <c r="AB561" s="5" t="s">
        <v>85</v>
      </c>
      <c r="AC561" s="5">
        <v>1</v>
      </c>
    </row>
    <row r="562" spans="1:29" x14ac:dyDescent="0.3">
      <c r="A562" s="34">
        <v>46274</v>
      </c>
      <c r="B562" s="34">
        <v>46274</v>
      </c>
      <c r="C562" s="5" t="s">
        <v>78</v>
      </c>
      <c r="D562" s="5" t="s">
        <v>79</v>
      </c>
      <c r="E562" s="5" t="s">
        <v>80</v>
      </c>
      <c r="F562" s="5">
        <v>758185</v>
      </c>
      <c r="G562" s="5" t="s">
        <v>1776</v>
      </c>
      <c r="H562" s="5" t="s">
        <v>1777</v>
      </c>
      <c r="I562" s="5" t="s">
        <v>392</v>
      </c>
      <c r="N562" s="5" t="s">
        <v>1778</v>
      </c>
      <c r="O562" s="5">
        <v>450</v>
      </c>
      <c r="P562" s="5">
        <v>469.95</v>
      </c>
      <c r="Q562" s="5">
        <v>447.6</v>
      </c>
      <c r="R562" s="5">
        <v>447.6</v>
      </c>
      <c r="S562" s="5">
        <v>447.6</v>
      </c>
      <c r="T562" s="5">
        <v>471.15</v>
      </c>
      <c r="V562" s="5">
        <v>447.6</v>
      </c>
      <c r="Y562" s="5">
        <v>16000</v>
      </c>
      <c r="Z562" s="5">
        <v>7196450</v>
      </c>
      <c r="AA562" s="5">
        <v>12</v>
      </c>
      <c r="AB562" s="5" t="s">
        <v>85</v>
      </c>
      <c r="AC562" s="5">
        <v>1000</v>
      </c>
    </row>
    <row r="563" spans="1:29" x14ac:dyDescent="0.3">
      <c r="A563" s="34">
        <v>46274</v>
      </c>
      <c r="B563" s="34">
        <v>46274</v>
      </c>
      <c r="C563" s="5" t="s">
        <v>78</v>
      </c>
      <c r="D563" s="5" t="s">
        <v>79</v>
      </c>
      <c r="E563" s="5" t="s">
        <v>80</v>
      </c>
      <c r="F563" s="5">
        <v>759291</v>
      </c>
      <c r="G563" s="5" t="s">
        <v>1779</v>
      </c>
      <c r="H563" s="5" t="s">
        <v>1780</v>
      </c>
      <c r="I563" s="5" t="s">
        <v>212</v>
      </c>
      <c r="N563" s="5" t="s">
        <v>1781</v>
      </c>
      <c r="O563" s="5">
        <v>868.7</v>
      </c>
      <c r="P563" s="5">
        <v>881.25</v>
      </c>
      <c r="Q563" s="5">
        <v>831.1</v>
      </c>
      <c r="R563" s="5">
        <v>874.4</v>
      </c>
      <c r="S563" s="5">
        <v>873</v>
      </c>
      <c r="T563" s="5">
        <v>868.7</v>
      </c>
      <c r="V563" s="5">
        <v>874.31</v>
      </c>
      <c r="Y563" s="5">
        <v>1010562</v>
      </c>
      <c r="Z563" s="5">
        <v>873705518.89999998</v>
      </c>
      <c r="AA563" s="5">
        <v>41374</v>
      </c>
      <c r="AB563" s="5" t="s">
        <v>85</v>
      </c>
      <c r="AC563" s="5">
        <v>1</v>
      </c>
    </row>
    <row r="564" spans="1:29" x14ac:dyDescent="0.3">
      <c r="A564" s="34">
        <v>46274</v>
      </c>
      <c r="B564" s="34">
        <v>46274</v>
      </c>
      <c r="C564" s="5" t="s">
        <v>78</v>
      </c>
      <c r="D564" s="5" t="s">
        <v>79</v>
      </c>
      <c r="E564" s="5" t="s">
        <v>80</v>
      </c>
      <c r="F564" s="5">
        <v>757520</v>
      </c>
      <c r="G564" s="5" t="s">
        <v>1782</v>
      </c>
      <c r="H564" s="5" t="s">
        <v>1783</v>
      </c>
      <c r="I564" s="5" t="s">
        <v>212</v>
      </c>
      <c r="N564" s="5" t="s">
        <v>1784</v>
      </c>
      <c r="O564" s="5">
        <v>123</v>
      </c>
      <c r="P564" s="5">
        <v>134.9</v>
      </c>
      <c r="Q564" s="5">
        <v>120.75</v>
      </c>
      <c r="R564" s="5">
        <v>130.52000000000001</v>
      </c>
      <c r="S564" s="5">
        <v>130.69999999999999</v>
      </c>
      <c r="T564" s="5">
        <v>123.61</v>
      </c>
      <c r="V564" s="5">
        <v>130.52000000000001</v>
      </c>
      <c r="Y564" s="5">
        <v>661581</v>
      </c>
      <c r="Z564" s="5">
        <v>86337925.129999995</v>
      </c>
      <c r="AA564" s="5">
        <v>8161</v>
      </c>
      <c r="AB564" s="5" t="s">
        <v>85</v>
      </c>
      <c r="AC564" s="5">
        <v>1</v>
      </c>
    </row>
    <row r="565" spans="1:29" x14ac:dyDescent="0.3">
      <c r="A565" s="34">
        <v>46274</v>
      </c>
      <c r="B565" s="34">
        <v>46274</v>
      </c>
      <c r="C565" s="5" t="s">
        <v>78</v>
      </c>
      <c r="D565" s="5" t="s">
        <v>79</v>
      </c>
      <c r="E565" s="5" t="s">
        <v>80</v>
      </c>
      <c r="F565" s="5">
        <v>759256</v>
      </c>
      <c r="G565" s="5" t="s">
        <v>1785</v>
      </c>
      <c r="H565" s="5" t="s">
        <v>1786</v>
      </c>
      <c r="I565" s="5" t="s">
        <v>212</v>
      </c>
      <c r="N565" s="5" t="s">
        <v>1787</v>
      </c>
      <c r="O565" s="5">
        <v>54.99</v>
      </c>
      <c r="P565" s="5">
        <v>54.99</v>
      </c>
      <c r="Q565" s="5">
        <v>54</v>
      </c>
      <c r="R565" s="5">
        <v>54.18</v>
      </c>
      <c r="S565" s="5">
        <v>54.18</v>
      </c>
      <c r="T565" s="5">
        <v>54.8</v>
      </c>
      <c r="V565" s="5">
        <v>54.18</v>
      </c>
      <c r="Y565" s="5">
        <v>62136</v>
      </c>
      <c r="Z565" s="5">
        <v>3369456.79</v>
      </c>
      <c r="AA565" s="5">
        <v>1074</v>
      </c>
      <c r="AB565" s="5" t="s">
        <v>85</v>
      </c>
      <c r="AC565" s="5">
        <v>1</v>
      </c>
    </row>
    <row r="566" spans="1:29" x14ac:dyDescent="0.3">
      <c r="A566" s="34">
        <v>46274</v>
      </c>
      <c r="B566" s="34">
        <v>46274</v>
      </c>
      <c r="C566" s="5" t="s">
        <v>78</v>
      </c>
      <c r="D566" s="5" t="s">
        <v>79</v>
      </c>
      <c r="E566" s="5" t="s">
        <v>80</v>
      </c>
      <c r="F566" s="5">
        <v>25017</v>
      </c>
      <c r="G566" s="5" t="s">
        <v>1788</v>
      </c>
      <c r="H566" s="5" t="s">
        <v>1789</v>
      </c>
      <c r="I566" s="5" t="s">
        <v>212</v>
      </c>
      <c r="N566" s="5" t="s">
        <v>1790</v>
      </c>
      <c r="O566" s="5">
        <v>186.4</v>
      </c>
      <c r="P566" s="5">
        <v>189.68</v>
      </c>
      <c r="Q566" s="5">
        <v>174.85</v>
      </c>
      <c r="R566" s="5">
        <v>174.85</v>
      </c>
      <c r="S566" s="5">
        <v>174.85</v>
      </c>
      <c r="T566" s="5">
        <v>184.05</v>
      </c>
      <c r="V566" s="5">
        <v>174.85</v>
      </c>
      <c r="Y566" s="5">
        <v>3521966</v>
      </c>
      <c r="Z566" s="5">
        <v>636605811.91999996</v>
      </c>
      <c r="AA566" s="5">
        <v>23302</v>
      </c>
      <c r="AB566" s="5" t="s">
        <v>85</v>
      </c>
      <c r="AC566" s="5">
        <v>1</v>
      </c>
    </row>
    <row r="567" spans="1:29" x14ac:dyDescent="0.3">
      <c r="A567" s="34">
        <v>46274</v>
      </c>
      <c r="B567" s="34">
        <v>46274</v>
      </c>
      <c r="C567" s="5" t="s">
        <v>78</v>
      </c>
      <c r="D567" s="5" t="s">
        <v>79</v>
      </c>
      <c r="E567" s="5" t="s">
        <v>80</v>
      </c>
      <c r="F567" s="5">
        <v>14150</v>
      </c>
      <c r="G567" s="5" t="s">
        <v>1791</v>
      </c>
      <c r="H567" s="5" t="s">
        <v>1792</v>
      </c>
      <c r="I567" s="5" t="s">
        <v>212</v>
      </c>
      <c r="N567" s="5" t="s">
        <v>1793</v>
      </c>
      <c r="O567" s="5">
        <v>8.06</v>
      </c>
      <c r="P567" s="5">
        <v>8.1999999999999993</v>
      </c>
      <c r="Q567" s="5">
        <v>7.77</v>
      </c>
      <c r="R567" s="5">
        <v>7.87</v>
      </c>
      <c r="S567" s="5">
        <v>7.85</v>
      </c>
      <c r="T567" s="5">
        <v>8.02</v>
      </c>
      <c r="V567" s="5">
        <v>7.87</v>
      </c>
      <c r="Y567" s="5">
        <v>126755</v>
      </c>
      <c r="Z567" s="5">
        <v>1001319.88</v>
      </c>
      <c r="AA567" s="5">
        <v>320</v>
      </c>
      <c r="AB567" s="5" t="s">
        <v>85</v>
      </c>
      <c r="AC567" s="5">
        <v>1</v>
      </c>
    </row>
    <row r="568" spans="1:29" x14ac:dyDescent="0.3">
      <c r="A568" s="34">
        <v>46274</v>
      </c>
      <c r="B568" s="34">
        <v>46274</v>
      </c>
      <c r="C568" s="5" t="s">
        <v>78</v>
      </c>
      <c r="D568" s="5" t="s">
        <v>79</v>
      </c>
      <c r="E568" s="5" t="s">
        <v>80</v>
      </c>
      <c r="F568" s="5">
        <v>11640</v>
      </c>
      <c r="G568" s="5" t="s">
        <v>1794</v>
      </c>
      <c r="H568" s="5" t="s">
        <v>1795</v>
      </c>
      <c r="I568" s="5" t="s">
        <v>212</v>
      </c>
      <c r="N568" s="5" t="s">
        <v>1796</v>
      </c>
      <c r="O568" s="5">
        <v>13.15</v>
      </c>
      <c r="P568" s="5">
        <v>13.15</v>
      </c>
      <c r="Q568" s="5">
        <v>12.75</v>
      </c>
      <c r="R568" s="5">
        <v>13</v>
      </c>
      <c r="S568" s="5">
        <v>13</v>
      </c>
      <c r="T568" s="5">
        <v>13</v>
      </c>
      <c r="V568" s="5">
        <v>13</v>
      </c>
      <c r="Y568" s="5">
        <v>15627</v>
      </c>
      <c r="Z568" s="5">
        <v>203160.08</v>
      </c>
      <c r="AA568" s="5">
        <v>29</v>
      </c>
      <c r="AB568" s="5" t="s">
        <v>85</v>
      </c>
      <c r="AC568" s="5">
        <v>1</v>
      </c>
    </row>
    <row r="569" spans="1:29" x14ac:dyDescent="0.3">
      <c r="A569" s="34">
        <v>46274</v>
      </c>
      <c r="B569" s="34">
        <v>46274</v>
      </c>
      <c r="C569" s="5" t="s">
        <v>78</v>
      </c>
      <c r="D569" s="5" t="s">
        <v>79</v>
      </c>
      <c r="E569" s="5" t="s">
        <v>80</v>
      </c>
      <c r="F569" s="5">
        <v>380</v>
      </c>
      <c r="G569" s="5" t="s">
        <v>1797</v>
      </c>
      <c r="H569" s="5" t="s">
        <v>1798</v>
      </c>
      <c r="I569" s="5" t="s">
        <v>212</v>
      </c>
      <c r="N569" s="5" t="s">
        <v>1799</v>
      </c>
      <c r="O569" s="5">
        <v>1480</v>
      </c>
      <c r="P569" s="5">
        <v>1485.1</v>
      </c>
      <c r="Q569" s="5">
        <v>1444.5</v>
      </c>
      <c r="R569" s="5">
        <v>1448.8</v>
      </c>
      <c r="S569" s="5">
        <v>1448</v>
      </c>
      <c r="T569" s="5">
        <v>1477.5</v>
      </c>
      <c r="V569" s="5">
        <v>1448.72</v>
      </c>
      <c r="Y569" s="5">
        <v>62602</v>
      </c>
      <c r="Z569" s="5">
        <v>91184431.799999997</v>
      </c>
      <c r="AA569" s="5">
        <v>5498</v>
      </c>
      <c r="AB569" s="5" t="s">
        <v>85</v>
      </c>
      <c r="AC569" s="5">
        <v>1</v>
      </c>
    </row>
    <row r="570" spans="1:29" x14ac:dyDescent="0.3">
      <c r="A570" s="34">
        <v>46274</v>
      </c>
      <c r="B570" s="34">
        <v>46274</v>
      </c>
      <c r="C570" s="5" t="s">
        <v>78</v>
      </c>
      <c r="D570" s="5" t="s">
        <v>79</v>
      </c>
      <c r="E570" s="5" t="s">
        <v>80</v>
      </c>
      <c r="F570" s="5">
        <v>513</v>
      </c>
      <c r="G570" s="5" t="s">
        <v>1800</v>
      </c>
      <c r="H570" s="5" t="s">
        <v>1801</v>
      </c>
      <c r="I570" s="5" t="s">
        <v>212</v>
      </c>
      <c r="N570" s="5" t="s">
        <v>1802</v>
      </c>
      <c r="O570" s="5">
        <v>113.9</v>
      </c>
      <c r="P570" s="5">
        <v>113.9</v>
      </c>
      <c r="Q570" s="5">
        <v>112.6</v>
      </c>
      <c r="R570" s="5">
        <v>112.86</v>
      </c>
      <c r="S570" s="5">
        <v>112.8</v>
      </c>
      <c r="T570" s="5">
        <v>114.27</v>
      </c>
      <c r="V570" s="5">
        <v>112.86</v>
      </c>
      <c r="Y570" s="5">
        <v>293411</v>
      </c>
      <c r="Z570" s="5">
        <v>33178542.100000001</v>
      </c>
      <c r="AA570" s="5">
        <v>2965</v>
      </c>
      <c r="AB570" s="5" t="s">
        <v>85</v>
      </c>
      <c r="AC570" s="5">
        <v>1</v>
      </c>
    </row>
    <row r="571" spans="1:29" x14ac:dyDescent="0.3">
      <c r="A571" s="34">
        <v>46274</v>
      </c>
      <c r="B571" s="34">
        <v>46274</v>
      </c>
      <c r="C571" s="5" t="s">
        <v>78</v>
      </c>
      <c r="D571" s="5" t="s">
        <v>79</v>
      </c>
      <c r="E571" s="5" t="s">
        <v>80</v>
      </c>
      <c r="F571" s="5">
        <v>6052</v>
      </c>
      <c r="G571" s="5" t="s">
        <v>1803</v>
      </c>
      <c r="H571" s="5" t="s">
        <v>1804</v>
      </c>
      <c r="I571" s="5" t="s">
        <v>313</v>
      </c>
      <c r="N571" s="5" t="s">
        <v>1805</v>
      </c>
      <c r="O571" s="5">
        <v>34.450000000000003</v>
      </c>
      <c r="P571" s="5">
        <v>35.950000000000003</v>
      </c>
      <c r="Q571" s="5">
        <v>34.450000000000003</v>
      </c>
      <c r="R571" s="5">
        <v>35.950000000000003</v>
      </c>
      <c r="S571" s="5">
        <v>35.950000000000003</v>
      </c>
      <c r="T571" s="5">
        <v>33.65</v>
      </c>
      <c r="V571" s="5">
        <v>35.950000000000003</v>
      </c>
      <c r="Y571" s="5">
        <v>4800</v>
      </c>
      <c r="Z571" s="5">
        <v>170080</v>
      </c>
      <c r="AA571" s="5">
        <v>6</v>
      </c>
      <c r="AB571" s="5" t="s">
        <v>85</v>
      </c>
      <c r="AC571" s="5">
        <v>800</v>
      </c>
    </row>
    <row r="572" spans="1:29" x14ac:dyDescent="0.3">
      <c r="A572" s="34">
        <v>46274</v>
      </c>
      <c r="B572" s="34">
        <v>46274</v>
      </c>
      <c r="C572" s="5" t="s">
        <v>78</v>
      </c>
      <c r="D572" s="5" t="s">
        <v>79</v>
      </c>
      <c r="E572" s="5" t="s">
        <v>80</v>
      </c>
      <c r="F572" s="5">
        <v>809</v>
      </c>
      <c r="G572" s="5" t="s">
        <v>1806</v>
      </c>
      <c r="H572" s="5" t="s">
        <v>1807</v>
      </c>
      <c r="I572" s="5" t="s">
        <v>212</v>
      </c>
      <c r="N572" s="5" t="s">
        <v>1808</v>
      </c>
      <c r="O572" s="5">
        <v>91.17</v>
      </c>
      <c r="P572" s="5">
        <v>93</v>
      </c>
      <c r="Q572" s="5">
        <v>89.1</v>
      </c>
      <c r="R572" s="5">
        <v>89.42</v>
      </c>
      <c r="S572" s="5">
        <v>89.1</v>
      </c>
      <c r="T572" s="5">
        <v>91.17</v>
      </c>
      <c r="V572" s="5">
        <v>89.43</v>
      </c>
      <c r="Y572" s="5">
        <v>3534</v>
      </c>
      <c r="Z572" s="5">
        <v>319232.74</v>
      </c>
      <c r="AA572" s="5">
        <v>140</v>
      </c>
      <c r="AB572" s="5" t="s">
        <v>85</v>
      </c>
      <c r="AC572" s="5">
        <v>1</v>
      </c>
    </row>
    <row r="573" spans="1:29" x14ac:dyDescent="0.3">
      <c r="A573" s="34">
        <v>46274</v>
      </c>
      <c r="B573" s="34">
        <v>46274</v>
      </c>
      <c r="C573" s="5" t="s">
        <v>78</v>
      </c>
      <c r="D573" s="5" t="s">
        <v>79</v>
      </c>
      <c r="E573" s="5" t="s">
        <v>80</v>
      </c>
      <c r="F573" s="5">
        <v>31128</v>
      </c>
      <c r="G573" s="5" t="s">
        <v>1809</v>
      </c>
      <c r="H573" s="5" t="s">
        <v>1810</v>
      </c>
      <c r="I573" s="5" t="s">
        <v>258</v>
      </c>
      <c r="N573" s="5" t="s">
        <v>1811</v>
      </c>
      <c r="O573" s="5">
        <v>1082.5999999999999</v>
      </c>
      <c r="P573" s="5">
        <v>1082.6500000000001</v>
      </c>
      <c r="Q573" s="5">
        <v>1082.55</v>
      </c>
      <c r="R573" s="5">
        <v>1082.6500000000001</v>
      </c>
      <c r="S573" s="5">
        <v>1082.6500000000001</v>
      </c>
      <c r="T573" s="5">
        <v>1082.5</v>
      </c>
      <c r="V573" s="5">
        <v>1082.6500000000001</v>
      </c>
      <c r="Y573" s="5">
        <v>814</v>
      </c>
      <c r="Z573" s="5">
        <v>881207.83</v>
      </c>
      <c r="AA573" s="5">
        <v>7</v>
      </c>
      <c r="AB573" s="5" t="s">
        <v>85</v>
      </c>
      <c r="AC573" s="5">
        <v>1</v>
      </c>
    </row>
    <row r="574" spans="1:29" x14ac:dyDescent="0.3">
      <c r="A574" s="34">
        <v>46274</v>
      </c>
      <c r="B574" s="34">
        <v>46274</v>
      </c>
      <c r="C574" s="5" t="s">
        <v>78</v>
      </c>
      <c r="D574" s="5" t="s">
        <v>79</v>
      </c>
      <c r="E574" s="5" t="s">
        <v>80</v>
      </c>
      <c r="F574" s="5">
        <v>31040</v>
      </c>
      <c r="G574" s="5" t="s">
        <v>1812</v>
      </c>
      <c r="H574" s="5" t="s">
        <v>1813</v>
      </c>
      <c r="I574" s="5" t="s">
        <v>258</v>
      </c>
      <c r="N574" s="5" t="s">
        <v>1814</v>
      </c>
      <c r="O574" s="5">
        <v>1087</v>
      </c>
      <c r="P574" s="5">
        <v>1087</v>
      </c>
      <c r="Q574" s="5">
        <v>1085.25</v>
      </c>
      <c r="R574" s="5">
        <v>1086.99</v>
      </c>
      <c r="S574" s="5">
        <v>1086.99</v>
      </c>
      <c r="T574" s="5">
        <v>1086.1199999999999</v>
      </c>
      <c r="V574" s="5">
        <v>1086.99</v>
      </c>
      <c r="Y574" s="5">
        <v>1538</v>
      </c>
      <c r="Z574" s="5">
        <v>1670389.62</v>
      </c>
      <c r="AA574" s="5">
        <v>18</v>
      </c>
      <c r="AB574" s="5" t="s">
        <v>85</v>
      </c>
      <c r="AC574" s="5">
        <v>1</v>
      </c>
    </row>
    <row r="575" spans="1:29" x14ac:dyDescent="0.3">
      <c r="A575" s="34">
        <v>46274</v>
      </c>
      <c r="B575" s="34">
        <v>46274</v>
      </c>
      <c r="C575" s="5" t="s">
        <v>78</v>
      </c>
      <c r="D575" s="5" t="s">
        <v>79</v>
      </c>
      <c r="E575" s="5" t="s">
        <v>80</v>
      </c>
      <c r="F575" s="5">
        <v>591</v>
      </c>
      <c r="G575" s="5" t="s">
        <v>1815</v>
      </c>
      <c r="H575" s="5" t="s">
        <v>1816</v>
      </c>
      <c r="I575" s="5" t="s">
        <v>262</v>
      </c>
      <c r="N575" s="5" t="s">
        <v>1817</v>
      </c>
      <c r="O575" s="5">
        <v>1103.9000000000001</v>
      </c>
      <c r="P575" s="5">
        <v>1103.9000000000001</v>
      </c>
      <c r="Q575" s="5">
        <v>1098.05</v>
      </c>
      <c r="R575" s="5">
        <v>1100</v>
      </c>
      <c r="S575" s="5">
        <v>1100</v>
      </c>
      <c r="T575" s="5">
        <v>1307.8</v>
      </c>
      <c r="V575" s="5">
        <v>1100</v>
      </c>
      <c r="Y575" s="5">
        <v>7</v>
      </c>
      <c r="Z575" s="5">
        <v>7717.55</v>
      </c>
      <c r="AA575" s="5">
        <v>3</v>
      </c>
      <c r="AB575" s="5" t="s">
        <v>85</v>
      </c>
      <c r="AC575" s="5">
        <v>1</v>
      </c>
    </row>
    <row r="576" spans="1:29" x14ac:dyDescent="0.3">
      <c r="A576" s="34">
        <v>46274</v>
      </c>
      <c r="B576" s="34">
        <v>46274</v>
      </c>
      <c r="C576" s="5" t="s">
        <v>78</v>
      </c>
      <c r="D576" s="5" t="s">
        <v>79</v>
      </c>
      <c r="E576" s="5" t="s">
        <v>80</v>
      </c>
      <c r="F576" s="5">
        <v>1991</v>
      </c>
      <c r="G576" s="5" t="s">
        <v>1818</v>
      </c>
      <c r="H576" s="5" t="s">
        <v>1819</v>
      </c>
      <c r="I576" s="5" t="s">
        <v>1820</v>
      </c>
      <c r="N576" s="5" t="s">
        <v>1821</v>
      </c>
      <c r="O576" s="5">
        <v>1153</v>
      </c>
      <c r="P576" s="5">
        <v>1159.9000000000001</v>
      </c>
      <c r="Q576" s="5">
        <v>1153</v>
      </c>
      <c r="R576" s="5">
        <v>1159.9000000000001</v>
      </c>
      <c r="S576" s="5">
        <v>1159.9000000000001</v>
      </c>
      <c r="T576" s="5">
        <v>1153</v>
      </c>
      <c r="V576" s="5">
        <v>1159.9000000000001</v>
      </c>
      <c r="Y576" s="5">
        <v>860</v>
      </c>
      <c r="Z576" s="5">
        <v>993305</v>
      </c>
      <c r="AA576" s="5">
        <v>5</v>
      </c>
      <c r="AB576" s="5" t="s">
        <v>85</v>
      </c>
      <c r="AC576" s="5">
        <v>1</v>
      </c>
    </row>
    <row r="577" spans="1:29" x14ac:dyDescent="0.3">
      <c r="A577" s="34">
        <v>46274</v>
      </c>
      <c r="B577" s="34">
        <v>46274</v>
      </c>
      <c r="C577" s="5" t="s">
        <v>78</v>
      </c>
      <c r="D577" s="5" t="s">
        <v>79</v>
      </c>
      <c r="E577" s="5" t="s">
        <v>80</v>
      </c>
      <c r="F577" s="5">
        <v>603</v>
      </c>
      <c r="G577" s="5" t="s">
        <v>1822</v>
      </c>
      <c r="H577" s="5" t="s">
        <v>1823</v>
      </c>
      <c r="I577" s="5" t="s">
        <v>1824</v>
      </c>
      <c r="N577" s="5" t="s">
        <v>1825</v>
      </c>
      <c r="O577" s="5">
        <v>1115</v>
      </c>
      <c r="P577" s="5">
        <v>1115</v>
      </c>
      <c r="Q577" s="5">
        <v>1109.95</v>
      </c>
      <c r="R577" s="5">
        <v>1109.95</v>
      </c>
      <c r="S577" s="5">
        <v>1109.95</v>
      </c>
      <c r="T577" s="5">
        <v>1107</v>
      </c>
      <c r="V577" s="5">
        <v>1109.95</v>
      </c>
      <c r="Y577" s="5">
        <v>310</v>
      </c>
      <c r="Z577" s="5">
        <v>345347</v>
      </c>
      <c r="AA577" s="5">
        <v>3</v>
      </c>
      <c r="AB577" s="5" t="s">
        <v>85</v>
      </c>
      <c r="AC577" s="5">
        <v>1</v>
      </c>
    </row>
    <row r="578" spans="1:29" x14ac:dyDescent="0.3">
      <c r="A578" s="34">
        <v>46274</v>
      </c>
      <c r="B578" s="34">
        <v>46274</v>
      </c>
      <c r="C578" s="5" t="s">
        <v>78</v>
      </c>
      <c r="D578" s="5" t="s">
        <v>79</v>
      </c>
      <c r="E578" s="5" t="s">
        <v>80</v>
      </c>
      <c r="F578" s="5">
        <v>30990</v>
      </c>
      <c r="G578" s="5" t="s">
        <v>1826</v>
      </c>
      <c r="H578" s="5" t="s">
        <v>1827</v>
      </c>
      <c r="I578" s="5" t="s">
        <v>266</v>
      </c>
      <c r="N578" s="5" t="s">
        <v>1828</v>
      </c>
      <c r="O578" s="5">
        <v>1129.5</v>
      </c>
      <c r="P578" s="5">
        <v>1132</v>
      </c>
      <c r="Q578" s="5">
        <v>1126.1099999999999</v>
      </c>
      <c r="R578" s="5">
        <v>1130.98</v>
      </c>
      <c r="S578" s="5">
        <v>1131</v>
      </c>
      <c r="T578" s="5">
        <v>1129.5</v>
      </c>
      <c r="V578" s="5">
        <v>1130.98</v>
      </c>
      <c r="Y578" s="5">
        <v>4108</v>
      </c>
      <c r="Z578" s="5">
        <v>4636776.01</v>
      </c>
      <c r="AA578" s="5">
        <v>23</v>
      </c>
      <c r="AB578" s="5" t="s">
        <v>85</v>
      </c>
      <c r="AC578" s="5">
        <v>1</v>
      </c>
    </row>
    <row r="579" spans="1:29" x14ac:dyDescent="0.3">
      <c r="A579" s="34">
        <v>46274</v>
      </c>
      <c r="B579" s="34">
        <v>46274</v>
      </c>
      <c r="C579" s="5" t="s">
        <v>78</v>
      </c>
      <c r="D579" s="5" t="s">
        <v>79</v>
      </c>
      <c r="E579" s="5" t="s">
        <v>80</v>
      </c>
      <c r="F579" s="5">
        <v>1999</v>
      </c>
      <c r="G579" s="5" t="s">
        <v>1829</v>
      </c>
      <c r="H579" s="5" t="s">
        <v>1830</v>
      </c>
      <c r="I579" s="5" t="s">
        <v>297</v>
      </c>
      <c r="N579" s="5" t="s">
        <v>1831</v>
      </c>
      <c r="O579" s="5">
        <v>1135</v>
      </c>
      <c r="P579" s="5">
        <v>1135</v>
      </c>
      <c r="Q579" s="5">
        <v>1108.3</v>
      </c>
      <c r="R579" s="5">
        <v>1130</v>
      </c>
      <c r="S579" s="5">
        <v>1130</v>
      </c>
      <c r="T579" s="5">
        <v>1131</v>
      </c>
      <c r="V579" s="5">
        <v>1132.5</v>
      </c>
      <c r="Y579" s="5">
        <v>870</v>
      </c>
      <c r="Z579" s="5">
        <v>976420.2</v>
      </c>
      <c r="AA579" s="5">
        <v>9</v>
      </c>
      <c r="AB579" s="5" t="s">
        <v>85</v>
      </c>
      <c r="AC579" s="5">
        <v>1</v>
      </c>
    </row>
    <row r="580" spans="1:29" x14ac:dyDescent="0.3">
      <c r="A580" s="34">
        <v>46274</v>
      </c>
      <c r="B580" s="34">
        <v>46274</v>
      </c>
      <c r="C580" s="5" t="s">
        <v>78</v>
      </c>
      <c r="D580" s="5" t="s">
        <v>79</v>
      </c>
      <c r="E580" s="5" t="s">
        <v>80</v>
      </c>
      <c r="F580" s="5">
        <v>31970</v>
      </c>
      <c r="G580" s="5" t="s">
        <v>1832</v>
      </c>
      <c r="H580" s="5" t="s">
        <v>1833</v>
      </c>
      <c r="I580" s="5" t="s">
        <v>277</v>
      </c>
      <c r="N580" s="5" t="s">
        <v>1834</v>
      </c>
      <c r="O580" s="5">
        <v>6400</v>
      </c>
      <c r="P580" s="5">
        <v>6452</v>
      </c>
      <c r="Q580" s="5">
        <v>6370</v>
      </c>
      <c r="R580" s="5">
        <v>6373.92</v>
      </c>
      <c r="S580" s="5">
        <v>6372.5</v>
      </c>
      <c r="T580" s="5">
        <v>6390</v>
      </c>
      <c r="V580" s="5">
        <v>6373.92</v>
      </c>
      <c r="Y580" s="5">
        <v>303</v>
      </c>
      <c r="Z580" s="5">
        <v>1943281</v>
      </c>
      <c r="AA580" s="5">
        <v>14</v>
      </c>
      <c r="AB580" s="5" t="s">
        <v>85</v>
      </c>
      <c r="AC580" s="5">
        <v>1</v>
      </c>
    </row>
    <row r="581" spans="1:29" x14ac:dyDescent="0.3">
      <c r="A581" s="34">
        <v>46274</v>
      </c>
      <c r="B581" s="34">
        <v>46274</v>
      </c>
      <c r="C581" s="5" t="s">
        <v>78</v>
      </c>
      <c r="D581" s="5" t="s">
        <v>79</v>
      </c>
      <c r="E581" s="5" t="s">
        <v>80</v>
      </c>
      <c r="F581" s="5">
        <v>2953</v>
      </c>
      <c r="G581" s="5" t="s">
        <v>1835</v>
      </c>
      <c r="H581" s="5" t="s">
        <v>1836</v>
      </c>
      <c r="I581" s="5" t="s">
        <v>1837</v>
      </c>
      <c r="N581" s="5" t="s">
        <v>1838</v>
      </c>
      <c r="O581" s="5">
        <v>1266.56</v>
      </c>
      <c r="P581" s="5">
        <v>1275</v>
      </c>
      <c r="Q581" s="5">
        <v>1260.05</v>
      </c>
      <c r="R581" s="5">
        <v>1275</v>
      </c>
      <c r="S581" s="5">
        <v>1275</v>
      </c>
      <c r="T581" s="5">
        <v>1270.28</v>
      </c>
      <c r="V581" s="5">
        <v>1275</v>
      </c>
      <c r="Y581" s="5">
        <v>1025</v>
      </c>
      <c r="Z581" s="5">
        <v>1298223.25</v>
      </c>
      <c r="AA581" s="5">
        <v>6</v>
      </c>
      <c r="AB581" s="5" t="s">
        <v>85</v>
      </c>
      <c r="AC581" s="5">
        <v>1</v>
      </c>
    </row>
    <row r="582" spans="1:29" x14ac:dyDescent="0.3">
      <c r="A582" s="34">
        <v>46274</v>
      </c>
      <c r="B582" s="34">
        <v>46274</v>
      </c>
      <c r="C582" s="5" t="s">
        <v>78</v>
      </c>
      <c r="D582" s="5" t="s">
        <v>79</v>
      </c>
      <c r="E582" s="5" t="s">
        <v>80</v>
      </c>
      <c r="F582" s="5">
        <v>2947</v>
      </c>
      <c r="G582" s="5" t="s">
        <v>1839</v>
      </c>
      <c r="H582" s="5" t="s">
        <v>1840</v>
      </c>
      <c r="I582" s="5" t="s">
        <v>546</v>
      </c>
      <c r="N582" s="5" t="s">
        <v>1841</v>
      </c>
      <c r="O582" s="5">
        <v>1145.25</v>
      </c>
      <c r="P582" s="5">
        <v>1146.01</v>
      </c>
      <c r="Q582" s="5">
        <v>1140</v>
      </c>
      <c r="R582" s="5">
        <v>1146.01</v>
      </c>
      <c r="S582" s="5">
        <v>1146.01</v>
      </c>
      <c r="T582" s="5">
        <v>1139.03</v>
      </c>
      <c r="V582" s="5">
        <v>1146.01</v>
      </c>
      <c r="Y582" s="5">
        <v>712</v>
      </c>
      <c r="Z582" s="5">
        <v>815677.6</v>
      </c>
      <c r="AA582" s="5">
        <v>6</v>
      </c>
      <c r="AB582" s="5" t="s">
        <v>85</v>
      </c>
      <c r="AC582" s="5">
        <v>1</v>
      </c>
    </row>
    <row r="583" spans="1:29" x14ac:dyDescent="0.3">
      <c r="A583" s="34">
        <v>46274</v>
      </c>
      <c r="B583" s="34">
        <v>46274</v>
      </c>
      <c r="C583" s="5" t="s">
        <v>78</v>
      </c>
      <c r="D583" s="5" t="s">
        <v>79</v>
      </c>
      <c r="E583" s="5" t="s">
        <v>80</v>
      </c>
      <c r="F583" s="5">
        <v>761056</v>
      </c>
      <c r="G583" s="5" t="s">
        <v>1842</v>
      </c>
      <c r="H583" s="5" t="s">
        <v>1843</v>
      </c>
      <c r="I583" s="5" t="s">
        <v>212</v>
      </c>
      <c r="N583" s="5" t="s">
        <v>1844</v>
      </c>
      <c r="O583" s="5">
        <v>41.08</v>
      </c>
      <c r="P583" s="5">
        <v>41.79</v>
      </c>
      <c r="Q583" s="5">
        <v>40.1</v>
      </c>
      <c r="R583" s="5">
        <v>40.1</v>
      </c>
      <c r="S583" s="5">
        <v>40.65</v>
      </c>
      <c r="T583" s="5">
        <v>40.880000000000003</v>
      </c>
      <c r="V583" s="5">
        <v>40.11</v>
      </c>
      <c r="Y583" s="5">
        <v>4935</v>
      </c>
      <c r="Z583" s="5">
        <v>199191.43</v>
      </c>
      <c r="AA583" s="5">
        <v>241</v>
      </c>
      <c r="AB583" s="5" t="s">
        <v>85</v>
      </c>
      <c r="AC583" s="5">
        <v>1</v>
      </c>
    </row>
    <row r="584" spans="1:29" x14ac:dyDescent="0.3">
      <c r="A584" s="34">
        <v>46274</v>
      </c>
      <c r="B584" s="34">
        <v>46274</v>
      </c>
      <c r="C584" s="5" t="s">
        <v>78</v>
      </c>
      <c r="D584" s="5" t="s">
        <v>79</v>
      </c>
      <c r="E584" s="5" t="s">
        <v>80</v>
      </c>
      <c r="F584" s="5">
        <v>757919</v>
      </c>
      <c r="G584" s="5" t="s">
        <v>1845</v>
      </c>
      <c r="H584" s="5" t="s">
        <v>1846</v>
      </c>
      <c r="I584" s="5" t="s">
        <v>212</v>
      </c>
      <c r="N584" s="5" t="s">
        <v>1847</v>
      </c>
      <c r="O584" s="5">
        <v>314.2</v>
      </c>
      <c r="P584" s="5">
        <v>319.05</v>
      </c>
      <c r="Q584" s="5">
        <v>313.05</v>
      </c>
      <c r="R584" s="5">
        <v>316.2</v>
      </c>
      <c r="S584" s="5">
        <v>318</v>
      </c>
      <c r="T584" s="5">
        <v>319.95</v>
      </c>
      <c r="V584" s="5">
        <v>316.2</v>
      </c>
      <c r="Y584" s="5">
        <v>8005</v>
      </c>
      <c r="Z584" s="5">
        <v>2532951.65</v>
      </c>
      <c r="AA584" s="5">
        <v>408</v>
      </c>
      <c r="AB584" s="5" t="s">
        <v>85</v>
      </c>
      <c r="AC584" s="5">
        <v>1</v>
      </c>
    </row>
    <row r="585" spans="1:29" x14ac:dyDescent="0.3">
      <c r="A585" s="34">
        <v>46274</v>
      </c>
      <c r="B585" s="34">
        <v>46274</v>
      </c>
      <c r="C585" s="5" t="s">
        <v>78</v>
      </c>
      <c r="D585" s="5" t="s">
        <v>79</v>
      </c>
      <c r="E585" s="5" t="s">
        <v>80</v>
      </c>
      <c r="F585" s="5">
        <v>19401</v>
      </c>
      <c r="G585" s="5" t="s">
        <v>1848</v>
      </c>
      <c r="H585" s="5" t="s">
        <v>1849</v>
      </c>
      <c r="I585" s="5" t="s">
        <v>212</v>
      </c>
      <c r="N585" s="5" t="s">
        <v>1850</v>
      </c>
      <c r="O585" s="5">
        <v>254</v>
      </c>
      <c r="P585" s="5">
        <v>256.7</v>
      </c>
      <c r="Q585" s="5">
        <v>252.14</v>
      </c>
      <c r="R585" s="5">
        <v>255.46</v>
      </c>
      <c r="S585" s="5">
        <v>255.08</v>
      </c>
      <c r="T585" s="5">
        <v>255.54</v>
      </c>
      <c r="V585" s="5">
        <v>255.46</v>
      </c>
      <c r="Y585" s="5">
        <v>73476</v>
      </c>
      <c r="Z585" s="5">
        <v>18699387.050000001</v>
      </c>
      <c r="AA585" s="5">
        <v>1677</v>
      </c>
      <c r="AB585" s="5" t="s">
        <v>85</v>
      </c>
      <c r="AC585" s="5">
        <v>1</v>
      </c>
    </row>
    <row r="586" spans="1:29" x14ac:dyDescent="0.3">
      <c r="A586" s="34">
        <v>46274</v>
      </c>
      <c r="B586" s="34">
        <v>46274</v>
      </c>
      <c r="C586" s="5" t="s">
        <v>78</v>
      </c>
      <c r="D586" s="5" t="s">
        <v>79</v>
      </c>
      <c r="E586" s="5" t="s">
        <v>80</v>
      </c>
      <c r="F586" s="5">
        <v>3149</v>
      </c>
      <c r="G586" s="5" t="s">
        <v>1851</v>
      </c>
      <c r="H586" s="5" t="s">
        <v>1852</v>
      </c>
      <c r="I586" s="5" t="s">
        <v>212</v>
      </c>
      <c r="N586" s="5" t="s">
        <v>1853</v>
      </c>
      <c r="O586" s="5">
        <v>503.8</v>
      </c>
      <c r="P586" s="5">
        <v>511.9</v>
      </c>
      <c r="Q586" s="5">
        <v>498.9</v>
      </c>
      <c r="R586" s="5">
        <v>501.95</v>
      </c>
      <c r="S586" s="5">
        <v>502.25</v>
      </c>
      <c r="T586" s="5">
        <v>503.35</v>
      </c>
      <c r="V586" s="5">
        <v>501.96</v>
      </c>
      <c r="Y586" s="5">
        <v>587336</v>
      </c>
      <c r="Z586" s="5">
        <v>296373939.89999998</v>
      </c>
      <c r="AA586" s="5">
        <v>14603</v>
      </c>
      <c r="AB586" s="5" t="s">
        <v>85</v>
      </c>
      <c r="AC586" s="5">
        <v>1</v>
      </c>
    </row>
    <row r="587" spans="1:29" x14ac:dyDescent="0.3">
      <c r="A587" s="34">
        <v>46274</v>
      </c>
      <c r="B587" s="34">
        <v>46274</v>
      </c>
      <c r="C587" s="5" t="s">
        <v>78</v>
      </c>
      <c r="D587" s="5" t="s">
        <v>79</v>
      </c>
      <c r="E587" s="5" t="s">
        <v>80</v>
      </c>
      <c r="F587" s="5">
        <v>24014</v>
      </c>
      <c r="G587" s="5" t="s">
        <v>1854</v>
      </c>
      <c r="H587" s="5" t="s">
        <v>1855</v>
      </c>
      <c r="I587" s="5" t="s">
        <v>212</v>
      </c>
      <c r="N587" s="5" t="s">
        <v>1856</v>
      </c>
      <c r="O587" s="5">
        <v>129.25</v>
      </c>
      <c r="P587" s="5">
        <v>130.54</v>
      </c>
      <c r="Q587" s="5">
        <v>126.99</v>
      </c>
      <c r="R587" s="5">
        <v>127.19</v>
      </c>
      <c r="S587" s="5">
        <v>127.23</v>
      </c>
      <c r="T587" s="5">
        <v>129.63</v>
      </c>
      <c r="V587" s="5">
        <v>127.19</v>
      </c>
      <c r="Y587" s="5">
        <v>30256</v>
      </c>
      <c r="Z587" s="5">
        <v>3869879.19</v>
      </c>
      <c r="AA587" s="5">
        <v>629</v>
      </c>
      <c r="AB587" s="5" t="s">
        <v>85</v>
      </c>
      <c r="AC587" s="5">
        <v>1</v>
      </c>
    </row>
    <row r="588" spans="1:29" x14ac:dyDescent="0.3">
      <c r="A588" s="34">
        <v>46274</v>
      </c>
      <c r="B588" s="34">
        <v>46274</v>
      </c>
      <c r="C588" s="5" t="s">
        <v>78</v>
      </c>
      <c r="D588" s="5" t="s">
        <v>79</v>
      </c>
      <c r="E588" s="5" t="s">
        <v>80</v>
      </c>
      <c r="F588" s="5">
        <v>4491</v>
      </c>
      <c r="G588" s="5" t="s">
        <v>1857</v>
      </c>
      <c r="H588" s="5" t="s">
        <v>1858</v>
      </c>
      <c r="I588" s="5" t="s">
        <v>212</v>
      </c>
      <c r="N588" s="5" t="s">
        <v>1859</v>
      </c>
      <c r="O588" s="5">
        <v>1769.3</v>
      </c>
      <c r="P588" s="5">
        <v>1838</v>
      </c>
      <c r="Q588" s="5">
        <v>1769.3</v>
      </c>
      <c r="R588" s="5">
        <v>1780.3</v>
      </c>
      <c r="S588" s="5">
        <v>1795</v>
      </c>
      <c r="T588" s="5">
        <v>1794</v>
      </c>
      <c r="V588" s="5">
        <v>1780.42</v>
      </c>
      <c r="Y588" s="5">
        <v>31513</v>
      </c>
      <c r="Z588" s="5">
        <v>56549108.5</v>
      </c>
      <c r="AA588" s="5">
        <v>4303</v>
      </c>
      <c r="AB588" s="5" t="s">
        <v>85</v>
      </c>
      <c r="AC588" s="5">
        <v>1</v>
      </c>
    </row>
    <row r="589" spans="1:29" x14ac:dyDescent="0.3">
      <c r="A589" s="34">
        <v>46274</v>
      </c>
      <c r="B589" s="34">
        <v>46274</v>
      </c>
      <c r="C589" s="5" t="s">
        <v>78</v>
      </c>
      <c r="D589" s="5" t="s">
        <v>79</v>
      </c>
      <c r="E589" s="5" t="s">
        <v>80</v>
      </c>
      <c r="F589" s="5">
        <v>2181</v>
      </c>
      <c r="G589" s="5" t="s">
        <v>1860</v>
      </c>
      <c r="H589" s="5" t="s">
        <v>1861</v>
      </c>
      <c r="I589" s="5" t="s">
        <v>212</v>
      </c>
      <c r="N589" s="5" t="s">
        <v>1862</v>
      </c>
      <c r="O589" s="5">
        <v>48475</v>
      </c>
      <c r="P589" s="5">
        <v>49100</v>
      </c>
      <c r="Q589" s="5">
        <v>48360</v>
      </c>
      <c r="R589" s="5">
        <v>49100</v>
      </c>
      <c r="S589" s="5">
        <v>49100</v>
      </c>
      <c r="T589" s="5">
        <v>48785</v>
      </c>
      <c r="V589" s="5">
        <v>49097.02</v>
      </c>
      <c r="Y589" s="5">
        <v>28278</v>
      </c>
      <c r="Z589" s="5">
        <v>1378550455</v>
      </c>
      <c r="AA589" s="5">
        <v>10001</v>
      </c>
      <c r="AB589" s="5" t="s">
        <v>85</v>
      </c>
      <c r="AC589" s="5">
        <v>1</v>
      </c>
    </row>
    <row r="590" spans="1:29" x14ac:dyDescent="0.3">
      <c r="A590" s="34">
        <v>46274</v>
      </c>
      <c r="B590" s="34">
        <v>46274</v>
      </c>
      <c r="C590" s="5" t="s">
        <v>78</v>
      </c>
      <c r="D590" s="5" t="s">
        <v>79</v>
      </c>
      <c r="E590" s="5" t="s">
        <v>80</v>
      </c>
      <c r="F590" s="5">
        <v>25119</v>
      </c>
      <c r="G590" s="5" t="s">
        <v>1863</v>
      </c>
      <c r="H590" s="5" t="s">
        <v>1864</v>
      </c>
      <c r="I590" s="5" t="s">
        <v>313</v>
      </c>
      <c r="N590" s="5" t="s">
        <v>1865</v>
      </c>
      <c r="O590" s="5">
        <v>58</v>
      </c>
      <c r="P590" s="5">
        <v>60</v>
      </c>
      <c r="Q590" s="5">
        <v>56.1</v>
      </c>
      <c r="R590" s="5">
        <v>58.4</v>
      </c>
      <c r="S590" s="5">
        <v>60</v>
      </c>
      <c r="T590" s="5">
        <v>58.95</v>
      </c>
      <c r="V590" s="5">
        <v>58.4</v>
      </c>
      <c r="Y590" s="5">
        <v>24000</v>
      </c>
      <c r="Z590" s="5">
        <v>1396200</v>
      </c>
      <c r="AA590" s="5">
        <v>10</v>
      </c>
      <c r="AB590" s="5" t="s">
        <v>85</v>
      </c>
      <c r="AC590" s="5">
        <v>2000</v>
      </c>
    </row>
    <row r="591" spans="1:29" x14ac:dyDescent="0.3">
      <c r="A591" s="34">
        <v>46274</v>
      </c>
      <c r="B591" s="34">
        <v>46274</v>
      </c>
      <c r="C591" s="5" t="s">
        <v>78</v>
      </c>
      <c r="D591" s="5" t="s">
        <v>79</v>
      </c>
      <c r="E591" s="5" t="s">
        <v>80</v>
      </c>
      <c r="F591" s="5">
        <v>530</v>
      </c>
      <c r="G591" s="5" t="s">
        <v>1866</v>
      </c>
      <c r="H591" s="5" t="s">
        <v>1867</v>
      </c>
      <c r="I591" s="5" t="s">
        <v>212</v>
      </c>
      <c r="N591" s="5" t="s">
        <v>1868</v>
      </c>
      <c r="O591" s="5">
        <v>48.67</v>
      </c>
      <c r="P591" s="5">
        <v>48.84</v>
      </c>
      <c r="Q591" s="5">
        <v>47.3</v>
      </c>
      <c r="R591" s="5">
        <v>48.03</v>
      </c>
      <c r="S591" s="5">
        <v>48.01</v>
      </c>
      <c r="T591" s="5">
        <v>48.65</v>
      </c>
      <c r="V591" s="5">
        <v>48.03</v>
      </c>
      <c r="Y591" s="5">
        <v>33481</v>
      </c>
      <c r="Z591" s="5">
        <v>1614782.95</v>
      </c>
      <c r="AA591" s="5">
        <v>727</v>
      </c>
      <c r="AB591" s="5" t="s">
        <v>85</v>
      </c>
      <c r="AC591" s="5">
        <v>1</v>
      </c>
    </row>
    <row r="592" spans="1:29" x14ac:dyDescent="0.3">
      <c r="A592" s="34">
        <v>46274</v>
      </c>
      <c r="B592" s="34">
        <v>46274</v>
      </c>
      <c r="C592" s="5" t="s">
        <v>78</v>
      </c>
      <c r="D592" s="5" t="s">
        <v>79</v>
      </c>
      <c r="E592" s="5" t="s">
        <v>80</v>
      </c>
      <c r="F592" s="5">
        <v>24905</v>
      </c>
      <c r="G592" s="5" t="s">
        <v>1869</v>
      </c>
      <c r="H592" s="5" t="s">
        <v>1870</v>
      </c>
      <c r="I592" s="5" t="s">
        <v>313</v>
      </c>
      <c r="N592" s="5" t="s">
        <v>1871</v>
      </c>
      <c r="O592" s="5">
        <v>53.65</v>
      </c>
      <c r="P592" s="5">
        <v>57.6</v>
      </c>
      <c r="Q592" s="5">
        <v>53.6</v>
      </c>
      <c r="R592" s="5">
        <v>54</v>
      </c>
      <c r="S592" s="5">
        <v>54</v>
      </c>
      <c r="T592" s="5">
        <v>55.95</v>
      </c>
      <c r="V592" s="5">
        <v>54</v>
      </c>
      <c r="Y592" s="5">
        <v>6400</v>
      </c>
      <c r="Z592" s="5">
        <v>350160</v>
      </c>
      <c r="AA592" s="5">
        <v>4</v>
      </c>
      <c r="AB592" s="5" t="s">
        <v>85</v>
      </c>
      <c r="AC592" s="5">
        <v>1600</v>
      </c>
    </row>
    <row r="593" spans="1:29" x14ac:dyDescent="0.3">
      <c r="A593" s="34">
        <v>46274</v>
      </c>
      <c r="B593" s="34">
        <v>46274</v>
      </c>
      <c r="C593" s="5" t="s">
        <v>78</v>
      </c>
      <c r="D593" s="5" t="s">
        <v>79</v>
      </c>
      <c r="E593" s="5" t="s">
        <v>80</v>
      </c>
      <c r="F593" s="5">
        <v>764628</v>
      </c>
      <c r="G593" s="5" t="s">
        <v>1872</v>
      </c>
      <c r="H593" s="5" t="s">
        <v>1873</v>
      </c>
      <c r="I593" s="5" t="s">
        <v>212</v>
      </c>
      <c r="N593" s="5" t="s">
        <v>1874</v>
      </c>
      <c r="O593" s="5">
        <v>155.69999999999999</v>
      </c>
      <c r="P593" s="5">
        <v>159.59</v>
      </c>
      <c r="Q593" s="5">
        <v>155.69999999999999</v>
      </c>
      <c r="R593" s="5">
        <v>157.11000000000001</v>
      </c>
      <c r="S593" s="5">
        <v>159.57</v>
      </c>
      <c r="T593" s="5">
        <v>159.13</v>
      </c>
      <c r="V593" s="5">
        <v>157.47999999999999</v>
      </c>
      <c r="Y593" s="5">
        <v>11358</v>
      </c>
      <c r="Z593" s="5">
        <v>1781067.75</v>
      </c>
      <c r="AA593" s="5">
        <v>279</v>
      </c>
      <c r="AB593" s="5" t="s">
        <v>85</v>
      </c>
      <c r="AC593" s="5">
        <v>1</v>
      </c>
    </row>
    <row r="594" spans="1:29" x14ac:dyDescent="0.3">
      <c r="A594" s="34">
        <v>46274</v>
      </c>
      <c r="B594" s="34">
        <v>46274</v>
      </c>
      <c r="C594" s="5" t="s">
        <v>78</v>
      </c>
      <c r="D594" s="5" t="s">
        <v>79</v>
      </c>
      <c r="E594" s="5" t="s">
        <v>80</v>
      </c>
      <c r="F594" s="5">
        <v>24814</v>
      </c>
      <c r="G594" s="5" t="s">
        <v>1875</v>
      </c>
      <c r="H594" s="5" t="s">
        <v>1876</v>
      </c>
      <c r="I594" s="5" t="s">
        <v>212</v>
      </c>
      <c r="N594" s="5" t="s">
        <v>1877</v>
      </c>
      <c r="O594" s="5">
        <v>175</v>
      </c>
      <c r="P594" s="5">
        <v>175.65</v>
      </c>
      <c r="Q594" s="5">
        <v>172</v>
      </c>
      <c r="R594" s="5">
        <v>172.52</v>
      </c>
      <c r="S594" s="5">
        <v>172.63</v>
      </c>
      <c r="T594" s="5">
        <v>176.24</v>
      </c>
      <c r="V594" s="5">
        <v>172.53</v>
      </c>
      <c r="Y594" s="5">
        <v>624781</v>
      </c>
      <c r="Z594" s="5">
        <v>108464437.55</v>
      </c>
      <c r="AA594" s="5">
        <v>10571</v>
      </c>
      <c r="AB594" s="5" t="s">
        <v>85</v>
      </c>
      <c r="AC594" s="5">
        <v>1</v>
      </c>
    </row>
    <row r="595" spans="1:29" x14ac:dyDescent="0.3">
      <c r="A595" s="34">
        <v>46274</v>
      </c>
      <c r="B595" s="34">
        <v>46274</v>
      </c>
      <c r="C595" s="5" t="s">
        <v>78</v>
      </c>
      <c r="D595" s="5" t="s">
        <v>79</v>
      </c>
      <c r="E595" s="5" t="s">
        <v>80</v>
      </c>
      <c r="F595" s="5">
        <v>7780</v>
      </c>
      <c r="G595" s="5" t="s">
        <v>1878</v>
      </c>
      <c r="H595" s="5" t="s">
        <v>1879</v>
      </c>
      <c r="I595" s="5" t="s">
        <v>212</v>
      </c>
      <c r="N595" s="5" t="s">
        <v>1880</v>
      </c>
      <c r="O595" s="5">
        <v>167</v>
      </c>
      <c r="P595" s="5">
        <v>167</v>
      </c>
      <c r="Q595" s="5">
        <v>157.5</v>
      </c>
      <c r="R595" s="5">
        <v>161.36000000000001</v>
      </c>
      <c r="S595" s="5">
        <v>161</v>
      </c>
      <c r="T595" s="5">
        <v>166.33</v>
      </c>
      <c r="V595" s="5">
        <v>161.52000000000001</v>
      </c>
      <c r="Y595" s="5">
        <v>27842</v>
      </c>
      <c r="Z595" s="5">
        <v>4525618.07</v>
      </c>
      <c r="AA595" s="5">
        <v>1018</v>
      </c>
      <c r="AB595" s="5" t="s">
        <v>85</v>
      </c>
      <c r="AC595" s="5">
        <v>1</v>
      </c>
    </row>
    <row r="596" spans="1:29" x14ac:dyDescent="0.3">
      <c r="A596" s="34">
        <v>46274</v>
      </c>
      <c r="B596" s="34">
        <v>46274</v>
      </c>
      <c r="C596" s="5" t="s">
        <v>78</v>
      </c>
      <c r="D596" s="5" t="s">
        <v>79</v>
      </c>
      <c r="E596" s="5" t="s">
        <v>80</v>
      </c>
      <c r="F596" s="5">
        <v>760972</v>
      </c>
      <c r="G596" s="5" t="s">
        <v>1881</v>
      </c>
      <c r="H596" s="5" t="s">
        <v>1882</v>
      </c>
      <c r="I596" s="5" t="s">
        <v>313</v>
      </c>
      <c r="N596" s="5" t="s">
        <v>1883</v>
      </c>
      <c r="O596" s="5">
        <v>174</v>
      </c>
      <c r="P596" s="5">
        <v>175.95</v>
      </c>
      <c r="Q596" s="5">
        <v>171.3</v>
      </c>
      <c r="R596" s="5">
        <v>171.65</v>
      </c>
      <c r="S596" s="5">
        <v>171.3</v>
      </c>
      <c r="T596" s="5">
        <v>172.35</v>
      </c>
      <c r="V596" s="5">
        <v>171.65</v>
      </c>
      <c r="Y596" s="5">
        <v>12800</v>
      </c>
      <c r="Z596" s="5">
        <v>2216040</v>
      </c>
      <c r="AA596" s="5">
        <v>16</v>
      </c>
      <c r="AB596" s="5" t="s">
        <v>85</v>
      </c>
      <c r="AC596" s="5">
        <v>800</v>
      </c>
    </row>
    <row r="597" spans="1:29" x14ac:dyDescent="0.3">
      <c r="A597" s="34">
        <v>46274</v>
      </c>
      <c r="B597" s="34">
        <v>46274</v>
      </c>
      <c r="C597" s="5" t="s">
        <v>78</v>
      </c>
      <c r="D597" s="5" t="s">
        <v>79</v>
      </c>
      <c r="E597" s="5" t="s">
        <v>80</v>
      </c>
      <c r="F597" s="5">
        <v>15184</v>
      </c>
      <c r="G597" s="5" t="s">
        <v>1884</v>
      </c>
      <c r="H597" s="5" t="s">
        <v>1885</v>
      </c>
      <c r="I597" s="5" t="s">
        <v>212</v>
      </c>
      <c r="N597" s="5" t="s">
        <v>1886</v>
      </c>
      <c r="O597" s="5">
        <v>687</v>
      </c>
      <c r="P597" s="5">
        <v>689.3</v>
      </c>
      <c r="Q597" s="5">
        <v>656.3</v>
      </c>
      <c r="R597" s="5">
        <v>662.9</v>
      </c>
      <c r="S597" s="5">
        <v>657.9</v>
      </c>
      <c r="T597" s="5">
        <v>687</v>
      </c>
      <c r="V597" s="5">
        <v>662.88</v>
      </c>
      <c r="Y597" s="5">
        <v>347995</v>
      </c>
      <c r="Z597" s="5">
        <v>232514057.09999999</v>
      </c>
      <c r="AA597" s="5">
        <v>18850</v>
      </c>
      <c r="AB597" s="5" t="s">
        <v>85</v>
      </c>
      <c r="AC597" s="5">
        <v>1</v>
      </c>
    </row>
    <row r="598" spans="1:29" x14ac:dyDescent="0.3">
      <c r="A598" s="34">
        <v>46274</v>
      </c>
      <c r="B598" s="34">
        <v>46274</v>
      </c>
      <c r="C598" s="5" t="s">
        <v>78</v>
      </c>
      <c r="D598" s="5" t="s">
        <v>79</v>
      </c>
      <c r="E598" s="5" t="s">
        <v>80</v>
      </c>
      <c r="F598" s="5">
        <v>757794</v>
      </c>
      <c r="G598" s="5" t="s">
        <v>1887</v>
      </c>
      <c r="H598" s="5" t="s">
        <v>1888</v>
      </c>
      <c r="I598" s="5" t="s">
        <v>212</v>
      </c>
      <c r="N598" s="5" t="s">
        <v>1889</v>
      </c>
      <c r="O598" s="5">
        <v>57.01</v>
      </c>
      <c r="P598" s="5">
        <v>57.15</v>
      </c>
      <c r="Q598" s="5">
        <v>56.22</v>
      </c>
      <c r="R598" s="5">
        <v>56.43</v>
      </c>
      <c r="S598" s="5">
        <v>56.3</v>
      </c>
      <c r="T598" s="5">
        <v>57.14</v>
      </c>
      <c r="V598" s="5">
        <v>56.43</v>
      </c>
      <c r="Y598" s="5">
        <v>105118</v>
      </c>
      <c r="Z598" s="5">
        <v>5936418.8700000001</v>
      </c>
      <c r="AA598" s="5">
        <v>2183</v>
      </c>
      <c r="AB598" s="5" t="s">
        <v>85</v>
      </c>
      <c r="AC598" s="5">
        <v>1</v>
      </c>
    </row>
    <row r="599" spans="1:29" x14ac:dyDescent="0.3">
      <c r="A599" s="34">
        <v>46274</v>
      </c>
      <c r="B599" s="34">
        <v>46274</v>
      </c>
      <c r="C599" s="5" t="s">
        <v>78</v>
      </c>
      <c r="D599" s="5" t="s">
        <v>79</v>
      </c>
      <c r="E599" s="5" t="s">
        <v>80</v>
      </c>
      <c r="F599" s="5">
        <v>764633</v>
      </c>
      <c r="G599" s="5" t="s">
        <v>1890</v>
      </c>
      <c r="H599" s="5" t="s">
        <v>1891</v>
      </c>
      <c r="I599" s="5" t="s">
        <v>212</v>
      </c>
      <c r="N599" s="5" t="s">
        <v>1892</v>
      </c>
      <c r="O599" s="5">
        <v>260</v>
      </c>
      <c r="P599" s="5">
        <v>263.95</v>
      </c>
      <c r="Q599" s="5">
        <v>252</v>
      </c>
      <c r="R599" s="5">
        <v>261.7</v>
      </c>
      <c r="S599" s="5">
        <v>263</v>
      </c>
      <c r="T599" s="5">
        <v>259.25</v>
      </c>
      <c r="V599" s="5">
        <v>260</v>
      </c>
      <c r="Y599" s="5">
        <v>452</v>
      </c>
      <c r="Z599" s="5">
        <v>116233.05</v>
      </c>
      <c r="AA599" s="5">
        <v>16</v>
      </c>
      <c r="AB599" s="5" t="s">
        <v>85</v>
      </c>
      <c r="AC599" s="5">
        <v>1</v>
      </c>
    </row>
    <row r="600" spans="1:29" x14ac:dyDescent="0.3">
      <c r="A600" s="34">
        <v>46274</v>
      </c>
      <c r="B600" s="34">
        <v>46274</v>
      </c>
      <c r="C600" s="5" t="s">
        <v>78</v>
      </c>
      <c r="D600" s="5" t="s">
        <v>79</v>
      </c>
      <c r="E600" s="5" t="s">
        <v>80</v>
      </c>
      <c r="F600" s="5">
        <v>8833</v>
      </c>
      <c r="G600" s="5" t="s">
        <v>1893</v>
      </c>
      <c r="H600" s="5" t="s">
        <v>1894</v>
      </c>
      <c r="I600" s="5" t="s">
        <v>212</v>
      </c>
      <c r="N600" s="5" t="s">
        <v>1895</v>
      </c>
      <c r="O600" s="5">
        <v>10.75</v>
      </c>
      <c r="P600" s="5">
        <v>10.93</v>
      </c>
      <c r="Q600" s="5">
        <v>10.130000000000001</v>
      </c>
      <c r="R600" s="5">
        <v>10.23</v>
      </c>
      <c r="S600" s="5">
        <v>10.31</v>
      </c>
      <c r="T600" s="5">
        <v>10.57</v>
      </c>
      <c r="V600" s="5">
        <v>10.23</v>
      </c>
      <c r="Y600" s="5">
        <v>18035174</v>
      </c>
      <c r="Z600" s="5">
        <v>187921354.28999999</v>
      </c>
      <c r="AA600" s="5">
        <v>14030</v>
      </c>
      <c r="AB600" s="5" t="s">
        <v>85</v>
      </c>
      <c r="AC600" s="5">
        <v>1</v>
      </c>
    </row>
    <row r="601" spans="1:29" x14ac:dyDescent="0.3">
      <c r="A601" s="34">
        <v>46274</v>
      </c>
      <c r="B601" s="34">
        <v>46274</v>
      </c>
      <c r="C601" s="5" t="s">
        <v>78</v>
      </c>
      <c r="D601" s="5" t="s">
        <v>79</v>
      </c>
      <c r="E601" s="5" t="s">
        <v>80</v>
      </c>
      <c r="F601" s="5">
        <v>547</v>
      </c>
      <c r="G601" s="5" t="s">
        <v>1896</v>
      </c>
      <c r="H601" s="5" t="s">
        <v>1897</v>
      </c>
      <c r="I601" s="5" t="s">
        <v>212</v>
      </c>
      <c r="N601" s="5" t="s">
        <v>1898</v>
      </c>
      <c r="O601" s="5">
        <v>5064</v>
      </c>
      <c r="P601" s="5">
        <v>5113</v>
      </c>
      <c r="Q601" s="5">
        <v>5023</v>
      </c>
      <c r="R601" s="5">
        <v>5090</v>
      </c>
      <c r="S601" s="5">
        <v>5090</v>
      </c>
      <c r="T601" s="5">
        <v>5064</v>
      </c>
      <c r="V601" s="5">
        <v>5090.03</v>
      </c>
      <c r="Y601" s="5">
        <v>190380</v>
      </c>
      <c r="Z601" s="5">
        <v>965719922.5</v>
      </c>
      <c r="AA601" s="5">
        <v>16431</v>
      </c>
      <c r="AB601" s="5" t="s">
        <v>85</v>
      </c>
      <c r="AC601" s="5">
        <v>1</v>
      </c>
    </row>
    <row r="602" spans="1:29" x14ac:dyDescent="0.3">
      <c r="A602" s="34">
        <v>46274</v>
      </c>
      <c r="B602" s="34">
        <v>46274</v>
      </c>
      <c r="C602" s="5" t="s">
        <v>78</v>
      </c>
      <c r="D602" s="5" t="s">
        <v>79</v>
      </c>
      <c r="E602" s="5" t="s">
        <v>80</v>
      </c>
      <c r="F602" s="5">
        <v>2203</v>
      </c>
      <c r="G602" s="5" t="s">
        <v>1899</v>
      </c>
      <c r="H602" s="5" t="s">
        <v>1900</v>
      </c>
      <c r="I602" s="5" t="s">
        <v>1362</v>
      </c>
      <c r="N602" s="5" t="s">
        <v>1901</v>
      </c>
      <c r="O602" s="5">
        <v>341.5</v>
      </c>
      <c r="P602" s="5">
        <v>342</v>
      </c>
      <c r="Q602" s="5">
        <v>340.55</v>
      </c>
      <c r="R602" s="5">
        <v>341.07</v>
      </c>
      <c r="S602" s="5">
        <v>340.8</v>
      </c>
      <c r="T602" s="5">
        <v>341.89</v>
      </c>
      <c r="V602" s="5">
        <v>341.07</v>
      </c>
      <c r="Y602" s="5">
        <v>219985</v>
      </c>
      <c r="Z602" s="5">
        <v>75086660.629999995</v>
      </c>
      <c r="AA602" s="5">
        <v>5124</v>
      </c>
      <c r="AB602" s="5" t="s">
        <v>85</v>
      </c>
      <c r="AC602" s="5">
        <v>1</v>
      </c>
    </row>
    <row r="603" spans="1:29" x14ac:dyDescent="0.3">
      <c r="A603" s="34">
        <v>46274</v>
      </c>
      <c r="B603" s="34">
        <v>46274</v>
      </c>
      <c r="C603" s="5" t="s">
        <v>78</v>
      </c>
      <c r="D603" s="5" t="s">
        <v>79</v>
      </c>
      <c r="E603" s="5" t="s">
        <v>80</v>
      </c>
      <c r="F603" s="5">
        <v>25136</v>
      </c>
      <c r="G603" s="5" t="s">
        <v>1902</v>
      </c>
      <c r="H603" s="5" t="s">
        <v>1903</v>
      </c>
      <c r="I603" s="5" t="s">
        <v>212</v>
      </c>
      <c r="N603" s="5" t="s">
        <v>1904</v>
      </c>
      <c r="O603" s="5">
        <v>64.61</v>
      </c>
      <c r="P603" s="5">
        <v>65.5</v>
      </c>
      <c r="Q603" s="5">
        <v>61.15</v>
      </c>
      <c r="R603" s="5">
        <v>62.99</v>
      </c>
      <c r="S603" s="5">
        <v>63.05</v>
      </c>
      <c r="T603" s="5">
        <v>63.3</v>
      </c>
      <c r="V603" s="5">
        <v>63.06</v>
      </c>
      <c r="Y603" s="5">
        <v>17284</v>
      </c>
      <c r="Z603" s="5">
        <v>1096619.49</v>
      </c>
      <c r="AA603" s="5">
        <v>358</v>
      </c>
      <c r="AB603" s="5" t="s">
        <v>85</v>
      </c>
      <c r="AC603" s="5">
        <v>1</v>
      </c>
    </row>
    <row r="604" spans="1:29" x14ac:dyDescent="0.3">
      <c r="A604" s="34">
        <v>46274</v>
      </c>
      <c r="B604" s="34">
        <v>46274</v>
      </c>
      <c r="C604" s="5" t="s">
        <v>78</v>
      </c>
      <c r="D604" s="5" t="s">
        <v>79</v>
      </c>
      <c r="E604" s="5" t="s">
        <v>80</v>
      </c>
      <c r="F604" s="5">
        <v>19585</v>
      </c>
      <c r="G604" s="5" t="s">
        <v>1905</v>
      </c>
      <c r="H604" s="5" t="s">
        <v>1906</v>
      </c>
      <c r="I604" s="5" t="s">
        <v>212</v>
      </c>
      <c r="N604" s="5" t="s">
        <v>1907</v>
      </c>
      <c r="O604" s="5">
        <v>3301</v>
      </c>
      <c r="P604" s="5">
        <v>3319.9</v>
      </c>
      <c r="Q604" s="5">
        <v>3268.2</v>
      </c>
      <c r="R604" s="5">
        <v>3289.8</v>
      </c>
      <c r="S604" s="5">
        <v>3289.8</v>
      </c>
      <c r="T604" s="5">
        <v>3394</v>
      </c>
      <c r="V604" s="5">
        <v>3289.8</v>
      </c>
      <c r="Y604" s="5">
        <v>4365902</v>
      </c>
      <c r="Z604" s="5">
        <v>14369567403.200001</v>
      </c>
      <c r="AA604" s="5">
        <v>192407</v>
      </c>
      <c r="AB604" s="5" t="s">
        <v>85</v>
      </c>
      <c r="AC604" s="5">
        <v>1</v>
      </c>
    </row>
    <row r="605" spans="1:29" x14ac:dyDescent="0.3">
      <c r="A605" s="34">
        <v>46274</v>
      </c>
      <c r="B605" s="34">
        <v>46274</v>
      </c>
      <c r="C605" s="5" t="s">
        <v>78</v>
      </c>
      <c r="D605" s="5" t="s">
        <v>79</v>
      </c>
      <c r="E605" s="5" t="s">
        <v>80</v>
      </c>
      <c r="F605" s="5">
        <v>559</v>
      </c>
      <c r="G605" s="5" t="s">
        <v>1908</v>
      </c>
      <c r="H605" s="5" t="s">
        <v>1909</v>
      </c>
      <c r="I605" s="5" t="s">
        <v>212</v>
      </c>
      <c r="N605" s="5" t="s">
        <v>1910</v>
      </c>
      <c r="O605" s="5">
        <v>125.99</v>
      </c>
      <c r="P605" s="5">
        <v>125.99</v>
      </c>
      <c r="Q605" s="5">
        <v>122.98</v>
      </c>
      <c r="R605" s="5">
        <v>123.25</v>
      </c>
      <c r="S605" s="5">
        <v>123.02</v>
      </c>
      <c r="T605" s="5">
        <v>123.33</v>
      </c>
      <c r="V605" s="5">
        <v>123.25</v>
      </c>
      <c r="Y605" s="5">
        <v>1297</v>
      </c>
      <c r="Z605" s="5">
        <v>160940.5</v>
      </c>
      <c r="AA605" s="5">
        <v>43</v>
      </c>
      <c r="AB605" s="5" t="s">
        <v>85</v>
      </c>
      <c r="AC605" s="5">
        <v>1</v>
      </c>
    </row>
    <row r="606" spans="1:29" x14ac:dyDescent="0.3">
      <c r="A606" s="34">
        <v>46274</v>
      </c>
      <c r="B606" s="34">
        <v>46274</v>
      </c>
      <c r="C606" s="5" t="s">
        <v>78</v>
      </c>
      <c r="D606" s="5" t="s">
        <v>79</v>
      </c>
      <c r="E606" s="5" t="s">
        <v>80</v>
      </c>
      <c r="F606" s="5">
        <v>2716</v>
      </c>
      <c r="G606" s="5" t="s">
        <v>1911</v>
      </c>
      <c r="H606" s="5" t="s">
        <v>1912</v>
      </c>
      <c r="I606" s="5" t="s">
        <v>212</v>
      </c>
      <c r="N606" s="5" t="s">
        <v>1913</v>
      </c>
      <c r="O606" s="5">
        <v>614.15</v>
      </c>
      <c r="P606" s="5">
        <v>620</v>
      </c>
      <c r="Q606" s="5">
        <v>610.04999999999995</v>
      </c>
      <c r="R606" s="5">
        <v>616.29999999999995</v>
      </c>
      <c r="S606" s="5">
        <v>620</v>
      </c>
      <c r="T606" s="5">
        <v>614.54999999999995</v>
      </c>
      <c r="V606" s="5">
        <v>616.29</v>
      </c>
      <c r="Y606" s="5">
        <v>8492</v>
      </c>
      <c r="Z606" s="5">
        <v>5222306</v>
      </c>
      <c r="AA606" s="5">
        <v>807</v>
      </c>
      <c r="AB606" s="5" t="s">
        <v>85</v>
      </c>
      <c r="AC606" s="5">
        <v>1</v>
      </c>
    </row>
    <row r="607" spans="1:29" x14ac:dyDescent="0.3">
      <c r="A607" s="34">
        <v>46274</v>
      </c>
      <c r="B607" s="34">
        <v>46274</v>
      </c>
      <c r="C607" s="5" t="s">
        <v>78</v>
      </c>
      <c r="D607" s="5" t="s">
        <v>79</v>
      </c>
      <c r="E607" s="5" t="s">
        <v>80</v>
      </c>
      <c r="F607" s="5">
        <v>24704</v>
      </c>
      <c r="G607" s="5" t="s">
        <v>1914</v>
      </c>
      <c r="H607" s="5" t="s">
        <v>1915</v>
      </c>
      <c r="I607" s="5" t="s">
        <v>392</v>
      </c>
      <c r="N607" s="5" t="s">
        <v>1916</v>
      </c>
      <c r="O607" s="5">
        <v>84</v>
      </c>
      <c r="P607" s="5">
        <v>87.95</v>
      </c>
      <c r="Q607" s="5">
        <v>84</v>
      </c>
      <c r="R607" s="5">
        <v>85.3</v>
      </c>
      <c r="S607" s="5">
        <v>87.95</v>
      </c>
      <c r="T607" s="5">
        <v>83.9</v>
      </c>
      <c r="V607" s="5">
        <v>85.3</v>
      </c>
      <c r="Y607" s="5">
        <v>3600</v>
      </c>
      <c r="Z607" s="5">
        <v>307140</v>
      </c>
      <c r="AA607" s="5">
        <v>3</v>
      </c>
      <c r="AB607" s="5" t="s">
        <v>85</v>
      </c>
      <c r="AC607" s="5">
        <v>1200</v>
      </c>
    </row>
    <row r="608" spans="1:29" x14ac:dyDescent="0.3">
      <c r="A608" s="34">
        <v>46274</v>
      </c>
      <c r="B608" s="34">
        <v>46274</v>
      </c>
      <c r="C608" s="5" t="s">
        <v>78</v>
      </c>
      <c r="D608" s="5" t="s">
        <v>79</v>
      </c>
      <c r="E608" s="5" t="s">
        <v>80</v>
      </c>
      <c r="F608" s="5">
        <v>15198</v>
      </c>
      <c r="G608" s="5" t="s">
        <v>1917</v>
      </c>
      <c r="H608" s="5" t="s">
        <v>1918</v>
      </c>
      <c r="I608" s="5" t="s">
        <v>234</v>
      </c>
      <c r="N608" s="5" t="s">
        <v>1919</v>
      </c>
      <c r="O608" s="5">
        <v>18.5</v>
      </c>
      <c r="P608" s="5">
        <v>18.5</v>
      </c>
      <c r="Q608" s="5">
        <v>18.5</v>
      </c>
      <c r="R608" s="5">
        <v>18.5</v>
      </c>
      <c r="S608" s="5">
        <v>18.5</v>
      </c>
      <c r="T608" s="5">
        <v>19.47</v>
      </c>
      <c r="V608" s="5">
        <v>18.5</v>
      </c>
      <c r="Y608" s="5">
        <v>7974</v>
      </c>
      <c r="Z608" s="5">
        <v>147519</v>
      </c>
      <c r="AA608" s="5">
        <v>97</v>
      </c>
      <c r="AB608" s="5" t="s">
        <v>85</v>
      </c>
      <c r="AC608" s="5">
        <v>1</v>
      </c>
    </row>
    <row r="609" spans="1:29" x14ac:dyDescent="0.3">
      <c r="A609" s="34">
        <v>46274</v>
      </c>
      <c r="B609" s="34">
        <v>46274</v>
      </c>
      <c r="C609" s="5" t="s">
        <v>78</v>
      </c>
      <c r="D609" s="5" t="s">
        <v>79</v>
      </c>
      <c r="E609" s="5" t="s">
        <v>80</v>
      </c>
      <c r="F609" s="5">
        <v>764643</v>
      </c>
      <c r="G609" s="5" t="s">
        <v>1920</v>
      </c>
      <c r="H609" s="5" t="s">
        <v>1921</v>
      </c>
      <c r="I609" s="5" t="s">
        <v>212</v>
      </c>
      <c r="N609" s="5" t="s">
        <v>1922</v>
      </c>
      <c r="O609" s="5">
        <v>146.54</v>
      </c>
      <c r="P609" s="5">
        <v>151.99</v>
      </c>
      <c r="Q609" s="5">
        <v>144.02000000000001</v>
      </c>
      <c r="R609" s="5">
        <v>144.84</v>
      </c>
      <c r="S609" s="5">
        <v>148.47</v>
      </c>
      <c r="T609" s="5">
        <v>146.54</v>
      </c>
      <c r="V609" s="5">
        <v>145.09</v>
      </c>
      <c r="Y609" s="5">
        <v>645</v>
      </c>
      <c r="Z609" s="5">
        <v>94293.29</v>
      </c>
      <c r="AA609" s="5">
        <v>41</v>
      </c>
      <c r="AB609" s="5" t="s">
        <v>85</v>
      </c>
      <c r="AC609" s="5">
        <v>1</v>
      </c>
    </row>
    <row r="610" spans="1:29" x14ac:dyDescent="0.3">
      <c r="A610" s="34">
        <v>46274</v>
      </c>
      <c r="B610" s="34">
        <v>46274</v>
      </c>
      <c r="C610" s="5" t="s">
        <v>78</v>
      </c>
      <c r="D610" s="5" t="s">
        <v>79</v>
      </c>
      <c r="E610" s="5" t="s">
        <v>80</v>
      </c>
      <c r="F610" s="5">
        <v>760854</v>
      </c>
      <c r="G610" s="5" t="s">
        <v>1923</v>
      </c>
      <c r="H610" s="5" t="s">
        <v>1924</v>
      </c>
      <c r="I610" s="5" t="s">
        <v>313</v>
      </c>
      <c r="N610" s="5" t="s">
        <v>1925</v>
      </c>
      <c r="O610" s="5">
        <v>148</v>
      </c>
      <c r="P610" s="5">
        <v>148</v>
      </c>
      <c r="Q610" s="5">
        <v>148</v>
      </c>
      <c r="R610" s="5">
        <v>148</v>
      </c>
      <c r="S610" s="5">
        <v>148</v>
      </c>
      <c r="T610" s="5">
        <v>150.05000000000001</v>
      </c>
      <c r="V610" s="5">
        <v>148</v>
      </c>
      <c r="Y610" s="5">
        <v>800</v>
      </c>
      <c r="Z610" s="5">
        <v>118400</v>
      </c>
      <c r="AA610" s="5">
        <v>1</v>
      </c>
      <c r="AB610" s="5" t="s">
        <v>85</v>
      </c>
      <c r="AC610" s="5">
        <v>800</v>
      </c>
    </row>
    <row r="611" spans="1:29" x14ac:dyDescent="0.3">
      <c r="A611" s="34">
        <v>46274</v>
      </c>
      <c r="B611" s="34">
        <v>46274</v>
      </c>
      <c r="C611" s="5" t="s">
        <v>78</v>
      </c>
      <c r="D611" s="5" t="s">
        <v>79</v>
      </c>
      <c r="E611" s="5" t="s">
        <v>80</v>
      </c>
      <c r="F611" s="5">
        <v>18372</v>
      </c>
      <c r="G611" s="5" t="s">
        <v>1926</v>
      </c>
      <c r="H611" s="5" t="s">
        <v>1927</v>
      </c>
      <c r="I611" s="5" t="s">
        <v>313</v>
      </c>
      <c r="N611" s="5" t="s">
        <v>1928</v>
      </c>
      <c r="O611" s="5">
        <v>1200</v>
      </c>
      <c r="P611" s="5">
        <v>1200</v>
      </c>
      <c r="Q611" s="5">
        <v>1170</v>
      </c>
      <c r="R611" s="5">
        <v>1191.95</v>
      </c>
      <c r="S611" s="5">
        <v>1191.95</v>
      </c>
      <c r="T611" s="5">
        <v>1195</v>
      </c>
      <c r="V611" s="5">
        <v>1191.95</v>
      </c>
      <c r="Y611" s="5">
        <v>29550</v>
      </c>
      <c r="Z611" s="5">
        <v>35386792.5</v>
      </c>
      <c r="AA611" s="5">
        <v>7</v>
      </c>
      <c r="AB611" s="5" t="s">
        <v>85</v>
      </c>
      <c r="AC611" s="5">
        <v>150</v>
      </c>
    </row>
    <row r="612" spans="1:29" x14ac:dyDescent="0.3">
      <c r="A612" s="34">
        <v>46274</v>
      </c>
      <c r="B612" s="34">
        <v>46274</v>
      </c>
      <c r="C612" s="5" t="s">
        <v>78</v>
      </c>
      <c r="D612" s="5" t="s">
        <v>79</v>
      </c>
      <c r="E612" s="5" t="s">
        <v>80</v>
      </c>
      <c r="F612" s="5">
        <v>7227</v>
      </c>
      <c r="G612" s="5" t="s">
        <v>1929</v>
      </c>
      <c r="H612" s="5" t="s">
        <v>1930</v>
      </c>
      <c r="I612" s="5" t="s">
        <v>212</v>
      </c>
      <c r="N612" s="5" t="s">
        <v>1931</v>
      </c>
      <c r="O612" s="5">
        <v>968.8</v>
      </c>
      <c r="P612" s="5">
        <v>970</v>
      </c>
      <c r="Q612" s="5">
        <v>951</v>
      </c>
      <c r="R612" s="5">
        <v>955.2</v>
      </c>
      <c r="S612" s="5">
        <v>953.1</v>
      </c>
      <c r="T612" s="5">
        <v>968.8</v>
      </c>
      <c r="V612" s="5">
        <v>955.14</v>
      </c>
      <c r="Y612" s="5">
        <v>82810</v>
      </c>
      <c r="Z612" s="5">
        <v>79334170.799999997</v>
      </c>
      <c r="AA612" s="5">
        <v>6073</v>
      </c>
      <c r="AB612" s="5" t="s">
        <v>85</v>
      </c>
      <c r="AC612" s="5">
        <v>1</v>
      </c>
    </row>
    <row r="613" spans="1:29" x14ac:dyDescent="0.3">
      <c r="A613" s="34">
        <v>46274</v>
      </c>
      <c r="B613" s="34">
        <v>46274</v>
      </c>
      <c r="C613" s="5" t="s">
        <v>78</v>
      </c>
      <c r="D613" s="5" t="s">
        <v>79</v>
      </c>
      <c r="E613" s="5" t="s">
        <v>80</v>
      </c>
      <c r="F613" s="5">
        <v>27274</v>
      </c>
      <c r="G613" s="5" t="s">
        <v>1932</v>
      </c>
      <c r="H613" s="5" t="s">
        <v>1933</v>
      </c>
      <c r="I613" s="5" t="s">
        <v>313</v>
      </c>
      <c r="N613" s="5" t="s">
        <v>1934</v>
      </c>
      <c r="O613" s="5">
        <v>212.5</v>
      </c>
      <c r="P613" s="5">
        <v>223.5</v>
      </c>
      <c r="Q613" s="5">
        <v>212.5</v>
      </c>
      <c r="R613" s="5">
        <v>218.3</v>
      </c>
      <c r="S613" s="5">
        <v>218</v>
      </c>
      <c r="T613" s="5">
        <v>212.9</v>
      </c>
      <c r="V613" s="5">
        <v>218.3</v>
      </c>
      <c r="Y613" s="5">
        <v>104400</v>
      </c>
      <c r="Z613" s="5">
        <v>22647352.5</v>
      </c>
      <c r="AA613" s="5">
        <v>474</v>
      </c>
      <c r="AB613" s="5" t="s">
        <v>85</v>
      </c>
      <c r="AC613" s="5">
        <v>150</v>
      </c>
    </row>
    <row r="614" spans="1:29" x14ac:dyDescent="0.3">
      <c r="A614" s="34">
        <v>46274</v>
      </c>
      <c r="B614" s="34">
        <v>46274</v>
      </c>
      <c r="C614" s="5" t="s">
        <v>78</v>
      </c>
      <c r="D614" s="5" t="s">
        <v>79</v>
      </c>
      <c r="E614" s="5" t="s">
        <v>80</v>
      </c>
      <c r="F614" s="5">
        <v>764255</v>
      </c>
      <c r="G614" s="5" t="s">
        <v>1935</v>
      </c>
      <c r="H614" s="5" t="s">
        <v>1936</v>
      </c>
      <c r="I614" s="5" t="s">
        <v>212</v>
      </c>
      <c r="N614" s="5" t="s">
        <v>1937</v>
      </c>
      <c r="O614" s="5">
        <v>487</v>
      </c>
      <c r="P614" s="5">
        <v>493.4</v>
      </c>
      <c r="Q614" s="5">
        <v>481.35</v>
      </c>
      <c r="R614" s="5">
        <v>486.3</v>
      </c>
      <c r="S614" s="5">
        <v>487</v>
      </c>
      <c r="T614" s="5">
        <v>484.35</v>
      </c>
      <c r="V614" s="5">
        <v>486.3</v>
      </c>
      <c r="Y614" s="5">
        <v>245505</v>
      </c>
      <c r="Z614" s="5">
        <v>119529775.2</v>
      </c>
      <c r="AA614" s="5">
        <v>8384</v>
      </c>
      <c r="AB614" s="5" t="s">
        <v>85</v>
      </c>
      <c r="AC614" s="5">
        <v>1</v>
      </c>
    </row>
    <row r="615" spans="1:29" x14ac:dyDescent="0.3">
      <c r="A615" s="34">
        <v>46274</v>
      </c>
      <c r="B615" s="34">
        <v>46274</v>
      </c>
      <c r="C615" s="5" t="s">
        <v>78</v>
      </c>
      <c r="D615" s="5" t="s">
        <v>79</v>
      </c>
      <c r="E615" s="5" t="s">
        <v>80</v>
      </c>
      <c r="F615" s="5">
        <v>8400</v>
      </c>
      <c r="G615" s="5" t="s">
        <v>1938</v>
      </c>
      <c r="H615" s="5" t="s">
        <v>1939</v>
      </c>
      <c r="I615" s="5" t="s">
        <v>234</v>
      </c>
      <c r="N615" s="5" t="s">
        <v>1940</v>
      </c>
      <c r="O615" s="5">
        <v>35.15</v>
      </c>
      <c r="P615" s="5">
        <v>35.15</v>
      </c>
      <c r="Q615" s="5">
        <v>35.15</v>
      </c>
      <c r="R615" s="5">
        <v>35.15</v>
      </c>
      <c r="S615" s="5">
        <v>35.15</v>
      </c>
      <c r="T615" s="5">
        <v>37</v>
      </c>
      <c r="V615" s="5">
        <v>35.090000000000003</v>
      </c>
      <c r="Y615" s="5">
        <v>80779</v>
      </c>
      <c r="Z615" s="5">
        <v>2839381.85</v>
      </c>
      <c r="AA615" s="5">
        <v>239</v>
      </c>
      <c r="AB615" s="5" t="s">
        <v>85</v>
      </c>
      <c r="AC615" s="5">
        <v>1</v>
      </c>
    </row>
    <row r="616" spans="1:29" x14ac:dyDescent="0.3">
      <c r="A616" s="34">
        <v>46274</v>
      </c>
      <c r="B616" s="34">
        <v>46274</v>
      </c>
      <c r="C616" s="5" t="s">
        <v>78</v>
      </c>
      <c r="D616" s="5" t="s">
        <v>79</v>
      </c>
      <c r="E616" s="5" t="s">
        <v>80</v>
      </c>
      <c r="F616" s="5">
        <v>14222</v>
      </c>
      <c r="G616" s="5" t="s">
        <v>1941</v>
      </c>
      <c r="H616" s="5" t="s">
        <v>1942</v>
      </c>
      <c r="I616" s="5" t="s">
        <v>234</v>
      </c>
      <c r="N616" s="5" t="s">
        <v>1943</v>
      </c>
      <c r="O616" s="5">
        <v>41.78</v>
      </c>
      <c r="P616" s="5">
        <v>43</v>
      </c>
      <c r="Q616" s="5">
        <v>41.21</v>
      </c>
      <c r="R616" s="5">
        <v>42.55</v>
      </c>
      <c r="S616" s="5">
        <v>42.5</v>
      </c>
      <c r="T616" s="5">
        <v>41.77</v>
      </c>
      <c r="V616" s="5">
        <v>42.55</v>
      </c>
      <c r="Y616" s="5">
        <v>3673</v>
      </c>
      <c r="Z616" s="5">
        <v>154525.29</v>
      </c>
      <c r="AA616" s="5">
        <v>44</v>
      </c>
      <c r="AB616" s="5" t="s">
        <v>85</v>
      </c>
      <c r="AC616" s="5">
        <v>1</v>
      </c>
    </row>
    <row r="617" spans="1:29" x14ac:dyDescent="0.3">
      <c r="A617" s="34">
        <v>46274</v>
      </c>
      <c r="B617" s="34">
        <v>46274</v>
      </c>
      <c r="C617" s="5" t="s">
        <v>78</v>
      </c>
      <c r="D617" s="5" t="s">
        <v>79</v>
      </c>
      <c r="E617" s="5" t="s">
        <v>80</v>
      </c>
      <c r="F617" s="5">
        <v>6216</v>
      </c>
      <c r="G617" s="5" t="s">
        <v>1944</v>
      </c>
      <c r="H617" s="5" t="s">
        <v>1945</v>
      </c>
      <c r="I617" s="5" t="s">
        <v>212</v>
      </c>
      <c r="N617" s="5" t="s">
        <v>1946</v>
      </c>
      <c r="O617" s="5">
        <v>104.15</v>
      </c>
      <c r="P617" s="5">
        <v>105.3</v>
      </c>
      <c r="Q617" s="5">
        <v>102.84</v>
      </c>
      <c r="R617" s="5">
        <v>103.8</v>
      </c>
      <c r="S617" s="5">
        <v>103.7</v>
      </c>
      <c r="T617" s="5">
        <v>104.15</v>
      </c>
      <c r="V617" s="5">
        <v>103.81</v>
      </c>
      <c r="Y617" s="5">
        <v>399410</v>
      </c>
      <c r="Z617" s="5">
        <v>41510687.229999997</v>
      </c>
      <c r="AA617" s="5">
        <v>4709</v>
      </c>
      <c r="AB617" s="5" t="s">
        <v>85</v>
      </c>
      <c r="AC617" s="5">
        <v>1</v>
      </c>
    </row>
    <row r="618" spans="1:29" x14ac:dyDescent="0.3">
      <c r="A618" s="34">
        <v>46274</v>
      </c>
      <c r="B618" s="34">
        <v>46274</v>
      </c>
      <c r="C618" s="5" t="s">
        <v>78</v>
      </c>
      <c r="D618" s="5" t="s">
        <v>79</v>
      </c>
      <c r="E618" s="5" t="s">
        <v>80</v>
      </c>
      <c r="F618" s="5">
        <v>9362</v>
      </c>
      <c r="G618" s="5" t="s">
        <v>1947</v>
      </c>
      <c r="H618" s="5" t="s">
        <v>1948</v>
      </c>
      <c r="I618" s="5" t="s">
        <v>212</v>
      </c>
      <c r="N618" s="5" t="s">
        <v>1949</v>
      </c>
      <c r="O618" s="5">
        <v>217</v>
      </c>
      <c r="P618" s="5">
        <v>218</v>
      </c>
      <c r="Q618" s="5">
        <v>214.5</v>
      </c>
      <c r="R618" s="5">
        <v>214.86</v>
      </c>
      <c r="S618" s="5">
        <v>214.55</v>
      </c>
      <c r="T618" s="5">
        <v>216.81</v>
      </c>
      <c r="V618" s="5">
        <v>214.85</v>
      </c>
      <c r="Y618" s="5">
        <v>324376</v>
      </c>
      <c r="Z618" s="5">
        <v>69992218.299999997</v>
      </c>
      <c r="AA618" s="5">
        <v>7114</v>
      </c>
      <c r="AB618" s="5" t="s">
        <v>85</v>
      </c>
      <c r="AC618" s="5">
        <v>1</v>
      </c>
    </row>
    <row r="619" spans="1:29" x14ac:dyDescent="0.3">
      <c r="A619" s="34">
        <v>46274</v>
      </c>
      <c r="B619" s="34">
        <v>46274</v>
      </c>
      <c r="C619" s="5" t="s">
        <v>78</v>
      </c>
      <c r="D619" s="5" t="s">
        <v>79</v>
      </c>
      <c r="E619" s="5" t="s">
        <v>80</v>
      </c>
      <c r="F619" s="5">
        <v>583</v>
      </c>
      <c r="G619" s="5" t="s">
        <v>1950</v>
      </c>
      <c r="H619" s="5" t="s">
        <v>1951</v>
      </c>
      <c r="I619" s="5" t="s">
        <v>212</v>
      </c>
      <c r="N619" s="5" t="s">
        <v>1952</v>
      </c>
      <c r="O619" s="5">
        <v>797.6</v>
      </c>
      <c r="P619" s="5">
        <v>804.65</v>
      </c>
      <c r="Q619" s="5">
        <v>785</v>
      </c>
      <c r="R619" s="5">
        <v>786.9</v>
      </c>
      <c r="S619" s="5">
        <v>786.75</v>
      </c>
      <c r="T619" s="5">
        <v>797.6</v>
      </c>
      <c r="V619" s="5">
        <v>786.93</v>
      </c>
      <c r="Y619" s="5">
        <v>225807</v>
      </c>
      <c r="Z619" s="5">
        <v>179269287.94999999</v>
      </c>
      <c r="AA619" s="5">
        <v>13692</v>
      </c>
      <c r="AB619" s="5" t="s">
        <v>85</v>
      </c>
      <c r="AC619" s="5">
        <v>1</v>
      </c>
    </row>
    <row r="620" spans="1:29" x14ac:dyDescent="0.3">
      <c r="A620" s="34">
        <v>46274</v>
      </c>
      <c r="B620" s="34">
        <v>46274</v>
      </c>
      <c r="C620" s="5" t="s">
        <v>78</v>
      </c>
      <c r="D620" s="5" t="s">
        <v>79</v>
      </c>
      <c r="E620" s="5" t="s">
        <v>80</v>
      </c>
      <c r="F620" s="5">
        <v>10794</v>
      </c>
      <c r="G620" s="5" t="s">
        <v>1953</v>
      </c>
      <c r="H620" s="5" t="s">
        <v>1954</v>
      </c>
      <c r="I620" s="5" t="s">
        <v>212</v>
      </c>
      <c r="N620" s="5" t="s">
        <v>1955</v>
      </c>
      <c r="O620" s="5">
        <v>124.42</v>
      </c>
      <c r="P620" s="5">
        <v>125.38</v>
      </c>
      <c r="Q620" s="5">
        <v>124.04</v>
      </c>
      <c r="R620" s="5">
        <v>124.08</v>
      </c>
      <c r="S620" s="5">
        <v>124.08</v>
      </c>
      <c r="T620" s="5">
        <v>124.68</v>
      </c>
      <c r="V620" s="5">
        <v>124.08</v>
      </c>
      <c r="Y620" s="5">
        <v>9338510</v>
      </c>
      <c r="Z620" s="5">
        <v>1164744668.8800001</v>
      </c>
      <c r="AA620" s="5">
        <v>48799</v>
      </c>
      <c r="AB620" s="5" t="s">
        <v>85</v>
      </c>
      <c r="AC620" s="5">
        <v>1</v>
      </c>
    </row>
    <row r="621" spans="1:29" x14ac:dyDescent="0.3">
      <c r="A621" s="34">
        <v>46274</v>
      </c>
      <c r="B621" s="34">
        <v>46274</v>
      </c>
      <c r="C621" s="5" t="s">
        <v>78</v>
      </c>
      <c r="D621" s="5" t="s">
        <v>79</v>
      </c>
      <c r="E621" s="5" t="s">
        <v>80</v>
      </c>
      <c r="F621" s="5">
        <v>759477</v>
      </c>
      <c r="G621" s="5" t="s">
        <v>1956</v>
      </c>
      <c r="H621" s="5" t="s">
        <v>1957</v>
      </c>
      <c r="I621" s="5" t="s">
        <v>212</v>
      </c>
      <c r="N621" s="5" t="s">
        <v>1958</v>
      </c>
      <c r="O621" s="5">
        <v>153.5</v>
      </c>
      <c r="P621" s="5">
        <v>154.12</v>
      </c>
      <c r="Q621" s="5">
        <v>148.1</v>
      </c>
      <c r="R621" s="5">
        <v>149.49</v>
      </c>
      <c r="S621" s="5">
        <v>148.6</v>
      </c>
      <c r="T621" s="5">
        <v>154.16</v>
      </c>
      <c r="V621" s="5">
        <v>149.5</v>
      </c>
      <c r="Y621" s="5">
        <v>641692</v>
      </c>
      <c r="Z621" s="5">
        <v>96479070.700000003</v>
      </c>
      <c r="AA621" s="5">
        <v>11729</v>
      </c>
      <c r="AB621" s="5" t="s">
        <v>85</v>
      </c>
      <c r="AC621" s="5">
        <v>1</v>
      </c>
    </row>
    <row r="622" spans="1:29" x14ac:dyDescent="0.3">
      <c r="A622" s="34">
        <v>46274</v>
      </c>
      <c r="B622" s="34">
        <v>46274</v>
      </c>
      <c r="C622" s="5" t="s">
        <v>78</v>
      </c>
      <c r="D622" s="5" t="s">
        <v>79</v>
      </c>
      <c r="E622" s="5" t="s">
        <v>80</v>
      </c>
      <c r="F622" s="5">
        <v>759311</v>
      </c>
      <c r="G622" s="5" t="s">
        <v>1959</v>
      </c>
      <c r="H622" s="5" t="s">
        <v>1960</v>
      </c>
      <c r="I622" s="5" t="s">
        <v>212</v>
      </c>
      <c r="N622" s="5" t="s">
        <v>1961</v>
      </c>
      <c r="O622" s="5">
        <v>241.25</v>
      </c>
      <c r="P622" s="5">
        <v>243.6</v>
      </c>
      <c r="Q622" s="5">
        <v>236.85</v>
      </c>
      <c r="R622" s="5">
        <v>238.7</v>
      </c>
      <c r="S622" s="5">
        <v>238.5</v>
      </c>
      <c r="T622" s="5">
        <v>242.25</v>
      </c>
      <c r="V622" s="5">
        <v>238.7</v>
      </c>
      <c r="Y622" s="5">
        <v>573528</v>
      </c>
      <c r="Z622" s="5">
        <v>136825650.65000001</v>
      </c>
      <c r="AA622" s="5">
        <v>12806</v>
      </c>
      <c r="AB622" s="5" t="s">
        <v>85</v>
      </c>
      <c r="AC622" s="5">
        <v>1</v>
      </c>
    </row>
    <row r="623" spans="1:29" x14ac:dyDescent="0.3">
      <c r="A623" s="34">
        <v>46274</v>
      </c>
      <c r="B623" s="34">
        <v>46274</v>
      </c>
      <c r="C623" s="5" t="s">
        <v>78</v>
      </c>
      <c r="D623" s="5" t="s">
        <v>79</v>
      </c>
      <c r="E623" s="5" t="s">
        <v>80</v>
      </c>
      <c r="F623" s="5">
        <v>19368</v>
      </c>
      <c r="G623" s="5" t="s">
        <v>1962</v>
      </c>
      <c r="H623" s="5" t="s">
        <v>1963</v>
      </c>
      <c r="I623" s="5" t="s">
        <v>313</v>
      </c>
      <c r="N623" s="5" t="s">
        <v>1964</v>
      </c>
      <c r="O623" s="5">
        <v>24.25</v>
      </c>
      <c r="P623" s="5">
        <v>25.3</v>
      </c>
      <c r="Q623" s="5">
        <v>23.4</v>
      </c>
      <c r="R623" s="5">
        <v>23.4</v>
      </c>
      <c r="S623" s="5">
        <v>23.4</v>
      </c>
      <c r="T623" s="5">
        <v>24.9</v>
      </c>
      <c r="V623" s="5">
        <v>23.4</v>
      </c>
      <c r="Y623" s="5">
        <v>44000</v>
      </c>
      <c r="Z623" s="5">
        <v>1057800</v>
      </c>
      <c r="AA623" s="5">
        <v>10</v>
      </c>
      <c r="AB623" s="5" t="s">
        <v>85</v>
      </c>
      <c r="AC623" s="5">
        <v>4000</v>
      </c>
    </row>
    <row r="624" spans="1:29" x14ac:dyDescent="0.3">
      <c r="A624" s="34">
        <v>46274</v>
      </c>
      <c r="B624" s="34">
        <v>46274</v>
      </c>
      <c r="C624" s="5" t="s">
        <v>78</v>
      </c>
      <c r="D624" s="5" t="s">
        <v>79</v>
      </c>
      <c r="E624" s="5" t="s">
        <v>80</v>
      </c>
      <c r="F624" s="5">
        <v>20160</v>
      </c>
      <c r="G624" s="5" t="s">
        <v>1965</v>
      </c>
      <c r="H624" s="5" t="s">
        <v>1966</v>
      </c>
      <c r="I624" s="5" t="s">
        <v>212</v>
      </c>
      <c r="N624" s="5" t="s">
        <v>1967</v>
      </c>
      <c r="O624" s="5">
        <v>236.87</v>
      </c>
      <c r="P624" s="5">
        <v>240.9</v>
      </c>
      <c r="Q624" s="5">
        <v>233.5</v>
      </c>
      <c r="R624" s="5">
        <v>238.8</v>
      </c>
      <c r="S624" s="5">
        <v>237.8</v>
      </c>
      <c r="T624" s="5">
        <v>236.87</v>
      </c>
      <c r="V624" s="5">
        <v>238.78</v>
      </c>
      <c r="Y624" s="5">
        <v>127507</v>
      </c>
      <c r="Z624" s="5">
        <v>30263719.379999999</v>
      </c>
      <c r="AA624" s="5">
        <v>2116</v>
      </c>
      <c r="AB624" s="5" t="s">
        <v>85</v>
      </c>
      <c r="AC624" s="5">
        <v>1</v>
      </c>
    </row>
    <row r="625" spans="1:29" x14ac:dyDescent="0.3">
      <c r="A625" s="34">
        <v>46274</v>
      </c>
      <c r="B625" s="34">
        <v>46274</v>
      </c>
      <c r="C625" s="5" t="s">
        <v>78</v>
      </c>
      <c r="D625" s="5" t="s">
        <v>79</v>
      </c>
      <c r="E625" s="5" t="s">
        <v>80</v>
      </c>
      <c r="F625" s="5">
        <v>21749</v>
      </c>
      <c r="G625" s="5" t="s">
        <v>1968</v>
      </c>
      <c r="H625" s="5" t="s">
        <v>1969</v>
      </c>
      <c r="I625" s="5" t="s">
        <v>212</v>
      </c>
      <c r="N625" s="5" t="s">
        <v>1970</v>
      </c>
      <c r="O625" s="5">
        <v>199.72</v>
      </c>
      <c r="P625" s="5">
        <v>200.58</v>
      </c>
      <c r="Q625" s="5">
        <v>194.9</v>
      </c>
      <c r="R625" s="5">
        <v>199.59</v>
      </c>
      <c r="S625" s="5">
        <v>199.75</v>
      </c>
      <c r="T625" s="5">
        <v>199.72</v>
      </c>
      <c r="V625" s="5">
        <v>199.59</v>
      </c>
      <c r="Y625" s="5">
        <v>444240</v>
      </c>
      <c r="Z625" s="5">
        <v>87592749.579999998</v>
      </c>
      <c r="AA625" s="5">
        <v>7188</v>
      </c>
      <c r="AB625" s="5" t="s">
        <v>85</v>
      </c>
      <c r="AC625" s="5">
        <v>1</v>
      </c>
    </row>
    <row r="626" spans="1:29" x14ac:dyDescent="0.3">
      <c r="A626" s="34">
        <v>46274</v>
      </c>
      <c r="B626" s="34">
        <v>46274</v>
      </c>
      <c r="C626" s="5" t="s">
        <v>78</v>
      </c>
      <c r="D626" s="5" t="s">
        <v>79</v>
      </c>
      <c r="E626" s="5" t="s">
        <v>80</v>
      </c>
      <c r="F626" s="5">
        <v>759867</v>
      </c>
      <c r="G626" s="5" t="s">
        <v>1971</v>
      </c>
      <c r="H626" s="5" t="s">
        <v>1972</v>
      </c>
      <c r="I626" s="5" t="s">
        <v>212</v>
      </c>
      <c r="N626" s="5" t="s">
        <v>1973</v>
      </c>
      <c r="O626" s="5">
        <v>461.75</v>
      </c>
      <c r="P626" s="5">
        <v>462.9</v>
      </c>
      <c r="Q626" s="5">
        <v>438.15</v>
      </c>
      <c r="R626" s="5">
        <v>460.3</v>
      </c>
      <c r="S626" s="5">
        <v>460.5</v>
      </c>
      <c r="T626" s="5">
        <v>460.55</v>
      </c>
      <c r="V626" s="5">
        <v>460.28</v>
      </c>
      <c r="Y626" s="5">
        <v>419478</v>
      </c>
      <c r="Z626" s="5">
        <v>189867528.34999999</v>
      </c>
      <c r="AA626" s="5">
        <v>16614</v>
      </c>
      <c r="AB626" s="5" t="s">
        <v>85</v>
      </c>
      <c r="AC626" s="5">
        <v>1</v>
      </c>
    </row>
    <row r="627" spans="1:29" x14ac:dyDescent="0.3">
      <c r="A627" s="34">
        <v>46274</v>
      </c>
      <c r="B627" s="34">
        <v>46274</v>
      </c>
      <c r="C627" s="5" t="s">
        <v>78</v>
      </c>
      <c r="D627" s="5" t="s">
        <v>79</v>
      </c>
      <c r="E627" s="5" t="s">
        <v>80</v>
      </c>
      <c r="F627" s="5">
        <v>756015</v>
      </c>
      <c r="G627" s="5" t="s">
        <v>1974</v>
      </c>
      <c r="H627" s="5" t="s">
        <v>1975</v>
      </c>
      <c r="I627" s="5" t="s">
        <v>212</v>
      </c>
      <c r="N627" s="5" t="s">
        <v>1976</v>
      </c>
      <c r="O627" s="5">
        <v>20.49</v>
      </c>
      <c r="P627" s="5">
        <v>20.49</v>
      </c>
      <c r="Q627" s="5">
        <v>19.899999999999999</v>
      </c>
      <c r="R627" s="5">
        <v>20.12</v>
      </c>
      <c r="S627" s="5">
        <v>19.98</v>
      </c>
      <c r="T627" s="5">
        <v>20.16</v>
      </c>
      <c r="V627" s="5">
        <v>20.12</v>
      </c>
      <c r="Y627" s="5">
        <v>95857</v>
      </c>
      <c r="Z627" s="5">
        <v>1928913.37</v>
      </c>
      <c r="AA627" s="5">
        <v>637</v>
      </c>
      <c r="AB627" s="5" t="s">
        <v>85</v>
      </c>
      <c r="AC627" s="5">
        <v>1</v>
      </c>
    </row>
    <row r="628" spans="1:29" x14ac:dyDescent="0.3">
      <c r="A628" s="34">
        <v>46274</v>
      </c>
      <c r="B628" s="34">
        <v>46274</v>
      </c>
      <c r="C628" s="5" t="s">
        <v>78</v>
      </c>
      <c r="D628" s="5" t="s">
        <v>79</v>
      </c>
      <c r="E628" s="5" t="s">
        <v>80</v>
      </c>
      <c r="F628" s="5">
        <v>29157</v>
      </c>
      <c r="G628" s="5" t="s">
        <v>1977</v>
      </c>
      <c r="H628" s="5" t="s">
        <v>1978</v>
      </c>
      <c r="I628" s="5" t="s">
        <v>822</v>
      </c>
      <c r="N628" s="5" t="s">
        <v>1979</v>
      </c>
      <c r="O628" s="5">
        <v>76</v>
      </c>
      <c r="P628" s="5">
        <v>76.97</v>
      </c>
      <c r="Q628" s="5">
        <v>75.790000000000006</v>
      </c>
      <c r="R628" s="5">
        <v>75.84</v>
      </c>
      <c r="S628" s="5">
        <v>75.87</v>
      </c>
      <c r="T628" s="5">
        <v>75.88</v>
      </c>
      <c r="V628" s="5">
        <v>75.84</v>
      </c>
      <c r="Y628" s="5">
        <v>335291</v>
      </c>
      <c r="Z628" s="5">
        <v>25524149.48</v>
      </c>
      <c r="AA628" s="5">
        <v>1936</v>
      </c>
      <c r="AB628" s="5" t="s">
        <v>85</v>
      </c>
      <c r="AC628" s="5">
        <v>1</v>
      </c>
    </row>
    <row r="629" spans="1:29" x14ac:dyDescent="0.3">
      <c r="A629" s="34">
        <v>46274</v>
      </c>
      <c r="B629" s="34">
        <v>46274</v>
      </c>
      <c r="C629" s="5" t="s">
        <v>78</v>
      </c>
      <c r="D629" s="5" t="s">
        <v>79</v>
      </c>
      <c r="E629" s="5" t="s">
        <v>80</v>
      </c>
      <c r="F629" s="5">
        <v>22675</v>
      </c>
      <c r="G629" s="5" t="s">
        <v>1980</v>
      </c>
      <c r="H629" s="5" t="s">
        <v>1981</v>
      </c>
      <c r="I629" s="5" t="s">
        <v>212</v>
      </c>
      <c r="N629" s="5" t="s">
        <v>1982</v>
      </c>
      <c r="O629" s="5">
        <v>280</v>
      </c>
      <c r="P629" s="5">
        <v>280.95</v>
      </c>
      <c r="Q629" s="5">
        <v>276.45</v>
      </c>
      <c r="R629" s="5">
        <v>279.39999999999998</v>
      </c>
      <c r="S629" s="5">
        <v>280.14999999999998</v>
      </c>
      <c r="T629" s="5">
        <v>277</v>
      </c>
      <c r="V629" s="5">
        <v>279.47000000000003</v>
      </c>
      <c r="Y629" s="5">
        <v>14170</v>
      </c>
      <c r="Z629" s="5">
        <v>3954263</v>
      </c>
      <c r="AA629" s="5">
        <v>754</v>
      </c>
      <c r="AB629" s="5" t="s">
        <v>85</v>
      </c>
      <c r="AC629" s="5">
        <v>1</v>
      </c>
    </row>
    <row r="630" spans="1:29" x14ac:dyDescent="0.3">
      <c r="A630" s="34">
        <v>46274</v>
      </c>
      <c r="B630" s="34">
        <v>46274</v>
      </c>
      <c r="C630" s="5" t="s">
        <v>78</v>
      </c>
      <c r="D630" s="5" t="s">
        <v>79</v>
      </c>
      <c r="E630" s="5" t="s">
        <v>80</v>
      </c>
      <c r="F630" s="5">
        <v>19451</v>
      </c>
      <c r="G630" s="5" t="s">
        <v>1983</v>
      </c>
      <c r="H630" s="5" t="s">
        <v>1984</v>
      </c>
      <c r="I630" s="5" t="s">
        <v>234</v>
      </c>
      <c r="N630" s="5" t="s">
        <v>1985</v>
      </c>
      <c r="O630" s="5">
        <v>19.5</v>
      </c>
      <c r="P630" s="5">
        <v>19.5</v>
      </c>
      <c r="Q630" s="5">
        <v>18.5</v>
      </c>
      <c r="R630" s="5">
        <v>18.920000000000002</v>
      </c>
      <c r="S630" s="5">
        <v>19.09</v>
      </c>
      <c r="T630" s="5">
        <v>19.47</v>
      </c>
      <c r="V630" s="5">
        <v>18.920000000000002</v>
      </c>
      <c r="Y630" s="5">
        <v>36907</v>
      </c>
      <c r="Z630" s="5">
        <v>691867.35</v>
      </c>
      <c r="AA630" s="5">
        <v>130</v>
      </c>
      <c r="AB630" s="5" t="s">
        <v>85</v>
      </c>
      <c r="AC630" s="5">
        <v>1</v>
      </c>
    </row>
    <row r="631" spans="1:29" x14ac:dyDescent="0.3">
      <c r="A631" s="34">
        <v>46274</v>
      </c>
      <c r="B631" s="34">
        <v>46274</v>
      </c>
      <c r="C631" s="5" t="s">
        <v>78</v>
      </c>
      <c r="D631" s="5" t="s">
        <v>79</v>
      </c>
      <c r="E631" s="5" t="s">
        <v>80</v>
      </c>
      <c r="F631" s="5">
        <v>3906</v>
      </c>
      <c r="G631" s="5" t="s">
        <v>1986</v>
      </c>
      <c r="H631" s="5" t="s">
        <v>1987</v>
      </c>
      <c r="I631" s="5" t="s">
        <v>212</v>
      </c>
      <c r="N631" s="5" t="s">
        <v>1988</v>
      </c>
      <c r="O631" s="5">
        <v>2789.9</v>
      </c>
      <c r="P631" s="5">
        <v>2798.9</v>
      </c>
      <c r="Q631" s="5">
        <v>2707.7</v>
      </c>
      <c r="R631" s="5">
        <v>2723.1</v>
      </c>
      <c r="S631" s="5">
        <v>2713.1</v>
      </c>
      <c r="T631" s="5">
        <v>2770.1</v>
      </c>
      <c r="V631" s="5">
        <v>2723.57</v>
      </c>
      <c r="Y631" s="5">
        <v>117200</v>
      </c>
      <c r="Z631" s="5">
        <v>321013766.69999999</v>
      </c>
      <c r="AA631" s="5">
        <v>14585</v>
      </c>
      <c r="AB631" s="5" t="s">
        <v>85</v>
      </c>
      <c r="AC631" s="5">
        <v>1</v>
      </c>
    </row>
    <row r="632" spans="1:29" x14ac:dyDescent="0.3">
      <c r="A632" s="34">
        <v>46274</v>
      </c>
      <c r="B632" s="34">
        <v>46274</v>
      </c>
      <c r="C632" s="5" t="s">
        <v>78</v>
      </c>
      <c r="D632" s="5" t="s">
        <v>79</v>
      </c>
      <c r="E632" s="5" t="s">
        <v>80</v>
      </c>
      <c r="F632" s="5">
        <v>20329</v>
      </c>
      <c r="G632" s="5" t="s">
        <v>1989</v>
      </c>
      <c r="H632" s="5" t="s">
        <v>1990</v>
      </c>
      <c r="I632" s="5" t="s">
        <v>212</v>
      </c>
      <c r="N632" s="5" t="s">
        <v>1991</v>
      </c>
      <c r="O632" s="5">
        <v>270</v>
      </c>
      <c r="P632" s="5">
        <v>274.10000000000002</v>
      </c>
      <c r="Q632" s="5">
        <v>267.89999999999998</v>
      </c>
      <c r="R632" s="5">
        <v>272.39999999999998</v>
      </c>
      <c r="S632" s="5">
        <v>272.45</v>
      </c>
      <c r="T632" s="5">
        <v>270.75</v>
      </c>
      <c r="V632" s="5">
        <v>272.39999999999998</v>
      </c>
      <c r="Y632" s="5">
        <v>3036249</v>
      </c>
      <c r="Z632" s="5">
        <v>822507418.60000002</v>
      </c>
      <c r="AA632" s="5">
        <v>26196</v>
      </c>
      <c r="AB632" s="5" t="s">
        <v>85</v>
      </c>
      <c r="AC632" s="5">
        <v>1</v>
      </c>
    </row>
    <row r="633" spans="1:29" x14ac:dyDescent="0.3">
      <c r="A633" s="34">
        <v>46274</v>
      </c>
      <c r="B633" s="34">
        <v>46274</v>
      </c>
      <c r="C633" s="5" t="s">
        <v>78</v>
      </c>
      <c r="D633" s="5" t="s">
        <v>79</v>
      </c>
      <c r="E633" s="5" t="s">
        <v>80</v>
      </c>
      <c r="F633" s="5">
        <v>764203</v>
      </c>
      <c r="G633" s="5" t="s">
        <v>1992</v>
      </c>
      <c r="H633" s="5" t="s">
        <v>1993</v>
      </c>
      <c r="I633" s="5" t="s">
        <v>212</v>
      </c>
      <c r="N633" s="5" t="s">
        <v>1994</v>
      </c>
      <c r="O633" s="5">
        <v>66.78</v>
      </c>
      <c r="P633" s="5">
        <v>68.489999999999995</v>
      </c>
      <c r="Q633" s="5">
        <v>65.52</v>
      </c>
      <c r="R633" s="5">
        <v>67.81</v>
      </c>
      <c r="S633" s="5">
        <v>67.5</v>
      </c>
      <c r="T633" s="5">
        <v>66.78</v>
      </c>
      <c r="V633" s="5">
        <v>67.81</v>
      </c>
      <c r="Y633" s="5">
        <v>133934</v>
      </c>
      <c r="Z633" s="5">
        <v>9004221.6099999994</v>
      </c>
      <c r="AA633" s="5">
        <v>711</v>
      </c>
      <c r="AB633" s="5" t="s">
        <v>85</v>
      </c>
      <c r="AC633" s="5">
        <v>1</v>
      </c>
    </row>
    <row r="634" spans="1:29" x14ac:dyDescent="0.3">
      <c r="A634" s="34">
        <v>46274</v>
      </c>
      <c r="B634" s="34">
        <v>46274</v>
      </c>
      <c r="C634" s="5" t="s">
        <v>78</v>
      </c>
      <c r="D634" s="5" t="s">
        <v>79</v>
      </c>
      <c r="E634" s="5" t="s">
        <v>80</v>
      </c>
      <c r="F634" s="5">
        <v>595</v>
      </c>
      <c r="G634" s="5" t="s">
        <v>1995</v>
      </c>
      <c r="H634" s="5" t="s">
        <v>1996</v>
      </c>
      <c r="I634" s="5" t="s">
        <v>212</v>
      </c>
      <c r="N634" s="5" t="s">
        <v>1997</v>
      </c>
      <c r="O634" s="5">
        <v>1106</v>
      </c>
      <c r="P634" s="5">
        <v>1106</v>
      </c>
      <c r="Q634" s="5">
        <v>1080.7</v>
      </c>
      <c r="R634" s="5">
        <v>1094.0999999999999</v>
      </c>
      <c r="S634" s="5">
        <v>1093</v>
      </c>
      <c r="T634" s="5">
        <v>1095.9000000000001</v>
      </c>
      <c r="V634" s="5">
        <v>1094.1400000000001</v>
      </c>
      <c r="Y634" s="5">
        <v>86399</v>
      </c>
      <c r="Z634" s="5">
        <v>94201229.5</v>
      </c>
      <c r="AA634" s="5">
        <v>8528</v>
      </c>
      <c r="AB634" s="5" t="s">
        <v>85</v>
      </c>
      <c r="AC634" s="5">
        <v>1</v>
      </c>
    </row>
    <row r="635" spans="1:29" x14ac:dyDescent="0.3">
      <c r="A635" s="34">
        <v>46274</v>
      </c>
      <c r="B635" s="34">
        <v>46274</v>
      </c>
      <c r="C635" s="5" t="s">
        <v>78</v>
      </c>
      <c r="D635" s="5" t="s">
        <v>79</v>
      </c>
      <c r="E635" s="5" t="s">
        <v>80</v>
      </c>
      <c r="F635" s="5">
        <v>29113</v>
      </c>
      <c r="G635" s="5" t="s">
        <v>1998</v>
      </c>
      <c r="H635" s="5" t="s">
        <v>1999</v>
      </c>
      <c r="I635" s="5" t="s">
        <v>212</v>
      </c>
      <c r="N635" s="5" t="s">
        <v>2000</v>
      </c>
      <c r="O635" s="5">
        <v>1735.7</v>
      </c>
      <c r="P635" s="5">
        <v>1737</v>
      </c>
      <c r="Q635" s="5">
        <v>1705.1</v>
      </c>
      <c r="R635" s="5">
        <v>1724.6</v>
      </c>
      <c r="S635" s="5">
        <v>1728.9</v>
      </c>
      <c r="T635" s="5">
        <v>1721.1</v>
      </c>
      <c r="V635" s="5">
        <v>1724.68</v>
      </c>
      <c r="Y635" s="5">
        <v>27226</v>
      </c>
      <c r="Z635" s="5">
        <v>46859373.799999997</v>
      </c>
      <c r="AA635" s="5">
        <v>5401</v>
      </c>
      <c r="AB635" s="5" t="s">
        <v>85</v>
      </c>
      <c r="AC635" s="5">
        <v>1</v>
      </c>
    </row>
    <row r="636" spans="1:29" x14ac:dyDescent="0.3">
      <c r="A636" s="34">
        <v>46274</v>
      </c>
      <c r="B636" s="34">
        <v>46274</v>
      </c>
      <c r="C636" s="5" t="s">
        <v>78</v>
      </c>
      <c r="D636" s="5" t="s">
        <v>79</v>
      </c>
      <c r="E636" s="5" t="s">
        <v>80</v>
      </c>
      <c r="F636" s="5">
        <v>758941</v>
      </c>
      <c r="G636" s="5" t="s">
        <v>2001</v>
      </c>
      <c r="H636" s="5" t="s">
        <v>2002</v>
      </c>
      <c r="I636" s="5" t="s">
        <v>212</v>
      </c>
      <c r="N636" s="5" t="s">
        <v>2003</v>
      </c>
      <c r="O636" s="5">
        <v>192</v>
      </c>
      <c r="P636" s="5">
        <v>195</v>
      </c>
      <c r="Q636" s="5">
        <v>190</v>
      </c>
      <c r="R636" s="5">
        <v>190.18</v>
      </c>
      <c r="S636" s="5">
        <v>190</v>
      </c>
      <c r="T636" s="5">
        <v>191.35</v>
      </c>
      <c r="V636" s="5">
        <v>190.17</v>
      </c>
      <c r="Y636" s="5">
        <v>1441</v>
      </c>
      <c r="Z636" s="5">
        <v>274631.40000000002</v>
      </c>
      <c r="AA636" s="5">
        <v>66</v>
      </c>
      <c r="AB636" s="5" t="s">
        <v>85</v>
      </c>
      <c r="AC636" s="5">
        <v>1</v>
      </c>
    </row>
    <row r="637" spans="1:29" x14ac:dyDescent="0.3">
      <c r="A637" s="34">
        <v>46274</v>
      </c>
      <c r="B637" s="34">
        <v>46274</v>
      </c>
      <c r="C637" s="5" t="s">
        <v>78</v>
      </c>
      <c r="D637" s="5" t="s">
        <v>79</v>
      </c>
      <c r="E637" s="5" t="s">
        <v>80</v>
      </c>
      <c r="F637" s="5">
        <v>28879</v>
      </c>
      <c r="G637" s="5" t="s">
        <v>2004</v>
      </c>
      <c r="H637" s="5" t="s">
        <v>2005</v>
      </c>
      <c r="I637" s="5" t="s">
        <v>212</v>
      </c>
      <c r="N637" s="5" t="s">
        <v>2006</v>
      </c>
      <c r="O637" s="5">
        <v>542.79999999999995</v>
      </c>
      <c r="P637" s="5">
        <v>542.79999999999995</v>
      </c>
      <c r="Q637" s="5">
        <v>533.65</v>
      </c>
      <c r="R637" s="5">
        <v>538.85</v>
      </c>
      <c r="S637" s="5">
        <v>538.79999999999995</v>
      </c>
      <c r="T637" s="5">
        <v>538.85</v>
      </c>
      <c r="V637" s="5">
        <v>538.87</v>
      </c>
      <c r="Y637" s="5">
        <v>48909</v>
      </c>
      <c r="Z637" s="5">
        <v>26315564.25</v>
      </c>
      <c r="AA637" s="5">
        <v>3366</v>
      </c>
      <c r="AB637" s="5" t="s">
        <v>85</v>
      </c>
      <c r="AC637" s="5">
        <v>1</v>
      </c>
    </row>
    <row r="638" spans="1:29" x14ac:dyDescent="0.3">
      <c r="A638" s="34">
        <v>46274</v>
      </c>
      <c r="B638" s="34">
        <v>46274</v>
      </c>
      <c r="C638" s="5" t="s">
        <v>78</v>
      </c>
      <c r="D638" s="5" t="s">
        <v>79</v>
      </c>
      <c r="E638" s="5" t="s">
        <v>80</v>
      </c>
      <c r="F638" s="5">
        <v>5407</v>
      </c>
      <c r="G638" s="5" t="s">
        <v>2007</v>
      </c>
      <c r="H638" s="5" t="s">
        <v>2008</v>
      </c>
      <c r="I638" s="5" t="s">
        <v>212</v>
      </c>
      <c r="N638" s="5" t="s">
        <v>2009</v>
      </c>
      <c r="O638" s="5">
        <v>3157.4</v>
      </c>
      <c r="P638" s="5">
        <v>3167.4</v>
      </c>
      <c r="Q638" s="5">
        <v>3011</v>
      </c>
      <c r="R638" s="5">
        <v>3027.1</v>
      </c>
      <c r="S638" s="5">
        <v>3019</v>
      </c>
      <c r="T638" s="5">
        <v>3176.7</v>
      </c>
      <c r="V638" s="5">
        <v>3027.21</v>
      </c>
      <c r="Y638" s="5">
        <v>261277</v>
      </c>
      <c r="Z638" s="5">
        <v>802335150.39999998</v>
      </c>
      <c r="AA638" s="5">
        <v>31218</v>
      </c>
      <c r="AB638" s="5" t="s">
        <v>85</v>
      </c>
      <c r="AC638" s="5">
        <v>1</v>
      </c>
    </row>
    <row r="639" spans="1:29" x14ac:dyDescent="0.3">
      <c r="A639" s="34">
        <v>46274</v>
      </c>
      <c r="B639" s="34">
        <v>46274</v>
      </c>
      <c r="C639" s="5" t="s">
        <v>78</v>
      </c>
      <c r="D639" s="5" t="s">
        <v>79</v>
      </c>
      <c r="E639" s="5" t="s">
        <v>80</v>
      </c>
      <c r="F639" s="5">
        <v>1879</v>
      </c>
      <c r="G639" s="5" t="s">
        <v>2010</v>
      </c>
      <c r="H639" s="5" t="s">
        <v>2011</v>
      </c>
      <c r="I639" s="5" t="s">
        <v>212</v>
      </c>
      <c r="N639" s="5" t="s">
        <v>2012</v>
      </c>
      <c r="O639" s="5">
        <v>1163.5</v>
      </c>
      <c r="P639" s="5">
        <v>1188.9000000000001</v>
      </c>
      <c r="Q639" s="5">
        <v>1156</v>
      </c>
      <c r="R639" s="5">
        <v>1180.3</v>
      </c>
      <c r="S639" s="5">
        <v>1181.5999999999999</v>
      </c>
      <c r="T639" s="5">
        <v>1155</v>
      </c>
      <c r="V639" s="5">
        <v>1180.28</v>
      </c>
      <c r="Y639" s="5">
        <v>113525</v>
      </c>
      <c r="Z639" s="5">
        <v>133437745.09999999</v>
      </c>
      <c r="AA639" s="5">
        <v>7943</v>
      </c>
      <c r="AB639" s="5" t="s">
        <v>85</v>
      </c>
      <c r="AC639" s="5">
        <v>1</v>
      </c>
    </row>
    <row r="640" spans="1:29" x14ac:dyDescent="0.3">
      <c r="A640" s="34">
        <v>46274</v>
      </c>
      <c r="B640" s="34">
        <v>46274</v>
      </c>
      <c r="C640" s="5" t="s">
        <v>78</v>
      </c>
      <c r="D640" s="5" t="s">
        <v>79</v>
      </c>
      <c r="E640" s="5" t="s">
        <v>80</v>
      </c>
      <c r="F640" s="5">
        <v>758129</v>
      </c>
      <c r="G640" s="5" t="s">
        <v>2013</v>
      </c>
      <c r="H640" s="5" t="s">
        <v>2014</v>
      </c>
      <c r="I640" s="5" t="s">
        <v>313</v>
      </c>
      <c r="N640" s="5" t="s">
        <v>2015</v>
      </c>
      <c r="O640" s="5">
        <v>100.9</v>
      </c>
      <c r="P640" s="5">
        <v>110.75</v>
      </c>
      <c r="Q640" s="5">
        <v>100.9</v>
      </c>
      <c r="R640" s="5">
        <v>107.45</v>
      </c>
      <c r="S640" s="5">
        <v>105</v>
      </c>
      <c r="T640" s="5">
        <v>103.45</v>
      </c>
      <c r="V640" s="5">
        <v>107.45</v>
      </c>
      <c r="Y640" s="5">
        <v>18000</v>
      </c>
      <c r="Z640" s="5">
        <v>1905550</v>
      </c>
      <c r="AA640" s="5">
        <v>15</v>
      </c>
      <c r="AB640" s="5" t="s">
        <v>85</v>
      </c>
      <c r="AC640" s="5">
        <v>1000</v>
      </c>
    </row>
    <row r="641" spans="1:29" x14ac:dyDescent="0.3">
      <c r="A641" s="34">
        <v>46274</v>
      </c>
      <c r="B641" s="34">
        <v>46274</v>
      </c>
      <c r="C641" s="5" t="s">
        <v>78</v>
      </c>
      <c r="D641" s="5" t="s">
        <v>79</v>
      </c>
      <c r="E641" s="5" t="s">
        <v>80</v>
      </c>
      <c r="F641" s="5">
        <v>1250</v>
      </c>
      <c r="G641" s="5" t="s">
        <v>2016</v>
      </c>
      <c r="H641" s="5" t="s">
        <v>2017</v>
      </c>
      <c r="I641" s="5" t="s">
        <v>212</v>
      </c>
      <c r="N641" s="5" t="s">
        <v>2018</v>
      </c>
      <c r="O641" s="5">
        <v>188.96</v>
      </c>
      <c r="P641" s="5">
        <v>189.9</v>
      </c>
      <c r="Q641" s="5">
        <v>188.3</v>
      </c>
      <c r="R641" s="5">
        <v>189.16</v>
      </c>
      <c r="S641" s="5">
        <v>189</v>
      </c>
      <c r="T641" s="5">
        <v>189.46</v>
      </c>
      <c r="V641" s="5">
        <v>189.16</v>
      </c>
      <c r="Y641" s="5">
        <v>2950116</v>
      </c>
      <c r="Z641" s="5">
        <v>558065542.05999994</v>
      </c>
      <c r="AA641" s="5">
        <v>27433</v>
      </c>
      <c r="AB641" s="5" t="s">
        <v>85</v>
      </c>
      <c r="AC641" s="5">
        <v>1</v>
      </c>
    </row>
    <row r="642" spans="1:29" x14ac:dyDescent="0.3">
      <c r="A642" s="34">
        <v>46274</v>
      </c>
      <c r="B642" s="34">
        <v>46274</v>
      </c>
      <c r="C642" s="5" t="s">
        <v>78</v>
      </c>
      <c r="D642" s="5" t="s">
        <v>79</v>
      </c>
      <c r="E642" s="5" t="s">
        <v>80</v>
      </c>
      <c r="F642" s="5">
        <v>11452</v>
      </c>
      <c r="G642" s="5" t="s">
        <v>2019</v>
      </c>
      <c r="H642" s="5" t="s">
        <v>2020</v>
      </c>
      <c r="I642" s="5" t="s">
        <v>212</v>
      </c>
      <c r="N642" s="5" t="s">
        <v>2021</v>
      </c>
      <c r="O642" s="5">
        <v>1130</v>
      </c>
      <c r="P642" s="5">
        <v>1130</v>
      </c>
      <c r="Q642" s="5">
        <v>1094.0999999999999</v>
      </c>
      <c r="R642" s="5">
        <v>1104.7</v>
      </c>
      <c r="S642" s="5">
        <v>1101.0999999999999</v>
      </c>
      <c r="T642" s="5">
        <v>1130.5999999999999</v>
      </c>
      <c r="V642" s="5">
        <v>1104.69</v>
      </c>
      <c r="Y642" s="5">
        <v>136573</v>
      </c>
      <c r="Z642" s="5">
        <v>150960778.09999999</v>
      </c>
      <c r="AA642" s="5">
        <v>13004</v>
      </c>
      <c r="AB642" s="5" t="s">
        <v>85</v>
      </c>
      <c r="AC642" s="5">
        <v>1</v>
      </c>
    </row>
    <row r="643" spans="1:29" x14ac:dyDescent="0.3">
      <c r="A643" s="34">
        <v>46274</v>
      </c>
      <c r="B643" s="34">
        <v>46274</v>
      </c>
      <c r="C643" s="5" t="s">
        <v>78</v>
      </c>
      <c r="D643" s="5" t="s">
        <v>79</v>
      </c>
      <c r="E643" s="5" t="s">
        <v>80</v>
      </c>
      <c r="F643" s="5">
        <v>15254</v>
      </c>
      <c r="G643" s="5" t="s">
        <v>2022</v>
      </c>
      <c r="H643" s="5" t="s">
        <v>2023</v>
      </c>
      <c r="I643" s="5" t="s">
        <v>212</v>
      </c>
      <c r="N643" s="5" t="s">
        <v>2024</v>
      </c>
      <c r="O643" s="5">
        <v>3302</v>
      </c>
      <c r="P643" s="5">
        <v>3333.5</v>
      </c>
      <c r="Q643" s="5">
        <v>3281</v>
      </c>
      <c r="R643" s="5">
        <v>3293.2</v>
      </c>
      <c r="S643" s="5">
        <v>3291.8</v>
      </c>
      <c r="T643" s="5">
        <v>3313.2</v>
      </c>
      <c r="V643" s="5">
        <v>3293.23</v>
      </c>
      <c r="Y643" s="5">
        <v>61898</v>
      </c>
      <c r="Z643" s="5">
        <v>204378012.09999999</v>
      </c>
      <c r="AA643" s="5">
        <v>11532</v>
      </c>
      <c r="AB643" s="5" t="s">
        <v>85</v>
      </c>
      <c r="AC643" s="5">
        <v>1</v>
      </c>
    </row>
    <row r="644" spans="1:29" x14ac:dyDescent="0.3">
      <c r="A644" s="34">
        <v>46274</v>
      </c>
      <c r="B644" s="34">
        <v>46274</v>
      </c>
      <c r="C644" s="5" t="s">
        <v>78</v>
      </c>
      <c r="D644" s="5" t="s">
        <v>79</v>
      </c>
      <c r="E644" s="5" t="s">
        <v>80</v>
      </c>
      <c r="F644" s="5">
        <v>757690</v>
      </c>
      <c r="G644" s="5" t="s">
        <v>2025</v>
      </c>
      <c r="H644" s="5" t="s">
        <v>2026</v>
      </c>
      <c r="I644" s="5" t="s">
        <v>392</v>
      </c>
      <c r="N644" s="5" t="s">
        <v>2027</v>
      </c>
      <c r="O644" s="5">
        <v>12.75</v>
      </c>
      <c r="P644" s="5">
        <v>13.1</v>
      </c>
      <c r="Q644" s="5">
        <v>12.7</v>
      </c>
      <c r="R644" s="5">
        <v>13.1</v>
      </c>
      <c r="S644" s="5">
        <v>13.1</v>
      </c>
      <c r="T644" s="5">
        <v>13.3</v>
      </c>
      <c r="V644" s="5">
        <v>13.1</v>
      </c>
      <c r="Y644" s="5">
        <v>3000</v>
      </c>
      <c r="Z644" s="5">
        <v>38550</v>
      </c>
      <c r="AA644" s="5">
        <v>3</v>
      </c>
      <c r="AB644" s="5" t="s">
        <v>85</v>
      </c>
      <c r="AC644" s="5">
        <v>1000</v>
      </c>
    </row>
    <row r="645" spans="1:29" x14ac:dyDescent="0.3">
      <c r="A645" s="34">
        <v>46274</v>
      </c>
      <c r="B645" s="34">
        <v>46274</v>
      </c>
      <c r="C645" s="5" t="s">
        <v>78</v>
      </c>
      <c r="D645" s="5" t="s">
        <v>79</v>
      </c>
      <c r="E645" s="5" t="s">
        <v>80</v>
      </c>
      <c r="F645" s="5">
        <v>24742</v>
      </c>
      <c r="G645" s="5" t="s">
        <v>2028</v>
      </c>
      <c r="H645" s="5" t="s">
        <v>2029</v>
      </c>
      <c r="I645" s="5" t="s">
        <v>212</v>
      </c>
      <c r="N645" s="5" t="s">
        <v>2030</v>
      </c>
      <c r="O645" s="5">
        <v>377</v>
      </c>
      <c r="P645" s="5">
        <v>380</v>
      </c>
      <c r="Q645" s="5">
        <v>369</v>
      </c>
      <c r="R645" s="5">
        <v>376.4</v>
      </c>
      <c r="S645" s="5">
        <v>376.3</v>
      </c>
      <c r="T645" s="5">
        <v>374.85</v>
      </c>
      <c r="V645" s="5">
        <v>376.4</v>
      </c>
      <c r="Y645" s="5">
        <v>243135</v>
      </c>
      <c r="Z645" s="5">
        <v>90967531.900000006</v>
      </c>
      <c r="AA645" s="5">
        <v>6145</v>
      </c>
      <c r="AB645" s="5" t="s">
        <v>85</v>
      </c>
      <c r="AC645" s="5">
        <v>1</v>
      </c>
    </row>
    <row r="646" spans="1:29" x14ac:dyDescent="0.3">
      <c r="A646" s="34">
        <v>46274</v>
      </c>
      <c r="B646" s="34">
        <v>46274</v>
      </c>
      <c r="C646" s="5" t="s">
        <v>78</v>
      </c>
      <c r="D646" s="5" t="s">
        <v>79</v>
      </c>
      <c r="E646" s="5" t="s">
        <v>80</v>
      </c>
      <c r="F646" s="5">
        <v>761037</v>
      </c>
      <c r="G646" s="5" t="s">
        <v>2031</v>
      </c>
      <c r="H646" s="5" t="s">
        <v>2032</v>
      </c>
      <c r="I646" s="5" t="s">
        <v>212</v>
      </c>
      <c r="N646" s="5" t="s">
        <v>2033</v>
      </c>
      <c r="O646" s="5">
        <v>703.25</v>
      </c>
      <c r="P646" s="5">
        <v>710.45</v>
      </c>
      <c r="Q646" s="5">
        <v>685.25</v>
      </c>
      <c r="R646" s="5">
        <v>688.1</v>
      </c>
      <c r="S646" s="5">
        <v>686.1</v>
      </c>
      <c r="T646" s="5">
        <v>702.2</v>
      </c>
      <c r="V646" s="5">
        <v>688.14</v>
      </c>
      <c r="Y646" s="5">
        <v>26064</v>
      </c>
      <c r="Z646" s="5">
        <v>18090626.899999999</v>
      </c>
      <c r="AA646" s="5">
        <v>2052</v>
      </c>
      <c r="AB646" s="5" t="s">
        <v>85</v>
      </c>
      <c r="AC646" s="5">
        <v>1</v>
      </c>
    </row>
    <row r="647" spans="1:29" x14ac:dyDescent="0.3">
      <c r="A647" s="34">
        <v>46274</v>
      </c>
      <c r="B647" s="34">
        <v>46274</v>
      </c>
      <c r="C647" s="5" t="s">
        <v>78</v>
      </c>
      <c r="D647" s="5" t="s">
        <v>79</v>
      </c>
      <c r="E647" s="5" t="s">
        <v>80</v>
      </c>
      <c r="F647" s="5">
        <v>13162</v>
      </c>
      <c r="G647" s="5" t="s">
        <v>2034</v>
      </c>
      <c r="H647" s="5" t="s">
        <v>2035</v>
      </c>
      <c r="I647" s="5" t="s">
        <v>212</v>
      </c>
      <c r="N647" s="5" t="s">
        <v>2036</v>
      </c>
      <c r="O647" s="5">
        <v>6.84</v>
      </c>
      <c r="P647" s="5">
        <v>6.84</v>
      </c>
      <c r="Q647" s="5">
        <v>6.53</v>
      </c>
      <c r="R647" s="5">
        <v>6.71</v>
      </c>
      <c r="S647" s="5">
        <v>6.79</v>
      </c>
      <c r="T647" s="5">
        <v>6.74</v>
      </c>
      <c r="V647" s="5">
        <v>6.71</v>
      </c>
      <c r="Y647" s="5">
        <v>8695</v>
      </c>
      <c r="Z647" s="5">
        <v>58377.61</v>
      </c>
      <c r="AA647" s="5">
        <v>57</v>
      </c>
      <c r="AB647" s="5" t="s">
        <v>85</v>
      </c>
      <c r="AC647" s="5">
        <v>1</v>
      </c>
    </row>
    <row r="648" spans="1:29" x14ac:dyDescent="0.3">
      <c r="A648" s="34">
        <v>46274</v>
      </c>
      <c r="B648" s="34">
        <v>46274</v>
      </c>
      <c r="C648" s="5" t="s">
        <v>78</v>
      </c>
      <c r="D648" s="5" t="s">
        <v>79</v>
      </c>
      <c r="E648" s="5" t="s">
        <v>80</v>
      </c>
      <c r="F648" s="5">
        <v>16950</v>
      </c>
      <c r="G648" s="5" t="s">
        <v>2037</v>
      </c>
      <c r="H648" s="5" t="s">
        <v>2038</v>
      </c>
      <c r="I648" s="5" t="s">
        <v>313</v>
      </c>
      <c r="N648" s="5" t="s">
        <v>2039</v>
      </c>
      <c r="O648" s="5">
        <v>15.2</v>
      </c>
      <c r="P648" s="5">
        <v>15.2</v>
      </c>
      <c r="Q648" s="5">
        <v>15.2</v>
      </c>
      <c r="R648" s="5">
        <v>15.2</v>
      </c>
      <c r="S648" s="5">
        <v>15.2</v>
      </c>
      <c r="T648" s="5">
        <v>15</v>
      </c>
      <c r="V648" s="5">
        <v>15.2</v>
      </c>
      <c r="Y648" s="5">
        <v>4800</v>
      </c>
      <c r="Z648" s="5">
        <v>72960</v>
      </c>
      <c r="AA648" s="5">
        <v>2</v>
      </c>
      <c r="AB648" s="5" t="s">
        <v>85</v>
      </c>
      <c r="AC648" s="5">
        <v>1200</v>
      </c>
    </row>
    <row r="649" spans="1:29" x14ac:dyDescent="0.3">
      <c r="A649" s="34">
        <v>46274</v>
      </c>
      <c r="B649" s="34">
        <v>46274</v>
      </c>
      <c r="C649" s="5" t="s">
        <v>78</v>
      </c>
      <c r="D649" s="5" t="s">
        <v>79</v>
      </c>
      <c r="E649" s="5" t="s">
        <v>80</v>
      </c>
      <c r="F649" s="5">
        <v>18806</v>
      </c>
      <c r="G649" s="5" t="s">
        <v>2040</v>
      </c>
      <c r="H649" s="5" t="s">
        <v>2041</v>
      </c>
      <c r="I649" s="5" t="s">
        <v>313</v>
      </c>
      <c r="N649" s="5" t="s">
        <v>2042</v>
      </c>
      <c r="O649" s="5">
        <v>31.95</v>
      </c>
      <c r="P649" s="5">
        <v>32.4</v>
      </c>
      <c r="Q649" s="5">
        <v>31.7</v>
      </c>
      <c r="R649" s="5">
        <v>31.75</v>
      </c>
      <c r="S649" s="5">
        <v>31.8</v>
      </c>
      <c r="T649" s="5">
        <v>31.75</v>
      </c>
      <c r="V649" s="5">
        <v>31.75</v>
      </c>
      <c r="Y649" s="5">
        <v>108000</v>
      </c>
      <c r="Z649" s="5">
        <v>3454050</v>
      </c>
      <c r="AA649" s="5">
        <v>22</v>
      </c>
      <c r="AB649" s="5" t="s">
        <v>85</v>
      </c>
      <c r="AC649" s="5">
        <v>3000</v>
      </c>
    </row>
    <row r="650" spans="1:29" x14ac:dyDescent="0.3">
      <c r="A650" s="34">
        <v>46274</v>
      </c>
      <c r="B650" s="34">
        <v>46274</v>
      </c>
      <c r="C650" s="5" t="s">
        <v>78</v>
      </c>
      <c r="D650" s="5" t="s">
        <v>79</v>
      </c>
      <c r="E650" s="5" t="s">
        <v>80</v>
      </c>
      <c r="F650" s="5">
        <v>19795</v>
      </c>
      <c r="G650" s="5" t="s">
        <v>2043</v>
      </c>
      <c r="H650" s="5" t="s">
        <v>2044</v>
      </c>
      <c r="I650" s="5" t="s">
        <v>212</v>
      </c>
      <c r="N650" s="5" t="s">
        <v>2045</v>
      </c>
      <c r="O650" s="5">
        <v>344.25</v>
      </c>
      <c r="P650" s="5">
        <v>344.9</v>
      </c>
      <c r="Q650" s="5">
        <v>336.45</v>
      </c>
      <c r="R650" s="5">
        <v>337.4</v>
      </c>
      <c r="S650" s="5">
        <v>337.25</v>
      </c>
      <c r="T650" s="5">
        <v>343.95</v>
      </c>
      <c r="V650" s="5">
        <v>337.39</v>
      </c>
      <c r="Y650" s="5">
        <v>252463</v>
      </c>
      <c r="Z650" s="5">
        <v>85674574.150000006</v>
      </c>
      <c r="AA650" s="5">
        <v>8348</v>
      </c>
      <c r="AB650" s="5" t="s">
        <v>85</v>
      </c>
      <c r="AC650" s="5">
        <v>1</v>
      </c>
    </row>
    <row r="651" spans="1:29" x14ac:dyDescent="0.3">
      <c r="A651" s="34">
        <v>46274</v>
      </c>
      <c r="B651" s="34">
        <v>46274</v>
      </c>
      <c r="C651" s="5" t="s">
        <v>78</v>
      </c>
      <c r="D651" s="5" t="s">
        <v>79</v>
      </c>
      <c r="E651" s="5" t="s">
        <v>80</v>
      </c>
      <c r="F651" s="5">
        <v>5622</v>
      </c>
      <c r="G651" s="5" t="s">
        <v>2046</v>
      </c>
      <c r="H651" s="5" t="s">
        <v>2047</v>
      </c>
      <c r="I651" s="5" t="s">
        <v>212</v>
      </c>
      <c r="N651" s="5" t="s">
        <v>2048</v>
      </c>
      <c r="O651" s="5">
        <v>1290</v>
      </c>
      <c r="P651" s="5">
        <v>1297</v>
      </c>
      <c r="Q651" s="5">
        <v>1265</v>
      </c>
      <c r="R651" s="5">
        <v>1269.0999999999999</v>
      </c>
      <c r="S651" s="5">
        <v>1272.5999999999999</v>
      </c>
      <c r="T651" s="5">
        <v>1285.0999999999999</v>
      </c>
      <c r="V651" s="5">
        <v>1269.06</v>
      </c>
      <c r="Y651" s="5">
        <v>210880</v>
      </c>
      <c r="Z651" s="5">
        <v>269546991.5</v>
      </c>
      <c r="AA651" s="5">
        <v>12946</v>
      </c>
      <c r="AB651" s="5" t="s">
        <v>85</v>
      </c>
      <c r="AC651" s="5">
        <v>1</v>
      </c>
    </row>
    <row r="652" spans="1:29" x14ac:dyDescent="0.3">
      <c r="A652" s="34">
        <v>46274</v>
      </c>
      <c r="B652" s="34">
        <v>46274</v>
      </c>
      <c r="C652" s="5" t="s">
        <v>78</v>
      </c>
      <c r="D652" s="5" t="s">
        <v>79</v>
      </c>
      <c r="E652" s="5" t="s">
        <v>80</v>
      </c>
      <c r="F652" s="5">
        <v>14894</v>
      </c>
      <c r="G652" s="5" t="s">
        <v>2049</v>
      </c>
      <c r="H652" s="5" t="s">
        <v>2050</v>
      </c>
      <c r="I652" s="5" t="s">
        <v>212</v>
      </c>
      <c r="N652" s="5" t="s">
        <v>2051</v>
      </c>
      <c r="O652" s="5">
        <v>30.78</v>
      </c>
      <c r="P652" s="5">
        <v>30.88</v>
      </c>
      <c r="Q652" s="5">
        <v>30.54</v>
      </c>
      <c r="R652" s="5">
        <v>30.58</v>
      </c>
      <c r="S652" s="5">
        <v>30.6</v>
      </c>
      <c r="T652" s="5">
        <v>30.96</v>
      </c>
      <c r="V652" s="5">
        <v>30.58</v>
      </c>
      <c r="Y652" s="5">
        <v>4467951</v>
      </c>
      <c r="Z652" s="5">
        <v>137107369.36000001</v>
      </c>
      <c r="AA652" s="5">
        <v>15966</v>
      </c>
      <c r="AB652" s="5" t="s">
        <v>85</v>
      </c>
      <c r="AC652" s="5">
        <v>1</v>
      </c>
    </row>
    <row r="653" spans="1:29" x14ac:dyDescent="0.3">
      <c r="A653" s="34">
        <v>46274</v>
      </c>
      <c r="B653" s="34">
        <v>46274</v>
      </c>
      <c r="C653" s="5" t="s">
        <v>78</v>
      </c>
      <c r="D653" s="5" t="s">
        <v>79</v>
      </c>
      <c r="E653" s="5" t="s">
        <v>80</v>
      </c>
      <c r="F653" s="5">
        <v>21174</v>
      </c>
      <c r="G653" s="5" t="s">
        <v>2052</v>
      </c>
      <c r="H653" s="5" t="s">
        <v>2053</v>
      </c>
      <c r="I653" s="5" t="s">
        <v>212</v>
      </c>
      <c r="N653" s="5" t="s">
        <v>2054</v>
      </c>
      <c r="O653" s="5">
        <v>1393</v>
      </c>
      <c r="P653" s="5">
        <v>1393</v>
      </c>
      <c r="Q653" s="5">
        <v>1360</v>
      </c>
      <c r="R653" s="5">
        <v>1368.6</v>
      </c>
      <c r="S653" s="5">
        <v>1368.6</v>
      </c>
      <c r="T653" s="5">
        <v>1400</v>
      </c>
      <c r="V653" s="5">
        <v>1368.6</v>
      </c>
      <c r="Y653" s="5">
        <v>1314059</v>
      </c>
      <c r="Z653" s="5">
        <v>1802648761.9000001</v>
      </c>
      <c r="AA653" s="5">
        <v>41275</v>
      </c>
      <c r="AB653" s="5" t="s">
        <v>85</v>
      </c>
      <c r="AC653" s="5">
        <v>1</v>
      </c>
    </row>
    <row r="654" spans="1:29" x14ac:dyDescent="0.3">
      <c r="A654" s="34">
        <v>46274</v>
      </c>
      <c r="B654" s="34">
        <v>46274</v>
      </c>
      <c r="C654" s="5" t="s">
        <v>78</v>
      </c>
      <c r="D654" s="5" t="s">
        <v>79</v>
      </c>
      <c r="E654" s="5" t="s">
        <v>80</v>
      </c>
      <c r="F654" s="5">
        <v>761581</v>
      </c>
      <c r="G654" s="5" t="s">
        <v>2055</v>
      </c>
      <c r="H654" s="5" t="s">
        <v>2056</v>
      </c>
      <c r="I654" s="5" t="s">
        <v>212</v>
      </c>
      <c r="N654" s="5" t="s">
        <v>2057</v>
      </c>
      <c r="O654" s="5">
        <v>236.85</v>
      </c>
      <c r="P654" s="5">
        <v>237.75</v>
      </c>
      <c r="Q654" s="5">
        <v>229.5</v>
      </c>
      <c r="R654" s="5">
        <v>230.88</v>
      </c>
      <c r="S654" s="5">
        <v>229.99</v>
      </c>
      <c r="T654" s="5">
        <v>236.85</v>
      </c>
      <c r="V654" s="5">
        <v>230.88</v>
      </c>
      <c r="Y654" s="5">
        <v>1530570</v>
      </c>
      <c r="Z654" s="5">
        <v>355304854.07999998</v>
      </c>
      <c r="AA654" s="5">
        <v>14059</v>
      </c>
      <c r="AB654" s="5" t="s">
        <v>85</v>
      </c>
      <c r="AC654" s="5">
        <v>1</v>
      </c>
    </row>
    <row r="655" spans="1:29" x14ac:dyDescent="0.3">
      <c r="A655" s="34">
        <v>46274</v>
      </c>
      <c r="B655" s="34">
        <v>46274</v>
      </c>
      <c r="C655" s="5" t="s">
        <v>78</v>
      </c>
      <c r="D655" s="5" t="s">
        <v>79</v>
      </c>
      <c r="E655" s="5" t="s">
        <v>80</v>
      </c>
      <c r="F655" s="5">
        <v>2454</v>
      </c>
      <c r="G655" s="5" t="s">
        <v>2058</v>
      </c>
      <c r="H655" s="5" t="s">
        <v>2059</v>
      </c>
      <c r="I655" s="5" t="s">
        <v>212</v>
      </c>
      <c r="N655" s="5" t="s">
        <v>2060</v>
      </c>
      <c r="O655" s="5">
        <v>22.58</v>
      </c>
      <c r="P655" s="5">
        <v>22.63</v>
      </c>
      <c r="Q655" s="5">
        <v>22.07</v>
      </c>
      <c r="R655" s="5">
        <v>22.4</v>
      </c>
      <c r="S655" s="5">
        <v>22.5</v>
      </c>
      <c r="T655" s="5">
        <v>22.57</v>
      </c>
      <c r="V655" s="5">
        <v>22.4</v>
      </c>
      <c r="Y655" s="5">
        <v>151636</v>
      </c>
      <c r="Z655" s="5">
        <v>3375243.6</v>
      </c>
      <c r="AA655" s="5">
        <v>275</v>
      </c>
      <c r="AB655" s="5" t="s">
        <v>85</v>
      </c>
      <c r="AC655" s="5">
        <v>1</v>
      </c>
    </row>
    <row r="656" spans="1:29" x14ac:dyDescent="0.3">
      <c r="A656" s="34">
        <v>46274</v>
      </c>
      <c r="B656" s="34">
        <v>46274</v>
      </c>
      <c r="C656" s="5" t="s">
        <v>78</v>
      </c>
      <c r="D656" s="5" t="s">
        <v>79</v>
      </c>
      <c r="E656" s="5" t="s">
        <v>80</v>
      </c>
      <c r="F656" s="5">
        <v>14982</v>
      </c>
      <c r="G656" s="5" t="s">
        <v>2061</v>
      </c>
      <c r="H656" s="5" t="s">
        <v>2062</v>
      </c>
      <c r="I656" s="5" t="s">
        <v>212</v>
      </c>
      <c r="N656" s="5" t="s">
        <v>2063</v>
      </c>
      <c r="O656" s="5">
        <v>4287.8999999999996</v>
      </c>
      <c r="P656" s="5">
        <v>4450</v>
      </c>
      <c r="Q656" s="5">
        <v>4211</v>
      </c>
      <c r="R656" s="5">
        <v>4250.5</v>
      </c>
      <c r="S656" s="5">
        <v>4225.5</v>
      </c>
      <c r="T656" s="5">
        <v>4287.3999999999996</v>
      </c>
      <c r="V656" s="5">
        <v>4250.46</v>
      </c>
      <c r="Y656" s="5">
        <v>114623</v>
      </c>
      <c r="Z656" s="5">
        <v>498369072.19999999</v>
      </c>
      <c r="AA656" s="5">
        <v>21481</v>
      </c>
      <c r="AB656" s="5" t="s">
        <v>85</v>
      </c>
      <c r="AC656" s="5">
        <v>1</v>
      </c>
    </row>
    <row r="657" spans="1:29" x14ac:dyDescent="0.3">
      <c r="A657" s="34">
        <v>46274</v>
      </c>
      <c r="B657" s="34">
        <v>46274</v>
      </c>
      <c r="C657" s="5" t="s">
        <v>78</v>
      </c>
      <c r="D657" s="5" t="s">
        <v>79</v>
      </c>
      <c r="E657" s="5" t="s">
        <v>80</v>
      </c>
      <c r="F657" s="5">
        <v>619</v>
      </c>
      <c r="G657" s="5" t="s">
        <v>2064</v>
      </c>
      <c r="H657" s="5" t="s">
        <v>2065</v>
      </c>
      <c r="I657" s="5" t="s">
        <v>212</v>
      </c>
      <c r="N657" s="5" t="s">
        <v>2066</v>
      </c>
      <c r="O657" s="5">
        <v>593.70000000000005</v>
      </c>
      <c r="P657" s="5">
        <v>596.95000000000005</v>
      </c>
      <c r="Q657" s="5">
        <v>566.20000000000005</v>
      </c>
      <c r="R657" s="5">
        <v>570.79999999999995</v>
      </c>
      <c r="S657" s="5">
        <v>573</v>
      </c>
      <c r="T657" s="5">
        <v>589.20000000000005</v>
      </c>
      <c r="V657" s="5">
        <v>570.79</v>
      </c>
      <c r="Y657" s="5">
        <v>131150</v>
      </c>
      <c r="Z657" s="5">
        <v>75445018.400000006</v>
      </c>
      <c r="AA657" s="5">
        <v>5075</v>
      </c>
      <c r="AB657" s="5" t="s">
        <v>85</v>
      </c>
      <c r="AC657" s="5">
        <v>1</v>
      </c>
    </row>
    <row r="658" spans="1:29" x14ac:dyDescent="0.3">
      <c r="A658" s="34">
        <v>46274</v>
      </c>
      <c r="B658" s="34">
        <v>46274</v>
      </c>
      <c r="C658" s="5" t="s">
        <v>78</v>
      </c>
      <c r="D658" s="5" t="s">
        <v>79</v>
      </c>
      <c r="E658" s="5" t="s">
        <v>80</v>
      </c>
      <c r="F658" s="5">
        <v>11511</v>
      </c>
      <c r="G658" s="5" t="s">
        <v>2067</v>
      </c>
      <c r="H658" s="5" t="s">
        <v>2068</v>
      </c>
      <c r="I658" s="5" t="s">
        <v>212</v>
      </c>
      <c r="N658" s="5" t="s">
        <v>2069</v>
      </c>
      <c r="O658" s="5">
        <v>21.55</v>
      </c>
      <c r="P658" s="5">
        <v>21.98</v>
      </c>
      <c r="Q658" s="5">
        <v>21.05</v>
      </c>
      <c r="R658" s="5">
        <v>21.94</v>
      </c>
      <c r="S658" s="5">
        <v>21.94</v>
      </c>
      <c r="T658" s="5">
        <v>21.39</v>
      </c>
      <c r="V658" s="5">
        <v>21.94</v>
      </c>
      <c r="Y658" s="5">
        <v>645624</v>
      </c>
      <c r="Z658" s="5">
        <v>13917143.48</v>
      </c>
      <c r="AA658" s="5">
        <v>1555</v>
      </c>
      <c r="AB658" s="5" t="s">
        <v>85</v>
      </c>
      <c r="AC658" s="5">
        <v>1</v>
      </c>
    </row>
    <row r="659" spans="1:29" x14ac:dyDescent="0.3">
      <c r="A659" s="34">
        <v>46274</v>
      </c>
      <c r="B659" s="34">
        <v>46274</v>
      </c>
      <c r="C659" s="5" t="s">
        <v>78</v>
      </c>
      <c r="D659" s="5" t="s">
        <v>79</v>
      </c>
      <c r="E659" s="5" t="s">
        <v>80</v>
      </c>
      <c r="F659" s="5">
        <v>13305</v>
      </c>
      <c r="G659" s="5" t="s">
        <v>2070</v>
      </c>
      <c r="H659" s="5" t="s">
        <v>2071</v>
      </c>
      <c r="I659" s="5" t="s">
        <v>212</v>
      </c>
      <c r="N659" s="5" t="s">
        <v>2072</v>
      </c>
      <c r="O659" s="5">
        <v>746.95</v>
      </c>
      <c r="P659" s="5">
        <v>746.95</v>
      </c>
      <c r="Q659" s="5">
        <v>736.5</v>
      </c>
      <c r="R659" s="5">
        <v>738.7</v>
      </c>
      <c r="S659" s="5">
        <v>737.1</v>
      </c>
      <c r="T659" s="5">
        <v>744.1</v>
      </c>
      <c r="V659" s="5">
        <v>738.69</v>
      </c>
      <c r="Y659" s="5">
        <v>34000</v>
      </c>
      <c r="Z659" s="5">
        <v>25163632.100000001</v>
      </c>
      <c r="AA659" s="5">
        <v>3219</v>
      </c>
      <c r="AB659" s="5" t="s">
        <v>85</v>
      </c>
      <c r="AC659" s="5">
        <v>1</v>
      </c>
    </row>
    <row r="660" spans="1:29" x14ac:dyDescent="0.3">
      <c r="A660" s="34">
        <v>46274</v>
      </c>
      <c r="B660" s="34">
        <v>46274</v>
      </c>
      <c r="C660" s="5" t="s">
        <v>78</v>
      </c>
      <c r="D660" s="5" t="s">
        <v>79</v>
      </c>
      <c r="E660" s="5" t="s">
        <v>80</v>
      </c>
      <c r="F660" s="5">
        <v>15039</v>
      </c>
      <c r="G660" s="5" t="s">
        <v>2073</v>
      </c>
      <c r="H660" s="5" t="s">
        <v>2074</v>
      </c>
      <c r="I660" s="5" t="s">
        <v>212</v>
      </c>
      <c r="N660" s="5" t="s">
        <v>2075</v>
      </c>
      <c r="O660" s="5">
        <v>5761.5</v>
      </c>
      <c r="P660" s="5">
        <v>5761.5</v>
      </c>
      <c r="Q660" s="5">
        <v>5676</v>
      </c>
      <c r="R660" s="5">
        <v>5698.5</v>
      </c>
      <c r="S660" s="5">
        <v>5723</v>
      </c>
      <c r="T660" s="5">
        <v>5761.5</v>
      </c>
      <c r="V660" s="5">
        <v>5698.06</v>
      </c>
      <c r="Y660" s="5">
        <v>4352</v>
      </c>
      <c r="Z660" s="5">
        <v>24861490</v>
      </c>
      <c r="AA660" s="5">
        <v>1416</v>
      </c>
      <c r="AB660" s="5" t="s">
        <v>85</v>
      </c>
      <c r="AC660" s="5">
        <v>1</v>
      </c>
    </row>
    <row r="661" spans="1:29" x14ac:dyDescent="0.3">
      <c r="A661" s="34">
        <v>46274</v>
      </c>
      <c r="B661" s="34">
        <v>46274</v>
      </c>
      <c r="C661" s="5" t="s">
        <v>78</v>
      </c>
      <c r="D661" s="5" t="s">
        <v>79</v>
      </c>
      <c r="E661" s="5" t="s">
        <v>80</v>
      </c>
      <c r="F661" s="5">
        <v>29016</v>
      </c>
      <c r="G661" s="5" t="s">
        <v>2076</v>
      </c>
      <c r="H661" s="5" t="s">
        <v>2077</v>
      </c>
      <c r="I661" s="5" t="s">
        <v>614</v>
      </c>
      <c r="N661" s="5" t="s">
        <v>2078</v>
      </c>
      <c r="O661" s="5">
        <v>2.9</v>
      </c>
      <c r="P661" s="5">
        <v>3.02</v>
      </c>
      <c r="Q661" s="5">
        <v>2.8</v>
      </c>
      <c r="R661" s="5">
        <v>2.86</v>
      </c>
      <c r="S661" s="5">
        <v>2.88</v>
      </c>
      <c r="T661" s="5">
        <v>2.9</v>
      </c>
      <c r="V661" s="5">
        <v>2.86</v>
      </c>
      <c r="Y661" s="5">
        <v>87512</v>
      </c>
      <c r="Z661" s="5">
        <v>250583.12</v>
      </c>
      <c r="AA661" s="5">
        <v>96</v>
      </c>
      <c r="AB661" s="5" t="s">
        <v>85</v>
      </c>
      <c r="AC661" s="5">
        <v>1</v>
      </c>
    </row>
    <row r="662" spans="1:29" x14ac:dyDescent="0.3">
      <c r="A662" s="34">
        <v>46274</v>
      </c>
      <c r="B662" s="34">
        <v>46274</v>
      </c>
      <c r="C662" s="5" t="s">
        <v>78</v>
      </c>
      <c r="D662" s="5" t="s">
        <v>79</v>
      </c>
      <c r="E662" s="5" t="s">
        <v>80</v>
      </c>
      <c r="F662" s="5">
        <v>628</v>
      </c>
      <c r="G662" s="5" t="s">
        <v>2079</v>
      </c>
      <c r="H662" s="5" t="s">
        <v>2080</v>
      </c>
      <c r="I662" s="5" t="s">
        <v>212</v>
      </c>
      <c r="N662" s="5" t="s">
        <v>2081</v>
      </c>
      <c r="O662" s="5">
        <v>145.79</v>
      </c>
      <c r="P662" s="5">
        <v>153.41999999999999</v>
      </c>
      <c r="Q662" s="5">
        <v>145.21</v>
      </c>
      <c r="R662" s="5">
        <v>149.66999999999999</v>
      </c>
      <c r="S662" s="5">
        <v>149.75</v>
      </c>
      <c r="T662" s="5">
        <v>146.05000000000001</v>
      </c>
      <c r="V662" s="5">
        <v>149.66999999999999</v>
      </c>
      <c r="Y662" s="5">
        <v>7429488</v>
      </c>
      <c r="Z662" s="5">
        <v>1118902708.6400001</v>
      </c>
      <c r="AA662" s="5">
        <v>54430</v>
      </c>
      <c r="AB662" s="5" t="s">
        <v>85</v>
      </c>
      <c r="AC662" s="5">
        <v>1</v>
      </c>
    </row>
    <row r="663" spans="1:29" x14ac:dyDescent="0.3">
      <c r="A663" s="34">
        <v>46274</v>
      </c>
      <c r="B663" s="34">
        <v>46274</v>
      </c>
      <c r="C663" s="5" t="s">
        <v>78</v>
      </c>
      <c r="D663" s="5" t="s">
        <v>79</v>
      </c>
      <c r="E663" s="5" t="s">
        <v>80</v>
      </c>
      <c r="F663" s="5">
        <v>760</v>
      </c>
      <c r="G663" s="5" t="s">
        <v>2082</v>
      </c>
      <c r="H663" s="5" t="s">
        <v>2083</v>
      </c>
      <c r="I663" s="5" t="s">
        <v>212</v>
      </c>
      <c r="N663" s="5" t="s">
        <v>2084</v>
      </c>
      <c r="O663" s="5">
        <v>910.7</v>
      </c>
      <c r="P663" s="5">
        <v>930.55</v>
      </c>
      <c r="Q663" s="5">
        <v>910</v>
      </c>
      <c r="R663" s="5">
        <v>926.95</v>
      </c>
      <c r="S663" s="5">
        <v>926.95</v>
      </c>
      <c r="T663" s="5">
        <v>910.7</v>
      </c>
      <c r="V663" s="5">
        <v>926.95</v>
      </c>
      <c r="Y663" s="5">
        <v>3454657</v>
      </c>
      <c r="Z663" s="5">
        <v>3188177958.1500001</v>
      </c>
      <c r="AA663" s="5">
        <v>71086</v>
      </c>
      <c r="AB663" s="5" t="s">
        <v>85</v>
      </c>
      <c r="AC663" s="5">
        <v>1</v>
      </c>
    </row>
    <row r="664" spans="1:29" x14ac:dyDescent="0.3">
      <c r="A664" s="34">
        <v>46274</v>
      </c>
      <c r="B664" s="34">
        <v>46274</v>
      </c>
      <c r="C664" s="5" t="s">
        <v>78</v>
      </c>
      <c r="D664" s="5" t="s">
        <v>79</v>
      </c>
      <c r="E664" s="5" t="s">
        <v>80</v>
      </c>
      <c r="F664" s="5">
        <v>8546</v>
      </c>
      <c r="G664" s="5" t="s">
        <v>2085</v>
      </c>
      <c r="H664" s="5" t="s">
        <v>2086</v>
      </c>
      <c r="I664" s="5" t="s">
        <v>212</v>
      </c>
      <c r="N664" s="5" t="s">
        <v>2087</v>
      </c>
      <c r="O664" s="5">
        <v>890</v>
      </c>
      <c r="P664" s="5">
        <v>899.25</v>
      </c>
      <c r="Q664" s="5">
        <v>885</v>
      </c>
      <c r="R664" s="5">
        <v>889.7</v>
      </c>
      <c r="S664" s="5">
        <v>890</v>
      </c>
      <c r="T664" s="5">
        <v>897.75</v>
      </c>
      <c r="V664" s="5">
        <v>889.7</v>
      </c>
      <c r="Y664" s="5">
        <v>87296</v>
      </c>
      <c r="Z664" s="5">
        <v>77731627.700000003</v>
      </c>
      <c r="AA664" s="5">
        <v>7122</v>
      </c>
      <c r="AB664" s="5" t="s">
        <v>85</v>
      </c>
      <c r="AC664" s="5">
        <v>1</v>
      </c>
    </row>
    <row r="665" spans="1:29" x14ac:dyDescent="0.3">
      <c r="A665" s="34">
        <v>46274</v>
      </c>
      <c r="B665" s="34">
        <v>46274</v>
      </c>
      <c r="C665" s="5" t="s">
        <v>78</v>
      </c>
      <c r="D665" s="5" t="s">
        <v>79</v>
      </c>
      <c r="E665" s="5" t="s">
        <v>80</v>
      </c>
      <c r="F665" s="5">
        <v>3482</v>
      </c>
      <c r="G665" s="5" t="s">
        <v>2088</v>
      </c>
      <c r="H665" s="5" t="s">
        <v>2089</v>
      </c>
      <c r="I665" s="5" t="s">
        <v>212</v>
      </c>
      <c r="N665" s="5" t="s">
        <v>2090</v>
      </c>
      <c r="O665" s="5">
        <v>308.5</v>
      </c>
      <c r="P665" s="5">
        <v>315.7</v>
      </c>
      <c r="Q665" s="5">
        <v>303.10000000000002</v>
      </c>
      <c r="R665" s="5">
        <v>305.2</v>
      </c>
      <c r="S665" s="5">
        <v>306.8</v>
      </c>
      <c r="T665" s="5">
        <v>305.64999999999998</v>
      </c>
      <c r="V665" s="5">
        <v>305.14999999999998</v>
      </c>
      <c r="Y665" s="5">
        <v>117675</v>
      </c>
      <c r="Z665" s="5">
        <v>36229636.100000001</v>
      </c>
      <c r="AA665" s="5">
        <v>3982</v>
      </c>
      <c r="AB665" s="5" t="s">
        <v>85</v>
      </c>
      <c r="AC665" s="5">
        <v>1</v>
      </c>
    </row>
    <row r="666" spans="1:29" x14ac:dyDescent="0.3">
      <c r="A666" s="34">
        <v>46274</v>
      </c>
      <c r="B666" s="34">
        <v>46274</v>
      </c>
      <c r="C666" s="5" t="s">
        <v>78</v>
      </c>
      <c r="D666" s="5" t="s">
        <v>79</v>
      </c>
      <c r="E666" s="5" t="s">
        <v>80</v>
      </c>
      <c r="F666" s="5">
        <v>13731</v>
      </c>
      <c r="G666" s="5" t="s">
        <v>2091</v>
      </c>
      <c r="H666" s="5" t="s">
        <v>2092</v>
      </c>
      <c r="I666" s="5" t="s">
        <v>313</v>
      </c>
      <c r="N666" s="5" t="s">
        <v>2093</v>
      </c>
      <c r="O666" s="5">
        <v>116.7</v>
      </c>
      <c r="P666" s="5">
        <v>117.7</v>
      </c>
      <c r="Q666" s="5">
        <v>116</v>
      </c>
      <c r="R666" s="5">
        <v>117.7</v>
      </c>
      <c r="S666" s="5">
        <v>117.7</v>
      </c>
      <c r="T666" s="5">
        <v>118</v>
      </c>
      <c r="V666" s="5">
        <v>117.7</v>
      </c>
      <c r="Y666" s="5">
        <v>5250</v>
      </c>
      <c r="Z666" s="5">
        <v>613762.5</v>
      </c>
      <c r="AA666" s="5">
        <v>6</v>
      </c>
      <c r="AB666" s="5" t="s">
        <v>85</v>
      </c>
      <c r="AC666" s="5">
        <v>750</v>
      </c>
    </row>
    <row r="667" spans="1:29" x14ac:dyDescent="0.3">
      <c r="A667" s="34">
        <v>46274</v>
      </c>
      <c r="B667" s="34">
        <v>46274</v>
      </c>
      <c r="C667" s="5" t="s">
        <v>78</v>
      </c>
      <c r="D667" s="5" t="s">
        <v>79</v>
      </c>
      <c r="E667" s="5" t="s">
        <v>80</v>
      </c>
      <c r="F667" s="5">
        <v>637</v>
      </c>
      <c r="G667" s="5" t="s">
        <v>2094</v>
      </c>
      <c r="H667" s="5" t="s">
        <v>2095</v>
      </c>
      <c r="I667" s="5" t="s">
        <v>212</v>
      </c>
      <c r="N667" s="5" t="s">
        <v>2096</v>
      </c>
      <c r="O667" s="5">
        <v>414.6</v>
      </c>
      <c r="P667" s="5">
        <v>417.95</v>
      </c>
      <c r="Q667" s="5">
        <v>414.5</v>
      </c>
      <c r="R667" s="5">
        <v>415.6</v>
      </c>
      <c r="S667" s="5">
        <v>415.6</v>
      </c>
      <c r="T667" s="5">
        <v>418.65</v>
      </c>
      <c r="V667" s="5">
        <v>415.6</v>
      </c>
      <c r="Y667" s="5">
        <v>446106</v>
      </c>
      <c r="Z667" s="5">
        <v>185448590.15000001</v>
      </c>
      <c r="AA667" s="5">
        <v>16523</v>
      </c>
      <c r="AB667" s="5" t="s">
        <v>85</v>
      </c>
      <c r="AC667" s="5">
        <v>1</v>
      </c>
    </row>
    <row r="668" spans="1:29" x14ac:dyDescent="0.3">
      <c r="A668" s="34">
        <v>46274</v>
      </c>
      <c r="B668" s="34">
        <v>46274</v>
      </c>
      <c r="C668" s="5" t="s">
        <v>78</v>
      </c>
      <c r="D668" s="5" t="s">
        <v>79</v>
      </c>
      <c r="E668" s="5" t="s">
        <v>80</v>
      </c>
      <c r="F668" s="5">
        <v>29541</v>
      </c>
      <c r="G668" s="5" t="s">
        <v>2097</v>
      </c>
      <c r="H668" s="5" t="s">
        <v>2098</v>
      </c>
      <c r="I668" s="5" t="s">
        <v>313</v>
      </c>
      <c r="N668" s="5" t="s">
        <v>2099</v>
      </c>
      <c r="O668" s="5">
        <v>41.7</v>
      </c>
      <c r="P668" s="5">
        <v>41.7</v>
      </c>
      <c r="Q668" s="5">
        <v>41.7</v>
      </c>
      <c r="R668" s="5">
        <v>41.7</v>
      </c>
      <c r="S668" s="5">
        <v>41.7</v>
      </c>
      <c r="T668" s="5">
        <v>42.5</v>
      </c>
      <c r="V668" s="5">
        <v>41.7</v>
      </c>
      <c r="Y668" s="5">
        <v>3000</v>
      </c>
      <c r="Z668" s="5">
        <v>125100</v>
      </c>
      <c r="AA668" s="5">
        <v>1</v>
      </c>
      <c r="AB668" s="5" t="s">
        <v>85</v>
      </c>
      <c r="AC668" s="5">
        <v>3000</v>
      </c>
    </row>
    <row r="669" spans="1:29" x14ac:dyDescent="0.3">
      <c r="A669" s="34">
        <v>46274</v>
      </c>
      <c r="B669" s="34">
        <v>46274</v>
      </c>
      <c r="C669" s="5" t="s">
        <v>78</v>
      </c>
      <c r="D669" s="5" t="s">
        <v>79</v>
      </c>
      <c r="E669" s="5" t="s">
        <v>80</v>
      </c>
      <c r="F669" s="5">
        <v>29633</v>
      </c>
      <c r="G669" s="5" t="s">
        <v>2100</v>
      </c>
      <c r="H669" s="5" t="s">
        <v>2101</v>
      </c>
      <c r="I669" s="5" t="s">
        <v>313</v>
      </c>
      <c r="N669" s="5" t="s">
        <v>2102</v>
      </c>
      <c r="O669" s="5">
        <v>218</v>
      </c>
      <c r="P669" s="5">
        <v>218</v>
      </c>
      <c r="Q669" s="5">
        <v>208.6</v>
      </c>
      <c r="R669" s="5">
        <v>209.2</v>
      </c>
      <c r="S669" s="5">
        <v>209</v>
      </c>
      <c r="T669" s="5">
        <v>218.4</v>
      </c>
      <c r="V669" s="5">
        <v>209.2</v>
      </c>
      <c r="Y669" s="5">
        <v>28000</v>
      </c>
      <c r="Z669" s="5">
        <v>5936600</v>
      </c>
      <c r="AA669" s="5">
        <v>35</v>
      </c>
      <c r="AB669" s="5" t="s">
        <v>85</v>
      </c>
      <c r="AC669" s="5">
        <v>800</v>
      </c>
    </row>
    <row r="670" spans="1:29" x14ac:dyDescent="0.3">
      <c r="A670" s="34">
        <v>46274</v>
      </c>
      <c r="B670" s="34">
        <v>46274</v>
      </c>
      <c r="C670" s="5" t="s">
        <v>78</v>
      </c>
      <c r="D670" s="5" t="s">
        <v>79</v>
      </c>
      <c r="E670" s="5" t="s">
        <v>80</v>
      </c>
      <c r="F670" s="5">
        <v>18654</v>
      </c>
      <c r="G670" s="5" t="s">
        <v>2103</v>
      </c>
      <c r="H670" s="5" t="s">
        <v>2104</v>
      </c>
      <c r="I670" s="5" t="s">
        <v>313</v>
      </c>
      <c r="N670" s="5" t="s">
        <v>2105</v>
      </c>
      <c r="O670" s="5">
        <v>124.25</v>
      </c>
      <c r="P670" s="5">
        <v>124.25</v>
      </c>
      <c r="Q670" s="5">
        <v>124.25</v>
      </c>
      <c r="R670" s="5">
        <v>124.25</v>
      </c>
      <c r="S670" s="5">
        <v>124.25</v>
      </c>
      <c r="T670" s="5">
        <v>124.25</v>
      </c>
      <c r="V670" s="5">
        <v>124.25</v>
      </c>
      <c r="Y670" s="5">
        <v>1000</v>
      </c>
      <c r="Z670" s="5">
        <v>124250</v>
      </c>
      <c r="AA670" s="5">
        <v>1</v>
      </c>
      <c r="AB670" s="5" t="s">
        <v>85</v>
      </c>
      <c r="AC670" s="5">
        <v>1000</v>
      </c>
    </row>
    <row r="671" spans="1:29" x14ac:dyDescent="0.3">
      <c r="A671" s="34">
        <v>46274</v>
      </c>
      <c r="B671" s="34">
        <v>46274</v>
      </c>
      <c r="C671" s="5" t="s">
        <v>78</v>
      </c>
      <c r="D671" s="5" t="s">
        <v>79</v>
      </c>
      <c r="E671" s="5" t="s">
        <v>80</v>
      </c>
      <c r="F671" s="5">
        <v>757991</v>
      </c>
      <c r="G671" s="5" t="s">
        <v>2106</v>
      </c>
      <c r="H671" s="5" t="s">
        <v>2107</v>
      </c>
      <c r="I671" s="5" t="s">
        <v>234</v>
      </c>
      <c r="N671" s="5" t="s">
        <v>2108</v>
      </c>
      <c r="O671" s="5">
        <v>259.95</v>
      </c>
      <c r="P671" s="5">
        <v>265.95</v>
      </c>
      <c r="Q671" s="5">
        <v>250</v>
      </c>
      <c r="R671" s="5">
        <v>251.75</v>
      </c>
      <c r="S671" s="5">
        <v>251</v>
      </c>
      <c r="T671" s="5">
        <v>259.95</v>
      </c>
      <c r="V671" s="5">
        <v>251.97</v>
      </c>
      <c r="Y671" s="5">
        <v>12707</v>
      </c>
      <c r="Z671" s="5">
        <v>3302019.25</v>
      </c>
      <c r="AA671" s="5">
        <v>198</v>
      </c>
      <c r="AB671" s="5" t="s">
        <v>85</v>
      </c>
      <c r="AC671" s="5">
        <v>1</v>
      </c>
    </row>
    <row r="672" spans="1:29" x14ac:dyDescent="0.3">
      <c r="A672" s="34">
        <v>46274</v>
      </c>
      <c r="B672" s="34">
        <v>46274</v>
      </c>
      <c r="C672" s="5" t="s">
        <v>78</v>
      </c>
      <c r="D672" s="5" t="s">
        <v>79</v>
      </c>
      <c r="E672" s="5" t="s">
        <v>80</v>
      </c>
      <c r="F672" s="5">
        <v>14618</v>
      </c>
      <c r="G672" s="5" t="s">
        <v>2109</v>
      </c>
      <c r="H672" s="5" t="s">
        <v>2110</v>
      </c>
      <c r="I672" s="5" t="s">
        <v>212</v>
      </c>
      <c r="N672" s="5" t="s">
        <v>2111</v>
      </c>
      <c r="O672" s="5">
        <v>204.6</v>
      </c>
      <c r="P672" s="5">
        <v>236.8</v>
      </c>
      <c r="Q672" s="5">
        <v>200.5</v>
      </c>
      <c r="R672" s="5">
        <v>220.36</v>
      </c>
      <c r="S672" s="5">
        <v>221.3</v>
      </c>
      <c r="T672" s="5">
        <v>197.72</v>
      </c>
      <c r="V672" s="5">
        <v>220.38</v>
      </c>
      <c r="Y672" s="5">
        <v>338501</v>
      </c>
      <c r="Z672" s="5">
        <v>76393760.129999995</v>
      </c>
      <c r="AA672" s="5">
        <v>8599</v>
      </c>
      <c r="AB672" s="5" t="s">
        <v>85</v>
      </c>
      <c r="AC672" s="5">
        <v>1</v>
      </c>
    </row>
    <row r="673" spans="1:29" x14ac:dyDescent="0.3">
      <c r="A673" s="34">
        <v>46274</v>
      </c>
      <c r="B673" s="34">
        <v>46274</v>
      </c>
      <c r="C673" s="5" t="s">
        <v>78</v>
      </c>
      <c r="D673" s="5" t="s">
        <v>79</v>
      </c>
      <c r="E673" s="5" t="s">
        <v>80</v>
      </c>
      <c r="F673" s="5">
        <v>276</v>
      </c>
      <c r="G673" s="5" t="s">
        <v>2112</v>
      </c>
      <c r="H673" s="5" t="s">
        <v>2113</v>
      </c>
      <c r="I673" s="5" t="s">
        <v>234</v>
      </c>
      <c r="N673" s="5" t="s">
        <v>2114</v>
      </c>
      <c r="O673" s="5">
        <v>212.53</v>
      </c>
      <c r="P673" s="5">
        <v>220</v>
      </c>
      <c r="Q673" s="5">
        <v>212</v>
      </c>
      <c r="R673" s="5">
        <v>220</v>
      </c>
      <c r="S673" s="5">
        <v>220</v>
      </c>
      <c r="T673" s="5">
        <v>209.53</v>
      </c>
      <c r="V673" s="5">
        <v>220</v>
      </c>
      <c r="Y673" s="5">
        <v>139577</v>
      </c>
      <c r="Z673" s="5">
        <v>30430427.260000002</v>
      </c>
      <c r="AA673" s="5">
        <v>1505</v>
      </c>
      <c r="AB673" s="5" t="s">
        <v>85</v>
      </c>
      <c r="AC673" s="5">
        <v>1</v>
      </c>
    </row>
    <row r="674" spans="1:29" x14ac:dyDescent="0.3">
      <c r="A674" s="34">
        <v>46274</v>
      </c>
      <c r="B674" s="34">
        <v>46274</v>
      </c>
      <c r="C674" s="5" t="s">
        <v>78</v>
      </c>
      <c r="D674" s="5" t="s">
        <v>79</v>
      </c>
      <c r="E674" s="5" t="s">
        <v>80</v>
      </c>
      <c r="F674" s="5">
        <v>765045</v>
      </c>
      <c r="G674" s="5" t="s">
        <v>2115</v>
      </c>
      <c r="H674" s="5" t="s">
        <v>2116</v>
      </c>
      <c r="I674" s="5" t="s">
        <v>212</v>
      </c>
      <c r="N674" s="5" t="s">
        <v>2117</v>
      </c>
      <c r="O674" s="5">
        <v>83.57</v>
      </c>
      <c r="P674" s="5">
        <v>84</v>
      </c>
      <c r="Q674" s="5">
        <v>82</v>
      </c>
      <c r="R674" s="5">
        <v>82.57</v>
      </c>
      <c r="S674" s="5">
        <v>83.8</v>
      </c>
      <c r="T674" s="5">
        <v>83.52</v>
      </c>
      <c r="V674" s="5">
        <v>82.58</v>
      </c>
      <c r="Y674" s="5">
        <v>3345</v>
      </c>
      <c r="Z674" s="5">
        <v>277492.46000000002</v>
      </c>
      <c r="AA674" s="5">
        <v>97</v>
      </c>
      <c r="AB674" s="5" t="s">
        <v>85</v>
      </c>
      <c r="AC674" s="5">
        <v>1</v>
      </c>
    </row>
    <row r="675" spans="1:29" x14ac:dyDescent="0.3">
      <c r="A675" s="34">
        <v>46274</v>
      </c>
      <c r="B675" s="34">
        <v>46274</v>
      </c>
      <c r="C675" s="5" t="s">
        <v>78</v>
      </c>
      <c r="D675" s="5" t="s">
        <v>79</v>
      </c>
      <c r="E675" s="5" t="s">
        <v>80</v>
      </c>
      <c r="F675" s="5">
        <v>2799</v>
      </c>
      <c r="G675" s="5" t="s">
        <v>2118</v>
      </c>
      <c r="H675" s="5" t="s">
        <v>2119</v>
      </c>
      <c r="I675" s="5" t="s">
        <v>212</v>
      </c>
      <c r="N675" s="5" t="s">
        <v>2120</v>
      </c>
      <c r="O675" s="5">
        <v>364.45</v>
      </c>
      <c r="P675" s="5">
        <v>398.15</v>
      </c>
      <c r="Q675" s="5">
        <v>351.4</v>
      </c>
      <c r="R675" s="5">
        <v>373.75</v>
      </c>
      <c r="S675" s="5">
        <v>378</v>
      </c>
      <c r="T675" s="5">
        <v>354.9</v>
      </c>
      <c r="V675" s="5">
        <v>373.3</v>
      </c>
      <c r="Y675" s="5">
        <v>15562</v>
      </c>
      <c r="Z675" s="5">
        <v>5893244</v>
      </c>
      <c r="AA675" s="5">
        <v>1198</v>
      </c>
      <c r="AB675" s="5" t="s">
        <v>85</v>
      </c>
      <c r="AC675" s="5">
        <v>1</v>
      </c>
    </row>
    <row r="676" spans="1:29" x14ac:dyDescent="0.3">
      <c r="A676" s="34">
        <v>46274</v>
      </c>
      <c r="B676" s="34">
        <v>46274</v>
      </c>
      <c r="C676" s="5" t="s">
        <v>78</v>
      </c>
      <c r="D676" s="5" t="s">
        <v>79</v>
      </c>
      <c r="E676" s="5" t="s">
        <v>80</v>
      </c>
      <c r="F676" s="5">
        <v>5449</v>
      </c>
      <c r="G676" s="5" t="s">
        <v>2121</v>
      </c>
      <c r="H676" s="5" t="s">
        <v>2122</v>
      </c>
      <c r="I676" s="5" t="s">
        <v>212</v>
      </c>
      <c r="N676" s="5" t="s">
        <v>2123</v>
      </c>
      <c r="O676" s="5">
        <v>180.5</v>
      </c>
      <c r="P676" s="5">
        <v>180.91</v>
      </c>
      <c r="Q676" s="5">
        <v>174.12</v>
      </c>
      <c r="R676" s="5">
        <v>176.88</v>
      </c>
      <c r="S676" s="5">
        <v>178</v>
      </c>
      <c r="T676" s="5">
        <v>180.76</v>
      </c>
      <c r="V676" s="5">
        <v>176.89</v>
      </c>
      <c r="Y676" s="5">
        <v>391876</v>
      </c>
      <c r="Z676" s="5">
        <v>69121921.659999996</v>
      </c>
      <c r="AA676" s="5">
        <v>6599</v>
      </c>
      <c r="AB676" s="5" t="s">
        <v>85</v>
      </c>
      <c r="AC676" s="5">
        <v>1</v>
      </c>
    </row>
    <row r="677" spans="1:29" x14ac:dyDescent="0.3">
      <c r="A677" s="34">
        <v>46274</v>
      </c>
      <c r="B677" s="34">
        <v>46274</v>
      </c>
      <c r="C677" s="5" t="s">
        <v>78</v>
      </c>
      <c r="D677" s="5" t="s">
        <v>79</v>
      </c>
      <c r="E677" s="5" t="s">
        <v>80</v>
      </c>
      <c r="F677" s="5">
        <v>2049</v>
      </c>
      <c r="G677" s="5" t="s">
        <v>2124</v>
      </c>
      <c r="H677" s="5" t="s">
        <v>2125</v>
      </c>
      <c r="I677" s="5" t="s">
        <v>212</v>
      </c>
      <c r="N677" s="5" t="s">
        <v>2126</v>
      </c>
      <c r="O677" s="5">
        <v>1466.5</v>
      </c>
      <c r="P677" s="5">
        <v>1619</v>
      </c>
      <c r="Q677" s="5">
        <v>1466</v>
      </c>
      <c r="R677" s="5">
        <v>1604.4</v>
      </c>
      <c r="S677" s="5">
        <v>1596.5</v>
      </c>
      <c r="T677" s="5">
        <v>1457.8</v>
      </c>
      <c r="V677" s="5">
        <v>1604.34</v>
      </c>
      <c r="Y677" s="5">
        <v>8400385</v>
      </c>
      <c r="Z677" s="5">
        <v>13156624489.1</v>
      </c>
      <c r="AA677" s="5">
        <v>249214</v>
      </c>
      <c r="AB677" s="5" t="s">
        <v>85</v>
      </c>
      <c r="AC677" s="5">
        <v>1</v>
      </c>
    </row>
    <row r="678" spans="1:29" x14ac:dyDescent="0.3">
      <c r="A678" s="34">
        <v>46274</v>
      </c>
      <c r="B678" s="34">
        <v>46274</v>
      </c>
      <c r="C678" s="5" t="s">
        <v>78</v>
      </c>
      <c r="D678" s="5" t="s">
        <v>79</v>
      </c>
      <c r="E678" s="5" t="s">
        <v>80</v>
      </c>
      <c r="F678" s="5">
        <v>24625</v>
      </c>
      <c r="G678" s="5" t="s">
        <v>2127</v>
      </c>
      <c r="H678" s="5" t="s">
        <v>2128</v>
      </c>
      <c r="I678" s="5" t="s">
        <v>313</v>
      </c>
      <c r="N678" s="5" t="s">
        <v>2129</v>
      </c>
      <c r="O678" s="5">
        <v>43.95</v>
      </c>
      <c r="P678" s="5">
        <v>44</v>
      </c>
      <c r="Q678" s="5">
        <v>42.95</v>
      </c>
      <c r="R678" s="5">
        <v>44</v>
      </c>
      <c r="S678" s="5">
        <v>44</v>
      </c>
      <c r="T678" s="5">
        <v>42.05</v>
      </c>
      <c r="V678" s="5">
        <v>44</v>
      </c>
      <c r="Y678" s="5">
        <v>65600</v>
      </c>
      <c r="Z678" s="5">
        <v>2824880</v>
      </c>
      <c r="AA678" s="5">
        <v>16</v>
      </c>
      <c r="AB678" s="5" t="s">
        <v>85</v>
      </c>
      <c r="AC678" s="5">
        <v>1600</v>
      </c>
    </row>
    <row r="679" spans="1:29" x14ac:dyDescent="0.3">
      <c r="A679" s="34">
        <v>46274</v>
      </c>
      <c r="B679" s="34">
        <v>46274</v>
      </c>
      <c r="C679" s="5" t="s">
        <v>78</v>
      </c>
      <c r="D679" s="5" t="s">
        <v>79</v>
      </c>
      <c r="E679" s="5" t="s">
        <v>80</v>
      </c>
      <c r="F679" s="5">
        <v>9879</v>
      </c>
      <c r="G679" s="5" t="s">
        <v>2130</v>
      </c>
      <c r="H679" s="5" t="s">
        <v>2131</v>
      </c>
      <c r="I679" s="5" t="s">
        <v>212</v>
      </c>
      <c r="N679" s="5" t="s">
        <v>2132</v>
      </c>
      <c r="O679" s="5">
        <v>1205.3</v>
      </c>
      <c r="P679" s="5">
        <v>1224.3</v>
      </c>
      <c r="Q679" s="5">
        <v>1180.0999999999999</v>
      </c>
      <c r="R679" s="5">
        <v>1184.9000000000001</v>
      </c>
      <c r="S679" s="5">
        <v>1185</v>
      </c>
      <c r="T679" s="5">
        <v>1214.5999999999999</v>
      </c>
      <c r="V679" s="5">
        <v>1185.1099999999999</v>
      </c>
      <c r="Y679" s="5">
        <v>1489</v>
      </c>
      <c r="Z679" s="5">
        <v>1783246.4</v>
      </c>
      <c r="AA679" s="5">
        <v>198</v>
      </c>
      <c r="AB679" s="5" t="s">
        <v>85</v>
      </c>
      <c r="AC679" s="5">
        <v>1</v>
      </c>
    </row>
    <row r="680" spans="1:29" x14ac:dyDescent="0.3">
      <c r="A680" s="34">
        <v>46274</v>
      </c>
      <c r="B680" s="34">
        <v>46274</v>
      </c>
      <c r="C680" s="5" t="s">
        <v>78</v>
      </c>
      <c r="D680" s="5" t="s">
        <v>79</v>
      </c>
      <c r="E680" s="5" t="s">
        <v>80</v>
      </c>
      <c r="F680" s="5">
        <v>8866</v>
      </c>
      <c r="G680" s="5" t="s">
        <v>2133</v>
      </c>
      <c r="H680" s="5" t="s">
        <v>2134</v>
      </c>
      <c r="I680" s="5" t="s">
        <v>212</v>
      </c>
      <c r="N680" s="5" t="s">
        <v>2135</v>
      </c>
      <c r="O680" s="5">
        <v>752.85</v>
      </c>
      <c r="P680" s="5">
        <v>755.4</v>
      </c>
      <c r="Q680" s="5">
        <v>745.15</v>
      </c>
      <c r="R680" s="5">
        <v>750.65</v>
      </c>
      <c r="S680" s="5">
        <v>751</v>
      </c>
      <c r="T680" s="5">
        <v>753.45</v>
      </c>
      <c r="V680" s="5">
        <v>750.65</v>
      </c>
      <c r="Y680" s="5">
        <v>589501</v>
      </c>
      <c r="Z680" s="5">
        <v>442487119.89999998</v>
      </c>
      <c r="AA680" s="5">
        <v>6131</v>
      </c>
      <c r="AB680" s="5" t="s">
        <v>85</v>
      </c>
      <c r="AC680" s="5">
        <v>1</v>
      </c>
    </row>
    <row r="681" spans="1:29" x14ac:dyDescent="0.3">
      <c r="A681" s="34">
        <v>46274</v>
      </c>
      <c r="B681" s="34">
        <v>46274</v>
      </c>
      <c r="C681" s="5" t="s">
        <v>78</v>
      </c>
      <c r="D681" s="5" t="s">
        <v>79</v>
      </c>
      <c r="E681" s="5" t="s">
        <v>80</v>
      </c>
      <c r="F681" s="5">
        <v>759610</v>
      </c>
      <c r="G681" s="5" t="s">
        <v>2136</v>
      </c>
      <c r="H681" s="5" t="s">
        <v>2137</v>
      </c>
      <c r="I681" s="5" t="s">
        <v>212</v>
      </c>
      <c r="N681" s="5" t="s">
        <v>2138</v>
      </c>
      <c r="O681" s="5">
        <v>151.01</v>
      </c>
      <c r="P681" s="5">
        <v>151.88</v>
      </c>
      <c r="Q681" s="5">
        <v>149.69999999999999</v>
      </c>
      <c r="R681" s="5">
        <v>151.13</v>
      </c>
      <c r="S681" s="5">
        <v>151.19</v>
      </c>
      <c r="T681" s="5">
        <v>151.01</v>
      </c>
      <c r="V681" s="5">
        <v>151.12</v>
      </c>
      <c r="Y681" s="5">
        <v>6629</v>
      </c>
      <c r="Z681" s="5">
        <v>1000646.66</v>
      </c>
      <c r="AA681" s="5">
        <v>117</v>
      </c>
      <c r="AB681" s="5" t="s">
        <v>85</v>
      </c>
      <c r="AC681" s="5">
        <v>1</v>
      </c>
    </row>
    <row r="682" spans="1:29" x14ac:dyDescent="0.3">
      <c r="A682" s="34">
        <v>46274</v>
      </c>
      <c r="B682" s="34">
        <v>46274</v>
      </c>
      <c r="C682" s="5" t="s">
        <v>78</v>
      </c>
      <c r="D682" s="5" t="s">
        <v>79</v>
      </c>
      <c r="E682" s="5" t="s">
        <v>80</v>
      </c>
      <c r="F682" s="5">
        <v>21740</v>
      </c>
      <c r="G682" s="5" t="s">
        <v>2139</v>
      </c>
      <c r="H682" s="5" t="s">
        <v>2140</v>
      </c>
      <c r="I682" s="5" t="s">
        <v>212</v>
      </c>
      <c r="N682" s="5" t="s">
        <v>2141</v>
      </c>
      <c r="O682" s="5">
        <v>1530</v>
      </c>
      <c r="P682" s="5">
        <v>1535.9</v>
      </c>
      <c r="Q682" s="5">
        <v>1510</v>
      </c>
      <c r="R682" s="5">
        <v>1530.6</v>
      </c>
      <c r="S682" s="5">
        <v>1533.1</v>
      </c>
      <c r="T682" s="5">
        <v>1526.2</v>
      </c>
      <c r="V682" s="5">
        <v>1530.55</v>
      </c>
      <c r="Y682" s="5">
        <v>50582</v>
      </c>
      <c r="Z682" s="5">
        <v>77256368.700000003</v>
      </c>
      <c r="AA682" s="5">
        <v>6264</v>
      </c>
      <c r="AB682" s="5" t="s">
        <v>85</v>
      </c>
      <c r="AC682" s="5">
        <v>1</v>
      </c>
    </row>
    <row r="683" spans="1:29" x14ac:dyDescent="0.3">
      <c r="A683" s="34">
        <v>46274</v>
      </c>
      <c r="B683" s="34">
        <v>46274</v>
      </c>
      <c r="C683" s="5" t="s">
        <v>78</v>
      </c>
      <c r="D683" s="5" t="s">
        <v>79</v>
      </c>
      <c r="E683" s="5" t="s">
        <v>80</v>
      </c>
      <c r="F683" s="5">
        <v>685</v>
      </c>
      <c r="G683" s="5" t="s">
        <v>2142</v>
      </c>
      <c r="H683" s="5" t="s">
        <v>2143</v>
      </c>
      <c r="I683" s="5" t="s">
        <v>212</v>
      </c>
      <c r="N683" s="5" t="s">
        <v>2144</v>
      </c>
      <c r="O683" s="5">
        <v>1828.4</v>
      </c>
      <c r="P683" s="5">
        <v>1843.4</v>
      </c>
      <c r="Q683" s="5">
        <v>1809</v>
      </c>
      <c r="R683" s="5">
        <v>1829</v>
      </c>
      <c r="S683" s="5">
        <v>1829</v>
      </c>
      <c r="T683" s="5">
        <v>1823.4</v>
      </c>
      <c r="V683" s="5">
        <v>1829</v>
      </c>
      <c r="Y683" s="5">
        <v>1079333</v>
      </c>
      <c r="Z683" s="5">
        <v>1973237511.8</v>
      </c>
      <c r="AA683" s="5">
        <v>38656</v>
      </c>
      <c r="AB683" s="5" t="s">
        <v>85</v>
      </c>
      <c r="AC683" s="5">
        <v>1</v>
      </c>
    </row>
    <row r="684" spans="1:29" x14ac:dyDescent="0.3">
      <c r="A684" s="34">
        <v>46274</v>
      </c>
      <c r="B684" s="34">
        <v>46274</v>
      </c>
      <c r="C684" s="5" t="s">
        <v>78</v>
      </c>
      <c r="D684" s="5" t="s">
        <v>79</v>
      </c>
      <c r="E684" s="5" t="s">
        <v>80</v>
      </c>
      <c r="F684" s="5">
        <v>14937</v>
      </c>
      <c r="G684" s="5" t="s">
        <v>2145</v>
      </c>
      <c r="H684" s="5" t="s">
        <v>2146</v>
      </c>
      <c r="I684" s="5" t="s">
        <v>212</v>
      </c>
      <c r="N684" s="5" t="s">
        <v>2147</v>
      </c>
      <c r="O684" s="5">
        <v>383.4</v>
      </c>
      <c r="P684" s="5">
        <v>386.5</v>
      </c>
      <c r="Q684" s="5">
        <v>381</v>
      </c>
      <c r="R684" s="5">
        <v>381.65</v>
      </c>
      <c r="S684" s="5">
        <v>382.95</v>
      </c>
      <c r="T684" s="5">
        <v>383.4</v>
      </c>
      <c r="V684" s="5">
        <v>381.64</v>
      </c>
      <c r="Y684" s="5">
        <v>261325</v>
      </c>
      <c r="Z684" s="5">
        <v>100176520.7</v>
      </c>
      <c r="AA684" s="5">
        <v>11341</v>
      </c>
      <c r="AB684" s="5" t="s">
        <v>85</v>
      </c>
      <c r="AC684" s="5">
        <v>1</v>
      </c>
    </row>
    <row r="685" spans="1:29" x14ac:dyDescent="0.3">
      <c r="A685" s="34">
        <v>46274</v>
      </c>
      <c r="B685" s="34">
        <v>46274</v>
      </c>
      <c r="C685" s="5" t="s">
        <v>78</v>
      </c>
      <c r="D685" s="5" t="s">
        <v>79</v>
      </c>
      <c r="E685" s="5" t="s">
        <v>80</v>
      </c>
      <c r="F685" s="5">
        <v>27161</v>
      </c>
      <c r="G685" s="5" t="s">
        <v>2148</v>
      </c>
      <c r="H685" s="5" t="s">
        <v>2149</v>
      </c>
      <c r="I685" s="5" t="s">
        <v>212</v>
      </c>
      <c r="N685" s="5" t="s">
        <v>2150</v>
      </c>
      <c r="O685" s="5">
        <v>95.01</v>
      </c>
      <c r="P685" s="5">
        <v>97.35</v>
      </c>
      <c r="Q685" s="5">
        <v>93.01</v>
      </c>
      <c r="R685" s="5">
        <v>93.96</v>
      </c>
      <c r="S685" s="5">
        <v>94.01</v>
      </c>
      <c r="T685" s="5">
        <v>95.39</v>
      </c>
      <c r="V685" s="5">
        <v>93.98</v>
      </c>
      <c r="Y685" s="5">
        <v>26990</v>
      </c>
      <c r="Z685" s="5">
        <v>2542529.36</v>
      </c>
      <c r="AA685" s="5">
        <v>629</v>
      </c>
      <c r="AB685" s="5" t="s">
        <v>85</v>
      </c>
      <c r="AC685" s="5">
        <v>1</v>
      </c>
    </row>
    <row r="686" spans="1:29" x14ac:dyDescent="0.3">
      <c r="A686" s="34">
        <v>46274</v>
      </c>
      <c r="B686" s="34">
        <v>46274</v>
      </c>
      <c r="C686" s="5" t="s">
        <v>78</v>
      </c>
      <c r="D686" s="5" t="s">
        <v>79</v>
      </c>
      <c r="E686" s="5" t="s">
        <v>80</v>
      </c>
      <c r="F686" s="5">
        <v>8024</v>
      </c>
      <c r="G686" s="5" t="s">
        <v>2151</v>
      </c>
      <c r="H686" s="5" t="s">
        <v>2152</v>
      </c>
      <c r="I686" s="5" t="s">
        <v>212</v>
      </c>
      <c r="N686" s="5" t="s">
        <v>2153</v>
      </c>
      <c r="O686" s="5">
        <v>14.7</v>
      </c>
      <c r="P686" s="5">
        <v>14.7</v>
      </c>
      <c r="Q686" s="5">
        <v>14.12</v>
      </c>
      <c r="R686" s="5">
        <v>14.24</v>
      </c>
      <c r="S686" s="5">
        <v>14.52</v>
      </c>
      <c r="T686" s="5">
        <v>14.21</v>
      </c>
      <c r="V686" s="5">
        <v>14.24</v>
      </c>
      <c r="Y686" s="5">
        <v>4924</v>
      </c>
      <c r="Z686" s="5">
        <v>70924.27</v>
      </c>
      <c r="AA686" s="5">
        <v>52</v>
      </c>
      <c r="AB686" s="5" t="s">
        <v>85</v>
      </c>
      <c r="AC686" s="5">
        <v>1</v>
      </c>
    </row>
    <row r="687" spans="1:29" x14ac:dyDescent="0.3">
      <c r="A687" s="34">
        <v>46274</v>
      </c>
      <c r="B687" s="34">
        <v>46274</v>
      </c>
      <c r="C687" s="5" t="s">
        <v>78</v>
      </c>
      <c r="D687" s="5" t="s">
        <v>79</v>
      </c>
      <c r="E687" s="5" t="s">
        <v>80</v>
      </c>
      <c r="F687" s="5">
        <v>694</v>
      </c>
      <c r="G687" s="5" t="s">
        <v>2154</v>
      </c>
      <c r="H687" s="5" t="s">
        <v>2155</v>
      </c>
      <c r="I687" s="5" t="s">
        <v>212</v>
      </c>
      <c r="N687" s="5" t="s">
        <v>2156</v>
      </c>
      <c r="O687" s="5">
        <v>1380</v>
      </c>
      <c r="P687" s="5">
        <v>1388.7</v>
      </c>
      <c r="Q687" s="5">
        <v>1363.1</v>
      </c>
      <c r="R687" s="5">
        <v>1363.1</v>
      </c>
      <c r="S687" s="5">
        <v>1363.1</v>
      </c>
      <c r="T687" s="5">
        <v>1384</v>
      </c>
      <c r="V687" s="5">
        <v>1363.11</v>
      </c>
      <c r="Y687" s="5">
        <v>818773</v>
      </c>
      <c r="Z687" s="5">
        <v>1123891841.8</v>
      </c>
      <c r="AA687" s="5">
        <v>70667</v>
      </c>
      <c r="AB687" s="5" t="s">
        <v>85</v>
      </c>
      <c r="AC687" s="5">
        <v>1</v>
      </c>
    </row>
    <row r="688" spans="1:29" x14ac:dyDescent="0.3">
      <c r="A688" s="34">
        <v>46274</v>
      </c>
      <c r="B688" s="34">
        <v>46274</v>
      </c>
      <c r="C688" s="5" t="s">
        <v>78</v>
      </c>
      <c r="D688" s="5" t="s">
        <v>79</v>
      </c>
      <c r="E688" s="5" t="s">
        <v>80</v>
      </c>
      <c r="F688" s="5">
        <v>763149</v>
      </c>
      <c r="G688" s="5" t="s">
        <v>2157</v>
      </c>
      <c r="H688" s="5" t="s">
        <v>2158</v>
      </c>
      <c r="I688" s="5" t="s">
        <v>822</v>
      </c>
      <c r="N688" s="5" t="s">
        <v>2159</v>
      </c>
      <c r="O688" s="5">
        <v>116.4</v>
      </c>
      <c r="P688" s="5">
        <v>116.4</v>
      </c>
      <c r="Q688" s="5">
        <v>115.52</v>
      </c>
      <c r="R688" s="5">
        <v>115.59</v>
      </c>
      <c r="S688" s="5">
        <v>115.71</v>
      </c>
      <c r="T688" s="5">
        <v>116.08</v>
      </c>
      <c r="V688" s="5">
        <v>115.59</v>
      </c>
      <c r="Y688" s="5">
        <v>31071</v>
      </c>
      <c r="Z688" s="5">
        <v>3604020.73</v>
      </c>
      <c r="AA688" s="5">
        <v>126</v>
      </c>
      <c r="AB688" s="5" t="s">
        <v>85</v>
      </c>
      <c r="AC688" s="5">
        <v>1</v>
      </c>
    </row>
    <row r="689" spans="1:29" x14ac:dyDescent="0.3">
      <c r="A689" s="34">
        <v>46274</v>
      </c>
      <c r="B689" s="34">
        <v>46274</v>
      </c>
      <c r="C689" s="5" t="s">
        <v>78</v>
      </c>
      <c r="D689" s="5" t="s">
        <v>79</v>
      </c>
      <c r="E689" s="5" t="s">
        <v>80</v>
      </c>
      <c r="F689" s="5">
        <v>5701</v>
      </c>
      <c r="G689" s="5" t="s">
        <v>2160</v>
      </c>
      <c r="H689" s="5" t="s">
        <v>2161</v>
      </c>
      <c r="I689" s="5" t="s">
        <v>212</v>
      </c>
      <c r="N689" s="5" t="s">
        <v>2162</v>
      </c>
      <c r="O689" s="5">
        <v>232.95</v>
      </c>
      <c r="P689" s="5">
        <v>235.57</v>
      </c>
      <c r="Q689" s="5">
        <v>230.23</v>
      </c>
      <c r="R689" s="5">
        <v>231.67</v>
      </c>
      <c r="S689" s="5">
        <v>232</v>
      </c>
      <c r="T689" s="5">
        <v>232.97</v>
      </c>
      <c r="V689" s="5">
        <v>231.68</v>
      </c>
      <c r="Y689" s="5">
        <v>1015686</v>
      </c>
      <c r="Z689" s="5">
        <v>235987397.03</v>
      </c>
      <c r="AA689" s="5">
        <v>20295</v>
      </c>
      <c r="AB689" s="5" t="s">
        <v>85</v>
      </c>
      <c r="AC689" s="5">
        <v>1</v>
      </c>
    </row>
    <row r="690" spans="1:29" x14ac:dyDescent="0.3">
      <c r="A690" s="34">
        <v>46274</v>
      </c>
      <c r="B690" s="34">
        <v>46274</v>
      </c>
      <c r="C690" s="5" t="s">
        <v>78</v>
      </c>
      <c r="D690" s="5" t="s">
        <v>79</v>
      </c>
      <c r="E690" s="5" t="s">
        <v>80</v>
      </c>
      <c r="F690" s="5">
        <v>20223</v>
      </c>
      <c r="G690" s="5" t="s">
        <v>2163</v>
      </c>
      <c r="H690" s="5" t="s">
        <v>2164</v>
      </c>
      <c r="I690" s="5" t="s">
        <v>212</v>
      </c>
      <c r="N690" s="5" t="s">
        <v>2165</v>
      </c>
      <c r="O690" s="5">
        <v>58.5</v>
      </c>
      <c r="P690" s="5">
        <v>60.15</v>
      </c>
      <c r="Q690" s="5">
        <v>57.25</v>
      </c>
      <c r="R690" s="5">
        <v>58.74</v>
      </c>
      <c r="S690" s="5">
        <v>57.72</v>
      </c>
      <c r="T690" s="5">
        <v>59.11</v>
      </c>
      <c r="V690" s="5">
        <v>58.74</v>
      </c>
      <c r="Y690" s="5">
        <v>7604</v>
      </c>
      <c r="Z690" s="5">
        <v>448038.74</v>
      </c>
      <c r="AA690" s="5">
        <v>117</v>
      </c>
      <c r="AB690" s="5" t="s">
        <v>85</v>
      </c>
      <c r="AC690" s="5">
        <v>1</v>
      </c>
    </row>
    <row r="691" spans="1:29" x14ac:dyDescent="0.3">
      <c r="A691" s="34">
        <v>46274</v>
      </c>
      <c r="B691" s="34">
        <v>46274</v>
      </c>
      <c r="C691" s="5" t="s">
        <v>78</v>
      </c>
      <c r="D691" s="5" t="s">
        <v>79</v>
      </c>
      <c r="E691" s="5" t="s">
        <v>80</v>
      </c>
      <c r="F691" s="5">
        <v>758736</v>
      </c>
      <c r="G691" s="5" t="s">
        <v>2166</v>
      </c>
      <c r="H691" s="5" t="s">
        <v>2167</v>
      </c>
      <c r="I691" s="5" t="s">
        <v>313</v>
      </c>
      <c r="N691" s="5" t="s">
        <v>2168</v>
      </c>
      <c r="O691" s="5">
        <v>57.5</v>
      </c>
      <c r="P691" s="5">
        <v>58.8</v>
      </c>
      <c r="Q691" s="5">
        <v>57.5</v>
      </c>
      <c r="R691" s="5">
        <v>58.8</v>
      </c>
      <c r="S691" s="5">
        <v>58.8</v>
      </c>
      <c r="T691" s="5">
        <v>56</v>
      </c>
      <c r="V691" s="5">
        <v>58.8</v>
      </c>
      <c r="Y691" s="5">
        <v>40000</v>
      </c>
      <c r="Z691" s="5">
        <v>2337200</v>
      </c>
      <c r="AA691" s="5">
        <v>22</v>
      </c>
      <c r="AB691" s="5" t="s">
        <v>85</v>
      </c>
      <c r="AC691" s="5">
        <v>1600</v>
      </c>
    </row>
    <row r="692" spans="1:29" x14ac:dyDescent="0.3">
      <c r="A692" s="34">
        <v>46274</v>
      </c>
      <c r="B692" s="34">
        <v>46274</v>
      </c>
      <c r="C692" s="5" t="s">
        <v>78</v>
      </c>
      <c r="D692" s="5" t="s">
        <v>79</v>
      </c>
      <c r="E692" s="5" t="s">
        <v>80</v>
      </c>
      <c r="F692" s="5">
        <v>754695</v>
      </c>
      <c r="G692" s="5" t="s">
        <v>2169</v>
      </c>
      <c r="H692" s="5" t="s">
        <v>2170</v>
      </c>
      <c r="I692" s="5" t="s">
        <v>313</v>
      </c>
      <c r="N692" s="5" t="s">
        <v>2171</v>
      </c>
      <c r="O692" s="5">
        <v>153.4</v>
      </c>
      <c r="P692" s="5">
        <v>154.1</v>
      </c>
      <c r="Q692" s="5">
        <v>150.5</v>
      </c>
      <c r="R692" s="5">
        <v>150.85</v>
      </c>
      <c r="S692" s="5">
        <v>151</v>
      </c>
      <c r="T692" s="5">
        <v>150.9</v>
      </c>
      <c r="V692" s="5">
        <v>150.85</v>
      </c>
      <c r="Y692" s="5">
        <v>52200</v>
      </c>
      <c r="Z692" s="5">
        <v>7924080</v>
      </c>
      <c r="AA692" s="5">
        <v>75</v>
      </c>
      <c r="AB692" s="5" t="s">
        <v>85</v>
      </c>
      <c r="AC692" s="5">
        <v>600</v>
      </c>
    </row>
    <row r="693" spans="1:29" x14ac:dyDescent="0.3">
      <c r="A693" s="34">
        <v>46274</v>
      </c>
      <c r="B693" s="34">
        <v>46274</v>
      </c>
      <c r="C693" s="5" t="s">
        <v>78</v>
      </c>
      <c r="D693" s="5" t="s">
        <v>79</v>
      </c>
      <c r="E693" s="5" t="s">
        <v>80</v>
      </c>
      <c r="F693" s="5">
        <v>760183</v>
      </c>
      <c r="G693" s="5" t="s">
        <v>2172</v>
      </c>
      <c r="H693" s="5" t="s">
        <v>2173</v>
      </c>
      <c r="I693" s="5" t="s">
        <v>212</v>
      </c>
      <c r="N693" s="5" t="s">
        <v>2174</v>
      </c>
      <c r="O693" s="5">
        <v>1390</v>
      </c>
      <c r="P693" s="5">
        <v>1433.9</v>
      </c>
      <c r="Q693" s="5">
        <v>1380.8</v>
      </c>
      <c r="R693" s="5">
        <v>1397.6</v>
      </c>
      <c r="S693" s="5">
        <v>1400</v>
      </c>
      <c r="T693" s="5">
        <v>1399.2</v>
      </c>
      <c r="V693" s="5">
        <v>1397.6</v>
      </c>
      <c r="Y693" s="5">
        <v>152405</v>
      </c>
      <c r="Z693" s="5">
        <v>214162739.59999999</v>
      </c>
      <c r="AA693" s="5">
        <v>15223</v>
      </c>
      <c r="AB693" s="5" t="s">
        <v>85</v>
      </c>
      <c r="AC693" s="5">
        <v>1</v>
      </c>
    </row>
    <row r="694" spans="1:29" x14ac:dyDescent="0.3">
      <c r="A694" s="34">
        <v>46274</v>
      </c>
      <c r="B694" s="34">
        <v>46274</v>
      </c>
      <c r="C694" s="5" t="s">
        <v>78</v>
      </c>
      <c r="D694" s="5" t="s">
        <v>79</v>
      </c>
      <c r="E694" s="5" t="s">
        <v>80</v>
      </c>
      <c r="F694" s="5">
        <v>5049</v>
      </c>
      <c r="G694" s="5" t="s">
        <v>2175</v>
      </c>
      <c r="H694" s="5" t="s">
        <v>2176</v>
      </c>
      <c r="I694" s="5" t="s">
        <v>212</v>
      </c>
      <c r="N694" s="5" t="s">
        <v>2177</v>
      </c>
      <c r="O694" s="5">
        <v>831.6</v>
      </c>
      <c r="P694" s="5">
        <v>834.3</v>
      </c>
      <c r="Q694" s="5">
        <v>821</v>
      </c>
      <c r="R694" s="5">
        <v>825.7</v>
      </c>
      <c r="S694" s="5">
        <v>826.5</v>
      </c>
      <c r="T694" s="5">
        <v>830.25</v>
      </c>
      <c r="V694" s="5">
        <v>825.71</v>
      </c>
      <c r="Y694" s="5">
        <v>162108</v>
      </c>
      <c r="Z694" s="5">
        <v>134113321.05</v>
      </c>
      <c r="AA694" s="5">
        <v>12362</v>
      </c>
      <c r="AB694" s="5" t="s">
        <v>85</v>
      </c>
      <c r="AC694" s="5">
        <v>1</v>
      </c>
    </row>
    <row r="695" spans="1:29" x14ac:dyDescent="0.3">
      <c r="A695" s="34">
        <v>46274</v>
      </c>
      <c r="B695" s="34">
        <v>46274</v>
      </c>
      <c r="C695" s="5" t="s">
        <v>78</v>
      </c>
      <c r="D695" s="5" t="s">
        <v>79</v>
      </c>
      <c r="E695" s="5" t="s">
        <v>80</v>
      </c>
      <c r="F695" s="5">
        <v>760143</v>
      </c>
      <c r="G695" s="5" t="s">
        <v>2178</v>
      </c>
      <c r="H695" s="5" t="s">
        <v>2179</v>
      </c>
      <c r="I695" s="5" t="s">
        <v>313</v>
      </c>
      <c r="N695" s="5" t="s">
        <v>2180</v>
      </c>
      <c r="O695" s="5">
        <v>94</v>
      </c>
      <c r="P695" s="5">
        <v>94.95</v>
      </c>
      <c r="Q695" s="5">
        <v>93</v>
      </c>
      <c r="R695" s="5">
        <v>93</v>
      </c>
      <c r="S695" s="5">
        <v>93</v>
      </c>
      <c r="T695" s="5">
        <v>94.5</v>
      </c>
      <c r="V695" s="5">
        <v>93</v>
      </c>
      <c r="Y695" s="5">
        <v>5000</v>
      </c>
      <c r="Z695" s="5">
        <v>471850</v>
      </c>
      <c r="AA695" s="5">
        <v>5</v>
      </c>
      <c r="AB695" s="5" t="s">
        <v>85</v>
      </c>
      <c r="AC695" s="5">
        <v>1000</v>
      </c>
    </row>
    <row r="696" spans="1:29" x14ac:dyDescent="0.3">
      <c r="A696" s="34">
        <v>46274</v>
      </c>
      <c r="B696" s="34">
        <v>46274</v>
      </c>
      <c r="C696" s="5" t="s">
        <v>78</v>
      </c>
      <c r="D696" s="5" t="s">
        <v>79</v>
      </c>
      <c r="E696" s="5" t="s">
        <v>80</v>
      </c>
      <c r="F696" s="5">
        <v>30893</v>
      </c>
      <c r="G696" s="5" t="s">
        <v>2181</v>
      </c>
      <c r="H696" s="5" t="s">
        <v>2182</v>
      </c>
      <c r="I696" s="5" t="s">
        <v>212</v>
      </c>
      <c r="N696" s="5" t="s">
        <v>2183</v>
      </c>
      <c r="O696" s="5">
        <v>222.9</v>
      </c>
      <c r="P696" s="5">
        <v>223.7</v>
      </c>
      <c r="Q696" s="5">
        <v>216.04</v>
      </c>
      <c r="R696" s="5">
        <v>217.29</v>
      </c>
      <c r="S696" s="5">
        <v>217.5</v>
      </c>
      <c r="T696" s="5">
        <v>222.16</v>
      </c>
      <c r="V696" s="5">
        <v>217.29</v>
      </c>
      <c r="Y696" s="5">
        <v>376008</v>
      </c>
      <c r="Z696" s="5">
        <v>82266591.390000001</v>
      </c>
      <c r="AA696" s="5">
        <v>7277</v>
      </c>
      <c r="AB696" s="5" t="s">
        <v>85</v>
      </c>
      <c r="AC696" s="5">
        <v>1</v>
      </c>
    </row>
    <row r="697" spans="1:29" x14ac:dyDescent="0.3">
      <c r="A697" s="34">
        <v>46274</v>
      </c>
      <c r="B697" s="34">
        <v>46274</v>
      </c>
      <c r="C697" s="5" t="s">
        <v>78</v>
      </c>
      <c r="D697" s="5" t="s">
        <v>79</v>
      </c>
      <c r="E697" s="5" t="s">
        <v>80</v>
      </c>
      <c r="F697" s="5">
        <v>7603</v>
      </c>
      <c r="G697" s="5" t="s">
        <v>2184</v>
      </c>
      <c r="H697" s="5" t="s">
        <v>2185</v>
      </c>
      <c r="I697" s="5" t="s">
        <v>212</v>
      </c>
      <c r="N697" s="5" t="s">
        <v>2186</v>
      </c>
      <c r="O697" s="5">
        <v>236</v>
      </c>
      <c r="P697" s="5">
        <v>236</v>
      </c>
      <c r="Q697" s="5">
        <v>228.5</v>
      </c>
      <c r="R697" s="5">
        <v>231.25</v>
      </c>
      <c r="S697" s="5">
        <v>232.45</v>
      </c>
      <c r="T697" s="5">
        <v>236.58</v>
      </c>
      <c r="V697" s="5">
        <v>231.25</v>
      </c>
      <c r="Y697" s="5">
        <v>1394473</v>
      </c>
      <c r="Z697" s="5">
        <v>322417819.02999997</v>
      </c>
      <c r="AA697" s="5">
        <v>25736</v>
      </c>
      <c r="AB697" s="5" t="s">
        <v>85</v>
      </c>
      <c r="AC697" s="5">
        <v>1</v>
      </c>
    </row>
    <row r="698" spans="1:29" x14ac:dyDescent="0.3">
      <c r="A698" s="34">
        <v>46274</v>
      </c>
      <c r="B698" s="34">
        <v>46274</v>
      </c>
      <c r="C698" s="5" t="s">
        <v>78</v>
      </c>
      <c r="D698" s="5" t="s">
        <v>79</v>
      </c>
      <c r="E698" s="5" t="s">
        <v>80</v>
      </c>
      <c r="F698" s="5">
        <v>20374</v>
      </c>
      <c r="G698" s="5" t="s">
        <v>2187</v>
      </c>
      <c r="H698" s="5" t="s">
        <v>2188</v>
      </c>
      <c r="I698" s="5" t="s">
        <v>212</v>
      </c>
      <c r="N698" s="5" t="s">
        <v>2189</v>
      </c>
      <c r="O698" s="5">
        <v>420.85</v>
      </c>
      <c r="P698" s="5">
        <v>435.35</v>
      </c>
      <c r="Q698" s="5">
        <v>419.8</v>
      </c>
      <c r="R698" s="5">
        <v>431</v>
      </c>
      <c r="S698" s="5">
        <v>431</v>
      </c>
      <c r="T698" s="5">
        <v>420.25</v>
      </c>
      <c r="V698" s="5">
        <v>431</v>
      </c>
      <c r="Y698" s="5">
        <v>22791556</v>
      </c>
      <c r="Z698" s="5">
        <v>9855361477.7999992</v>
      </c>
      <c r="AA698" s="5">
        <v>174811</v>
      </c>
      <c r="AB698" s="5" t="s">
        <v>85</v>
      </c>
      <c r="AC698" s="5">
        <v>1</v>
      </c>
    </row>
    <row r="699" spans="1:29" x14ac:dyDescent="0.3">
      <c r="A699" s="34">
        <v>46274</v>
      </c>
      <c r="B699" s="34">
        <v>46274</v>
      </c>
      <c r="C699" s="5" t="s">
        <v>78</v>
      </c>
      <c r="D699" s="5" t="s">
        <v>79</v>
      </c>
      <c r="E699" s="5" t="s">
        <v>80</v>
      </c>
      <c r="F699" s="5">
        <v>6006</v>
      </c>
      <c r="G699" s="5" t="s">
        <v>2190</v>
      </c>
      <c r="H699" s="5" t="s">
        <v>2191</v>
      </c>
      <c r="I699" s="5" t="s">
        <v>212</v>
      </c>
      <c r="N699" s="5" t="s">
        <v>2192</v>
      </c>
      <c r="O699" s="5">
        <v>40.96</v>
      </c>
      <c r="P699" s="5">
        <v>41.04</v>
      </c>
      <c r="Q699" s="5">
        <v>40.01</v>
      </c>
      <c r="R699" s="5">
        <v>40.549999999999997</v>
      </c>
      <c r="S699" s="5">
        <v>41</v>
      </c>
      <c r="T699" s="5">
        <v>40.69</v>
      </c>
      <c r="V699" s="5">
        <v>40.549999999999997</v>
      </c>
      <c r="Y699" s="5">
        <v>40320</v>
      </c>
      <c r="Z699" s="5">
        <v>1638847.76</v>
      </c>
      <c r="AA699" s="5">
        <v>287</v>
      </c>
      <c r="AB699" s="5" t="s">
        <v>85</v>
      </c>
      <c r="AC699" s="5">
        <v>1</v>
      </c>
    </row>
    <row r="700" spans="1:29" x14ac:dyDescent="0.3">
      <c r="A700" s="34">
        <v>46274</v>
      </c>
      <c r="B700" s="34">
        <v>46274</v>
      </c>
      <c r="C700" s="5" t="s">
        <v>78</v>
      </c>
      <c r="D700" s="5" t="s">
        <v>79</v>
      </c>
      <c r="E700" s="5" t="s">
        <v>80</v>
      </c>
      <c r="F700" s="5">
        <v>21508</v>
      </c>
      <c r="G700" s="5" t="s">
        <v>2193</v>
      </c>
      <c r="H700" s="5" t="s">
        <v>2194</v>
      </c>
      <c r="I700" s="5" t="s">
        <v>212</v>
      </c>
      <c r="N700" s="5" t="s">
        <v>2195</v>
      </c>
      <c r="O700" s="5">
        <v>1528.2</v>
      </c>
      <c r="P700" s="5">
        <v>1562</v>
      </c>
      <c r="Q700" s="5">
        <v>1502.1</v>
      </c>
      <c r="R700" s="5">
        <v>1556</v>
      </c>
      <c r="S700" s="5">
        <v>1556</v>
      </c>
      <c r="T700" s="5">
        <v>1528.2</v>
      </c>
      <c r="V700" s="5">
        <v>1555.69</v>
      </c>
      <c r="Y700" s="5">
        <v>1253871</v>
      </c>
      <c r="Z700" s="5">
        <v>1930250528.3</v>
      </c>
      <c r="AA700" s="5">
        <v>35583</v>
      </c>
      <c r="AB700" s="5" t="s">
        <v>85</v>
      </c>
      <c r="AC700" s="5">
        <v>1</v>
      </c>
    </row>
    <row r="701" spans="1:29" x14ac:dyDescent="0.3">
      <c r="A701" s="34">
        <v>46274</v>
      </c>
      <c r="B701" s="34">
        <v>46274</v>
      </c>
      <c r="C701" s="5" t="s">
        <v>78</v>
      </c>
      <c r="D701" s="5" t="s">
        <v>79</v>
      </c>
      <c r="E701" s="5" t="s">
        <v>80</v>
      </c>
      <c r="F701" s="5">
        <v>11165</v>
      </c>
      <c r="G701" s="5" t="s">
        <v>2196</v>
      </c>
      <c r="H701" s="5" t="s">
        <v>2197</v>
      </c>
      <c r="I701" s="5" t="s">
        <v>212</v>
      </c>
      <c r="N701" s="5" t="s">
        <v>2198</v>
      </c>
      <c r="O701" s="5">
        <v>35.200000000000003</v>
      </c>
      <c r="P701" s="5">
        <v>35.340000000000003</v>
      </c>
      <c r="Q701" s="5">
        <v>32.520000000000003</v>
      </c>
      <c r="R701" s="5">
        <v>33.15</v>
      </c>
      <c r="S701" s="5">
        <v>33.119999999999997</v>
      </c>
      <c r="T701" s="5">
        <v>34.24</v>
      </c>
      <c r="V701" s="5">
        <v>33.15</v>
      </c>
      <c r="Y701" s="5">
        <v>1715870</v>
      </c>
      <c r="Z701" s="5">
        <v>57564764.600000001</v>
      </c>
      <c r="AA701" s="5">
        <v>5579</v>
      </c>
      <c r="AB701" s="5" t="s">
        <v>85</v>
      </c>
      <c r="AC701" s="5">
        <v>1</v>
      </c>
    </row>
    <row r="702" spans="1:29" x14ac:dyDescent="0.3">
      <c r="A702" s="34">
        <v>46274</v>
      </c>
      <c r="B702" s="34">
        <v>46274</v>
      </c>
      <c r="C702" s="5" t="s">
        <v>78</v>
      </c>
      <c r="D702" s="5" t="s">
        <v>79</v>
      </c>
      <c r="E702" s="5" t="s">
        <v>80</v>
      </c>
      <c r="F702" s="5">
        <v>11543</v>
      </c>
      <c r="G702" s="5" t="s">
        <v>2199</v>
      </c>
      <c r="H702" s="5" t="s">
        <v>2200</v>
      </c>
      <c r="I702" s="5" t="s">
        <v>212</v>
      </c>
      <c r="N702" s="5" t="s">
        <v>2201</v>
      </c>
      <c r="O702" s="5">
        <v>1815.5</v>
      </c>
      <c r="P702" s="5">
        <v>1877.6</v>
      </c>
      <c r="Q702" s="5">
        <v>1780.7</v>
      </c>
      <c r="R702" s="5">
        <v>1845</v>
      </c>
      <c r="S702" s="5">
        <v>1845</v>
      </c>
      <c r="T702" s="5">
        <v>1950</v>
      </c>
      <c r="V702" s="5">
        <v>1845.03</v>
      </c>
      <c r="Y702" s="5">
        <v>10837239</v>
      </c>
      <c r="Z702" s="5">
        <v>19961462640.799999</v>
      </c>
      <c r="AA702" s="5">
        <v>365377</v>
      </c>
      <c r="AB702" s="5" t="s">
        <v>85</v>
      </c>
      <c r="AC702" s="5">
        <v>1</v>
      </c>
    </row>
    <row r="703" spans="1:29" x14ac:dyDescent="0.3">
      <c r="A703" s="34">
        <v>46274</v>
      </c>
      <c r="B703" s="34">
        <v>46274</v>
      </c>
      <c r="C703" s="5" t="s">
        <v>78</v>
      </c>
      <c r="D703" s="5" t="s">
        <v>79</v>
      </c>
      <c r="E703" s="5" t="s">
        <v>80</v>
      </c>
      <c r="F703" s="5">
        <v>17945</v>
      </c>
      <c r="G703" s="5" t="s">
        <v>2202</v>
      </c>
      <c r="H703" s="5" t="s">
        <v>2203</v>
      </c>
      <c r="I703" s="5" t="s">
        <v>212</v>
      </c>
      <c r="N703" s="5" t="s">
        <v>2204</v>
      </c>
      <c r="O703" s="5">
        <v>453.85</v>
      </c>
      <c r="P703" s="5">
        <v>455.2</v>
      </c>
      <c r="Q703" s="5">
        <v>436.25</v>
      </c>
      <c r="R703" s="5">
        <v>443.35</v>
      </c>
      <c r="S703" s="5">
        <v>442.6</v>
      </c>
      <c r="T703" s="5">
        <v>451.6</v>
      </c>
      <c r="V703" s="5">
        <v>443.15</v>
      </c>
      <c r="Y703" s="5">
        <v>1415841</v>
      </c>
      <c r="Z703" s="5">
        <v>624418997.5</v>
      </c>
      <c r="AA703" s="5">
        <v>28687</v>
      </c>
      <c r="AB703" s="5" t="s">
        <v>85</v>
      </c>
      <c r="AC703" s="5">
        <v>1</v>
      </c>
    </row>
    <row r="704" spans="1:29" x14ac:dyDescent="0.3">
      <c r="A704" s="34">
        <v>46274</v>
      </c>
      <c r="B704" s="34">
        <v>46274</v>
      </c>
      <c r="C704" s="5" t="s">
        <v>78</v>
      </c>
      <c r="D704" s="5" t="s">
        <v>79</v>
      </c>
      <c r="E704" s="5" t="s">
        <v>80</v>
      </c>
      <c r="F704" s="5">
        <v>15141</v>
      </c>
      <c r="G704" s="5" t="s">
        <v>2205</v>
      </c>
      <c r="H704" s="5" t="s">
        <v>2206</v>
      </c>
      <c r="I704" s="5" t="s">
        <v>212</v>
      </c>
      <c r="N704" s="5" t="s">
        <v>2207</v>
      </c>
      <c r="O704" s="5">
        <v>1815</v>
      </c>
      <c r="P704" s="5">
        <v>1815</v>
      </c>
      <c r="Q704" s="5">
        <v>1789.8</v>
      </c>
      <c r="R704" s="5">
        <v>1800</v>
      </c>
      <c r="S704" s="5">
        <v>1800</v>
      </c>
      <c r="T704" s="5">
        <v>1819.9</v>
      </c>
      <c r="V704" s="5">
        <v>1800.02</v>
      </c>
      <c r="Y704" s="5">
        <v>518477</v>
      </c>
      <c r="Z704" s="5">
        <v>932599560.39999998</v>
      </c>
      <c r="AA704" s="5">
        <v>36350</v>
      </c>
      <c r="AB704" s="5" t="s">
        <v>85</v>
      </c>
      <c r="AC704" s="5">
        <v>1</v>
      </c>
    </row>
    <row r="705" spans="1:29" x14ac:dyDescent="0.3">
      <c r="A705" s="34">
        <v>46274</v>
      </c>
      <c r="B705" s="34">
        <v>46274</v>
      </c>
      <c r="C705" s="5" t="s">
        <v>78</v>
      </c>
      <c r="D705" s="5" t="s">
        <v>79</v>
      </c>
      <c r="E705" s="5" t="s">
        <v>80</v>
      </c>
      <c r="F705" s="5">
        <v>762628</v>
      </c>
      <c r="G705" s="5" t="s">
        <v>2208</v>
      </c>
      <c r="H705" s="5" t="s">
        <v>2209</v>
      </c>
      <c r="I705" s="5" t="s">
        <v>212</v>
      </c>
      <c r="N705" s="5" t="s">
        <v>2210</v>
      </c>
      <c r="O705" s="5">
        <v>6.19</v>
      </c>
      <c r="P705" s="5">
        <v>6.19</v>
      </c>
      <c r="Q705" s="5">
        <v>6.04</v>
      </c>
      <c r="R705" s="5">
        <v>6.13</v>
      </c>
      <c r="S705" s="5">
        <v>6.14</v>
      </c>
      <c r="T705" s="5">
        <v>6.11</v>
      </c>
      <c r="V705" s="5">
        <v>6.13</v>
      </c>
      <c r="Y705" s="5">
        <v>106634</v>
      </c>
      <c r="Z705" s="5">
        <v>652972.61</v>
      </c>
      <c r="AA705" s="5">
        <v>284</v>
      </c>
      <c r="AB705" s="5" t="s">
        <v>85</v>
      </c>
      <c r="AC705" s="5">
        <v>1</v>
      </c>
    </row>
    <row r="706" spans="1:29" x14ac:dyDescent="0.3">
      <c r="A706" s="34">
        <v>46274</v>
      </c>
      <c r="B706" s="34">
        <v>46274</v>
      </c>
      <c r="C706" s="5" t="s">
        <v>78</v>
      </c>
      <c r="D706" s="5" t="s">
        <v>79</v>
      </c>
      <c r="E706" s="5" t="s">
        <v>80</v>
      </c>
      <c r="F706" s="5">
        <v>21578</v>
      </c>
      <c r="G706" s="5" t="s">
        <v>2211</v>
      </c>
      <c r="H706" s="5" t="s">
        <v>2212</v>
      </c>
      <c r="I706" s="5" t="s">
        <v>212</v>
      </c>
      <c r="N706" s="5" t="s">
        <v>2213</v>
      </c>
      <c r="O706" s="5">
        <v>305.3</v>
      </c>
      <c r="P706" s="5">
        <v>307</v>
      </c>
      <c r="Q706" s="5">
        <v>298.3</v>
      </c>
      <c r="R706" s="5">
        <v>301.14999999999998</v>
      </c>
      <c r="S706" s="5">
        <v>299.10000000000002</v>
      </c>
      <c r="T706" s="5">
        <v>301.85000000000002</v>
      </c>
      <c r="V706" s="5">
        <v>301.16000000000003</v>
      </c>
      <c r="Y706" s="5">
        <v>618722</v>
      </c>
      <c r="Z706" s="5">
        <v>185655724.5</v>
      </c>
      <c r="AA706" s="5">
        <v>3562</v>
      </c>
      <c r="AB706" s="5" t="s">
        <v>85</v>
      </c>
      <c r="AC706" s="5">
        <v>1</v>
      </c>
    </row>
    <row r="707" spans="1:29" x14ac:dyDescent="0.3">
      <c r="A707" s="34">
        <v>46274</v>
      </c>
      <c r="B707" s="34">
        <v>46274</v>
      </c>
      <c r="C707" s="5" t="s">
        <v>78</v>
      </c>
      <c r="D707" s="5" t="s">
        <v>79</v>
      </c>
      <c r="E707" s="5" t="s">
        <v>80</v>
      </c>
      <c r="F707" s="5">
        <v>764648</v>
      </c>
      <c r="G707" s="5" t="s">
        <v>2214</v>
      </c>
      <c r="H707" s="5" t="s">
        <v>2215</v>
      </c>
      <c r="I707" s="5" t="s">
        <v>212</v>
      </c>
      <c r="N707" s="5" t="s">
        <v>2216</v>
      </c>
      <c r="O707" s="5">
        <v>361.05</v>
      </c>
      <c r="P707" s="5">
        <v>368</v>
      </c>
      <c r="Q707" s="5">
        <v>355</v>
      </c>
      <c r="R707" s="5">
        <v>364.65</v>
      </c>
      <c r="S707" s="5">
        <v>362</v>
      </c>
      <c r="T707" s="5">
        <v>369</v>
      </c>
      <c r="V707" s="5">
        <v>364.57</v>
      </c>
      <c r="Y707" s="5">
        <v>1168</v>
      </c>
      <c r="Z707" s="5">
        <v>428145.65</v>
      </c>
      <c r="AA707" s="5">
        <v>32</v>
      </c>
      <c r="AB707" s="5" t="s">
        <v>85</v>
      </c>
      <c r="AC707" s="5">
        <v>1</v>
      </c>
    </row>
    <row r="708" spans="1:29" x14ac:dyDescent="0.3">
      <c r="A708" s="34">
        <v>46274</v>
      </c>
      <c r="B708" s="34">
        <v>46274</v>
      </c>
      <c r="C708" s="5" t="s">
        <v>78</v>
      </c>
      <c r="D708" s="5" t="s">
        <v>79</v>
      </c>
      <c r="E708" s="5" t="s">
        <v>80</v>
      </c>
      <c r="F708" s="5">
        <v>19670</v>
      </c>
      <c r="G708" s="5" t="s">
        <v>2217</v>
      </c>
      <c r="H708" s="5" t="s">
        <v>2218</v>
      </c>
      <c r="I708" s="5" t="s">
        <v>614</v>
      </c>
      <c r="N708" s="5" t="s">
        <v>2219</v>
      </c>
      <c r="O708" s="5">
        <v>1.03</v>
      </c>
      <c r="P708" s="5">
        <v>1.06</v>
      </c>
      <c r="Q708" s="5">
        <v>1.03</v>
      </c>
      <c r="R708" s="5">
        <v>1.04</v>
      </c>
      <c r="S708" s="5">
        <v>1.04</v>
      </c>
      <c r="T708" s="5">
        <v>1.01</v>
      </c>
      <c r="V708" s="5">
        <v>1.0900000000000001</v>
      </c>
      <c r="Y708" s="5">
        <v>6309</v>
      </c>
      <c r="Z708" s="5">
        <v>6672.58</v>
      </c>
      <c r="AA708" s="5">
        <v>20</v>
      </c>
      <c r="AB708" s="5" t="s">
        <v>85</v>
      </c>
      <c r="AC708" s="5">
        <v>1</v>
      </c>
    </row>
    <row r="709" spans="1:29" x14ac:dyDescent="0.3">
      <c r="A709" s="34">
        <v>46274</v>
      </c>
      <c r="B709" s="34">
        <v>46274</v>
      </c>
      <c r="C709" s="5" t="s">
        <v>78</v>
      </c>
      <c r="D709" s="5" t="s">
        <v>79</v>
      </c>
      <c r="E709" s="5" t="s">
        <v>80</v>
      </c>
      <c r="F709" s="5">
        <v>31138</v>
      </c>
      <c r="G709" s="5" t="s">
        <v>2220</v>
      </c>
      <c r="H709" s="5" t="s">
        <v>2221</v>
      </c>
      <c r="I709" s="5" t="s">
        <v>212</v>
      </c>
      <c r="N709" s="5" t="s">
        <v>2222</v>
      </c>
      <c r="O709" s="5">
        <v>13.2</v>
      </c>
      <c r="P709" s="5">
        <v>13.28</v>
      </c>
      <c r="Q709" s="5">
        <v>13.1</v>
      </c>
      <c r="R709" s="5">
        <v>13.21</v>
      </c>
      <c r="S709" s="5">
        <v>13.27</v>
      </c>
      <c r="T709" s="5">
        <v>13.15</v>
      </c>
      <c r="V709" s="5">
        <v>13.21</v>
      </c>
      <c r="Y709" s="5">
        <v>7177</v>
      </c>
      <c r="Z709" s="5">
        <v>94677.55</v>
      </c>
      <c r="AA709" s="5">
        <v>83</v>
      </c>
      <c r="AB709" s="5" t="s">
        <v>85</v>
      </c>
      <c r="AC709" s="5">
        <v>1</v>
      </c>
    </row>
    <row r="710" spans="1:29" x14ac:dyDescent="0.3">
      <c r="A710" s="34">
        <v>46274</v>
      </c>
      <c r="B710" s="34">
        <v>46274</v>
      </c>
      <c r="C710" s="5" t="s">
        <v>78</v>
      </c>
      <c r="D710" s="5" t="s">
        <v>79</v>
      </c>
      <c r="E710" s="5" t="s">
        <v>80</v>
      </c>
      <c r="F710" s="5">
        <v>342</v>
      </c>
      <c r="G710" s="5" t="s">
        <v>2223</v>
      </c>
      <c r="H710" s="5" t="s">
        <v>2224</v>
      </c>
      <c r="I710" s="5" t="s">
        <v>212</v>
      </c>
      <c r="N710" s="5" t="s">
        <v>2225</v>
      </c>
      <c r="O710" s="5">
        <v>729</v>
      </c>
      <c r="P710" s="5">
        <v>730</v>
      </c>
      <c r="Q710" s="5">
        <v>711.2</v>
      </c>
      <c r="R710" s="5">
        <v>715</v>
      </c>
      <c r="S710" s="5">
        <v>715</v>
      </c>
      <c r="T710" s="5">
        <v>729.5</v>
      </c>
      <c r="V710" s="5">
        <v>715.02</v>
      </c>
      <c r="Y710" s="5">
        <v>1556690</v>
      </c>
      <c r="Z710" s="5">
        <v>1116112585.4000001</v>
      </c>
      <c r="AA710" s="5">
        <v>34886</v>
      </c>
      <c r="AB710" s="5" t="s">
        <v>85</v>
      </c>
      <c r="AC710" s="5">
        <v>1</v>
      </c>
    </row>
    <row r="711" spans="1:29" x14ac:dyDescent="0.3">
      <c r="A711" s="34">
        <v>46274</v>
      </c>
      <c r="B711" s="34">
        <v>46274</v>
      </c>
      <c r="C711" s="5" t="s">
        <v>78</v>
      </c>
      <c r="D711" s="5" t="s">
        <v>79</v>
      </c>
      <c r="E711" s="5" t="s">
        <v>80</v>
      </c>
      <c r="F711" s="5">
        <v>18060</v>
      </c>
      <c r="G711" s="5" t="s">
        <v>2226</v>
      </c>
      <c r="H711" s="5" t="s">
        <v>2227</v>
      </c>
      <c r="I711" s="5" t="s">
        <v>212</v>
      </c>
      <c r="N711" s="5" t="s">
        <v>2228</v>
      </c>
      <c r="O711" s="5">
        <v>1474</v>
      </c>
      <c r="P711" s="5">
        <v>1479.8</v>
      </c>
      <c r="Q711" s="5">
        <v>1447.6</v>
      </c>
      <c r="R711" s="5">
        <v>1464.5</v>
      </c>
      <c r="S711" s="5">
        <v>1473.5</v>
      </c>
      <c r="T711" s="5">
        <v>1470.5</v>
      </c>
      <c r="V711" s="5">
        <v>1464.51</v>
      </c>
      <c r="Y711" s="5">
        <v>140985</v>
      </c>
      <c r="Z711" s="5">
        <v>206235850.30000001</v>
      </c>
      <c r="AA711" s="5">
        <v>32340</v>
      </c>
      <c r="AB711" s="5" t="s">
        <v>85</v>
      </c>
      <c r="AC711" s="5">
        <v>1</v>
      </c>
    </row>
    <row r="712" spans="1:29" x14ac:dyDescent="0.3">
      <c r="A712" s="34">
        <v>46274</v>
      </c>
      <c r="B712" s="34">
        <v>46274</v>
      </c>
      <c r="C712" s="5" t="s">
        <v>78</v>
      </c>
      <c r="D712" s="5" t="s">
        <v>79</v>
      </c>
      <c r="E712" s="5" t="s">
        <v>80</v>
      </c>
      <c r="F712" s="5">
        <v>28764</v>
      </c>
      <c r="G712" s="5" t="s">
        <v>2229</v>
      </c>
      <c r="H712" s="5" t="s">
        <v>2230</v>
      </c>
      <c r="I712" s="5" t="s">
        <v>212</v>
      </c>
      <c r="N712" s="5" t="s">
        <v>2231</v>
      </c>
      <c r="O712" s="5">
        <v>268.75</v>
      </c>
      <c r="P712" s="5">
        <v>284.3</v>
      </c>
      <c r="Q712" s="5">
        <v>264.05</v>
      </c>
      <c r="R712" s="5">
        <v>280.3</v>
      </c>
      <c r="S712" s="5">
        <v>280</v>
      </c>
      <c r="T712" s="5">
        <v>267</v>
      </c>
      <c r="V712" s="5">
        <v>280.26</v>
      </c>
      <c r="Y712" s="5">
        <v>384572</v>
      </c>
      <c r="Z712" s="5">
        <v>106839102.45</v>
      </c>
      <c r="AA712" s="5">
        <v>11158</v>
      </c>
      <c r="AB712" s="5" t="s">
        <v>85</v>
      </c>
      <c r="AC712" s="5">
        <v>1</v>
      </c>
    </row>
    <row r="713" spans="1:29" x14ac:dyDescent="0.3">
      <c r="A713" s="34">
        <v>46274</v>
      </c>
      <c r="B713" s="34">
        <v>46274</v>
      </c>
      <c r="C713" s="5" t="s">
        <v>78</v>
      </c>
      <c r="D713" s="5" t="s">
        <v>79</v>
      </c>
      <c r="E713" s="5" t="s">
        <v>80</v>
      </c>
      <c r="F713" s="5">
        <v>764638</v>
      </c>
      <c r="G713" s="5" t="s">
        <v>2232</v>
      </c>
      <c r="H713" s="5" t="s">
        <v>2233</v>
      </c>
      <c r="I713" s="5" t="s">
        <v>212</v>
      </c>
      <c r="N713" s="5" t="s">
        <v>2234</v>
      </c>
      <c r="O713" s="5">
        <v>32.5</v>
      </c>
      <c r="P713" s="5">
        <v>38.65</v>
      </c>
      <c r="Q713" s="5">
        <v>32.049999999999997</v>
      </c>
      <c r="R713" s="5">
        <v>38.65</v>
      </c>
      <c r="S713" s="5">
        <v>38.65</v>
      </c>
      <c r="T713" s="5">
        <v>32.21</v>
      </c>
      <c r="V713" s="5">
        <v>39.06</v>
      </c>
      <c r="Y713" s="5">
        <v>147540</v>
      </c>
      <c r="Z713" s="5">
        <v>5503547.9299999997</v>
      </c>
      <c r="AA713" s="5">
        <v>1210</v>
      </c>
      <c r="AB713" s="5" t="s">
        <v>85</v>
      </c>
      <c r="AC713" s="5">
        <v>1</v>
      </c>
    </row>
    <row r="714" spans="1:29" x14ac:dyDescent="0.3">
      <c r="A714" s="34">
        <v>46274</v>
      </c>
      <c r="B714" s="34">
        <v>46274</v>
      </c>
      <c r="C714" s="5" t="s">
        <v>78</v>
      </c>
      <c r="D714" s="5" t="s">
        <v>79</v>
      </c>
      <c r="E714" s="5" t="s">
        <v>80</v>
      </c>
      <c r="F714" s="5">
        <v>10238</v>
      </c>
      <c r="G714" s="5" t="s">
        <v>2235</v>
      </c>
      <c r="H714" s="5" t="s">
        <v>2236</v>
      </c>
      <c r="I714" s="5" t="s">
        <v>212</v>
      </c>
      <c r="N714" s="5" t="s">
        <v>2237</v>
      </c>
      <c r="O714" s="5">
        <v>82.98</v>
      </c>
      <c r="P714" s="5">
        <v>91.3</v>
      </c>
      <c r="Q714" s="5">
        <v>82.98</v>
      </c>
      <c r="R714" s="5">
        <v>90.66</v>
      </c>
      <c r="S714" s="5">
        <v>90.02</v>
      </c>
      <c r="T714" s="5">
        <v>82.49</v>
      </c>
      <c r="V714" s="5">
        <v>90.63</v>
      </c>
      <c r="Y714" s="5">
        <v>15689882</v>
      </c>
      <c r="Z714" s="5">
        <v>1393393408.79</v>
      </c>
      <c r="AA714" s="5">
        <v>76396</v>
      </c>
      <c r="AB714" s="5" t="s">
        <v>85</v>
      </c>
      <c r="AC714" s="5">
        <v>1</v>
      </c>
    </row>
    <row r="715" spans="1:29" x14ac:dyDescent="0.3">
      <c r="A715" s="34">
        <v>46274</v>
      </c>
      <c r="B715" s="34">
        <v>46274</v>
      </c>
      <c r="C715" s="5" t="s">
        <v>78</v>
      </c>
      <c r="D715" s="5" t="s">
        <v>79</v>
      </c>
      <c r="E715" s="5" t="s">
        <v>80</v>
      </c>
      <c r="F715" s="5">
        <v>758453</v>
      </c>
      <c r="G715" s="5" t="s">
        <v>2238</v>
      </c>
      <c r="H715" s="5" t="s">
        <v>2239</v>
      </c>
      <c r="I715" s="5" t="s">
        <v>313</v>
      </c>
      <c r="N715" s="5" t="s">
        <v>2240</v>
      </c>
      <c r="O715" s="5">
        <v>254</v>
      </c>
      <c r="P715" s="5">
        <v>272</v>
      </c>
      <c r="Q715" s="5">
        <v>254</v>
      </c>
      <c r="R715" s="5">
        <v>266.39999999999998</v>
      </c>
      <c r="S715" s="5">
        <v>265</v>
      </c>
      <c r="T715" s="5">
        <v>250</v>
      </c>
      <c r="V715" s="5">
        <v>266.39999999999998</v>
      </c>
      <c r="Y715" s="5">
        <v>158400</v>
      </c>
      <c r="Z715" s="5">
        <v>41781080</v>
      </c>
      <c r="AA715" s="5">
        <v>173</v>
      </c>
      <c r="AB715" s="5" t="s">
        <v>85</v>
      </c>
      <c r="AC715" s="5">
        <v>800</v>
      </c>
    </row>
    <row r="716" spans="1:29" x14ac:dyDescent="0.3">
      <c r="A716" s="34">
        <v>46274</v>
      </c>
      <c r="B716" s="34">
        <v>46274</v>
      </c>
      <c r="C716" s="5" t="s">
        <v>78</v>
      </c>
      <c r="D716" s="5" t="s">
        <v>79</v>
      </c>
      <c r="E716" s="5" t="s">
        <v>80</v>
      </c>
      <c r="F716" s="5">
        <v>14992</v>
      </c>
      <c r="G716" s="5" t="s">
        <v>2241</v>
      </c>
      <c r="H716" s="5" t="s">
        <v>2242</v>
      </c>
      <c r="I716" s="5" t="s">
        <v>212</v>
      </c>
      <c r="N716" s="5" t="s">
        <v>2243</v>
      </c>
      <c r="O716" s="5">
        <v>14.29</v>
      </c>
      <c r="P716" s="5">
        <v>14.3</v>
      </c>
      <c r="Q716" s="5">
        <v>13.95</v>
      </c>
      <c r="R716" s="5">
        <v>14.12</v>
      </c>
      <c r="S716" s="5">
        <v>14.18</v>
      </c>
      <c r="T716" s="5">
        <v>14.09</v>
      </c>
      <c r="V716" s="5">
        <v>14.1</v>
      </c>
      <c r="Y716" s="5">
        <v>229188</v>
      </c>
      <c r="Z716" s="5">
        <v>3239586.24</v>
      </c>
      <c r="AA716" s="5">
        <v>638</v>
      </c>
      <c r="AB716" s="5" t="s">
        <v>85</v>
      </c>
      <c r="AC716" s="5">
        <v>1</v>
      </c>
    </row>
    <row r="717" spans="1:29" x14ac:dyDescent="0.3">
      <c r="A717" s="34">
        <v>46274</v>
      </c>
      <c r="B717" s="34">
        <v>46274</v>
      </c>
      <c r="C717" s="5" t="s">
        <v>78</v>
      </c>
      <c r="D717" s="5" t="s">
        <v>79</v>
      </c>
      <c r="E717" s="5" t="s">
        <v>80</v>
      </c>
      <c r="F717" s="5">
        <v>11732</v>
      </c>
      <c r="G717" s="5" t="s">
        <v>2244</v>
      </c>
      <c r="H717" s="5" t="s">
        <v>2245</v>
      </c>
      <c r="I717" s="5" t="s">
        <v>234</v>
      </c>
      <c r="N717" s="5" t="s">
        <v>2246</v>
      </c>
      <c r="O717" s="5">
        <v>315</v>
      </c>
      <c r="P717" s="5">
        <v>315</v>
      </c>
      <c r="Q717" s="5">
        <v>301.60000000000002</v>
      </c>
      <c r="R717" s="5">
        <v>305.05</v>
      </c>
      <c r="S717" s="5">
        <v>304</v>
      </c>
      <c r="T717" s="5">
        <v>317.45</v>
      </c>
      <c r="V717" s="5">
        <v>305.05</v>
      </c>
      <c r="Y717" s="5">
        <v>9735</v>
      </c>
      <c r="Z717" s="5">
        <v>2968291.45</v>
      </c>
      <c r="AA717" s="5">
        <v>124</v>
      </c>
      <c r="AB717" s="5" t="s">
        <v>85</v>
      </c>
      <c r="AC717" s="5">
        <v>1</v>
      </c>
    </row>
    <row r="718" spans="1:29" x14ac:dyDescent="0.3">
      <c r="A718" s="34">
        <v>46274</v>
      </c>
      <c r="B718" s="34">
        <v>46274</v>
      </c>
      <c r="C718" s="5" t="s">
        <v>78</v>
      </c>
      <c r="D718" s="5" t="s">
        <v>79</v>
      </c>
      <c r="E718" s="5" t="s">
        <v>80</v>
      </c>
      <c r="F718" s="5">
        <v>4749</v>
      </c>
      <c r="G718" s="5" t="s">
        <v>2247</v>
      </c>
      <c r="H718" s="5" t="s">
        <v>2248</v>
      </c>
      <c r="I718" s="5" t="s">
        <v>212</v>
      </c>
      <c r="N718" s="5" t="s">
        <v>2249</v>
      </c>
      <c r="O718" s="5">
        <v>502</v>
      </c>
      <c r="P718" s="5">
        <v>512.45000000000005</v>
      </c>
      <c r="Q718" s="5">
        <v>499.5</v>
      </c>
      <c r="R718" s="5">
        <v>510</v>
      </c>
      <c r="S718" s="5">
        <v>510</v>
      </c>
      <c r="T718" s="5">
        <v>502</v>
      </c>
      <c r="V718" s="5">
        <v>510</v>
      </c>
      <c r="Y718" s="5">
        <v>1057889</v>
      </c>
      <c r="Z718" s="5">
        <v>537389663.85000002</v>
      </c>
      <c r="AA718" s="5">
        <v>15927</v>
      </c>
      <c r="AB718" s="5" t="s">
        <v>85</v>
      </c>
      <c r="AC718" s="5">
        <v>1</v>
      </c>
    </row>
    <row r="719" spans="1:29" x14ac:dyDescent="0.3">
      <c r="A719" s="34">
        <v>46274</v>
      </c>
      <c r="B719" s="34">
        <v>46274</v>
      </c>
      <c r="C719" s="5" t="s">
        <v>78</v>
      </c>
      <c r="D719" s="5" t="s">
        <v>79</v>
      </c>
      <c r="E719" s="5" t="s">
        <v>80</v>
      </c>
      <c r="F719" s="5">
        <v>17477</v>
      </c>
      <c r="G719" s="5" t="s">
        <v>2250</v>
      </c>
      <c r="H719" s="5" t="s">
        <v>2251</v>
      </c>
      <c r="I719" s="5" t="s">
        <v>212</v>
      </c>
      <c r="N719" s="5" t="s">
        <v>2252</v>
      </c>
      <c r="O719" s="5">
        <v>587.70000000000005</v>
      </c>
      <c r="P719" s="5">
        <v>592.65</v>
      </c>
      <c r="Q719" s="5">
        <v>582.5</v>
      </c>
      <c r="R719" s="5">
        <v>587.4</v>
      </c>
      <c r="S719" s="5">
        <v>583</v>
      </c>
      <c r="T719" s="5">
        <v>593.29999999999995</v>
      </c>
      <c r="V719" s="5">
        <v>587.45000000000005</v>
      </c>
      <c r="Y719" s="5">
        <v>18172</v>
      </c>
      <c r="Z719" s="5">
        <v>10664200.35</v>
      </c>
      <c r="AA719" s="5">
        <v>1208</v>
      </c>
      <c r="AB719" s="5" t="s">
        <v>85</v>
      </c>
      <c r="AC719" s="5">
        <v>1</v>
      </c>
    </row>
    <row r="720" spans="1:29" x14ac:dyDescent="0.3">
      <c r="A720" s="34">
        <v>46274</v>
      </c>
      <c r="B720" s="34">
        <v>46274</v>
      </c>
      <c r="C720" s="5" t="s">
        <v>78</v>
      </c>
      <c r="D720" s="5" t="s">
        <v>79</v>
      </c>
      <c r="E720" s="5" t="s">
        <v>80</v>
      </c>
      <c r="F720" s="5">
        <v>8567</v>
      </c>
      <c r="G720" s="5" t="s">
        <v>2253</v>
      </c>
      <c r="H720" s="5" t="s">
        <v>2254</v>
      </c>
      <c r="I720" s="5" t="s">
        <v>392</v>
      </c>
      <c r="N720" s="5" t="s">
        <v>2255</v>
      </c>
      <c r="O720" s="5">
        <v>25</v>
      </c>
      <c r="P720" s="5">
        <v>26.25</v>
      </c>
      <c r="Q720" s="5">
        <v>25</v>
      </c>
      <c r="R720" s="5">
        <v>25.3</v>
      </c>
      <c r="S720" s="5">
        <v>25.75</v>
      </c>
      <c r="T720" s="5">
        <v>25.2</v>
      </c>
      <c r="V720" s="5">
        <v>25.3</v>
      </c>
      <c r="Y720" s="5">
        <v>125000</v>
      </c>
      <c r="Z720" s="5">
        <v>3165625</v>
      </c>
      <c r="AA720" s="5">
        <v>72</v>
      </c>
      <c r="AB720" s="5" t="s">
        <v>85</v>
      </c>
      <c r="AC720" s="5">
        <v>1250</v>
      </c>
    </row>
    <row r="721" spans="1:29" x14ac:dyDescent="0.3">
      <c r="A721" s="34">
        <v>46274</v>
      </c>
      <c r="B721" s="34">
        <v>46274</v>
      </c>
      <c r="C721" s="5" t="s">
        <v>78</v>
      </c>
      <c r="D721" s="5" t="s">
        <v>79</v>
      </c>
      <c r="E721" s="5" t="s">
        <v>80</v>
      </c>
      <c r="F721" s="5">
        <v>4007</v>
      </c>
      <c r="G721" s="5" t="s">
        <v>2256</v>
      </c>
      <c r="H721" s="5" t="s">
        <v>2257</v>
      </c>
      <c r="I721" s="5" t="s">
        <v>212</v>
      </c>
      <c r="N721" s="5" t="s">
        <v>2258</v>
      </c>
      <c r="O721" s="5">
        <v>33.4</v>
      </c>
      <c r="P721" s="5">
        <v>33.4</v>
      </c>
      <c r="Q721" s="5">
        <v>31.53</v>
      </c>
      <c r="R721" s="5">
        <v>32.69</v>
      </c>
      <c r="S721" s="5">
        <v>32.409999999999997</v>
      </c>
      <c r="T721" s="5">
        <v>32.58</v>
      </c>
      <c r="V721" s="5">
        <v>32.67</v>
      </c>
      <c r="Y721" s="5">
        <v>42237</v>
      </c>
      <c r="Z721" s="5">
        <v>1357375.64</v>
      </c>
      <c r="AA721" s="5">
        <v>599</v>
      </c>
      <c r="AB721" s="5" t="s">
        <v>85</v>
      </c>
      <c r="AC721" s="5">
        <v>1</v>
      </c>
    </row>
    <row r="722" spans="1:29" x14ac:dyDescent="0.3">
      <c r="A722" s="34">
        <v>46274</v>
      </c>
      <c r="B722" s="34">
        <v>46274</v>
      </c>
      <c r="C722" s="5" t="s">
        <v>78</v>
      </c>
      <c r="D722" s="5" t="s">
        <v>79</v>
      </c>
      <c r="E722" s="5" t="s">
        <v>80</v>
      </c>
      <c r="F722" s="5">
        <v>15271</v>
      </c>
      <c r="G722" s="5" t="s">
        <v>2259</v>
      </c>
      <c r="H722" s="5" t="s">
        <v>2260</v>
      </c>
      <c r="I722" s="5" t="s">
        <v>212</v>
      </c>
      <c r="N722" s="5" t="s">
        <v>2261</v>
      </c>
      <c r="O722" s="5">
        <v>379.7</v>
      </c>
      <c r="P722" s="5">
        <v>394.9</v>
      </c>
      <c r="Q722" s="5">
        <v>341.6</v>
      </c>
      <c r="R722" s="5">
        <v>362.65</v>
      </c>
      <c r="S722" s="5">
        <v>363</v>
      </c>
      <c r="T722" s="5">
        <v>372.75</v>
      </c>
      <c r="V722" s="5">
        <v>362.72</v>
      </c>
      <c r="Y722" s="5">
        <v>1551687</v>
      </c>
      <c r="Z722" s="5">
        <v>582956323.45000005</v>
      </c>
      <c r="AA722" s="5">
        <v>33328</v>
      </c>
      <c r="AB722" s="5" t="s">
        <v>85</v>
      </c>
      <c r="AC722" s="5">
        <v>1</v>
      </c>
    </row>
    <row r="723" spans="1:29" x14ac:dyDescent="0.3">
      <c r="A723" s="34">
        <v>46274</v>
      </c>
      <c r="B723" s="34">
        <v>46274</v>
      </c>
      <c r="C723" s="5" t="s">
        <v>78</v>
      </c>
      <c r="D723" s="5" t="s">
        <v>79</v>
      </c>
      <c r="E723" s="5" t="s">
        <v>80</v>
      </c>
      <c r="F723" s="5">
        <v>739</v>
      </c>
      <c r="G723" s="5" t="s">
        <v>2262</v>
      </c>
      <c r="H723" s="5" t="s">
        <v>2263</v>
      </c>
      <c r="I723" s="5" t="s">
        <v>212</v>
      </c>
      <c r="N723" s="5" t="s">
        <v>2264</v>
      </c>
      <c r="O723" s="5">
        <v>1946.1</v>
      </c>
      <c r="P723" s="5">
        <v>1967.6</v>
      </c>
      <c r="Q723" s="5">
        <v>1918.1</v>
      </c>
      <c r="R723" s="5">
        <v>1962.7</v>
      </c>
      <c r="S723" s="5">
        <v>1959.4</v>
      </c>
      <c r="T723" s="5">
        <v>1951.1</v>
      </c>
      <c r="V723" s="5">
        <v>1962.68</v>
      </c>
      <c r="Y723" s="5">
        <v>83551</v>
      </c>
      <c r="Z723" s="5">
        <v>162709506.30000001</v>
      </c>
      <c r="AA723" s="5">
        <v>14518</v>
      </c>
      <c r="AB723" s="5" t="s">
        <v>85</v>
      </c>
      <c r="AC723" s="5">
        <v>1</v>
      </c>
    </row>
    <row r="724" spans="1:29" x14ac:dyDescent="0.3">
      <c r="A724" s="34">
        <v>46274</v>
      </c>
      <c r="B724" s="34">
        <v>46274</v>
      </c>
      <c r="C724" s="5" t="s">
        <v>78</v>
      </c>
      <c r="D724" s="5" t="s">
        <v>79</v>
      </c>
      <c r="E724" s="5" t="s">
        <v>80</v>
      </c>
      <c r="F724" s="5">
        <v>760254</v>
      </c>
      <c r="G724" s="5" t="s">
        <v>2265</v>
      </c>
      <c r="H724" s="5" t="s">
        <v>2266</v>
      </c>
      <c r="I724" s="5" t="s">
        <v>212</v>
      </c>
      <c r="N724" s="5" t="s">
        <v>2267</v>
      </c>
      <c r="O724" s="5">
        <v>2175</v>
      </c>
      <c r="P724" s="5">
        <v>2246.9</v>
      </c>
      <c r="Q724" s="5">
        <v>2150</v>
      </c>
      <c r="R724" s="5">
        <v>2197.1999999999998</v>
      </c>
      <c r="S724" s="5">
        <v>2206</v>
      </c>
      <c r="T724" s="5">
        <v>2093.1999999999998</v>
      </c>
      <c r="V724" s="5">
        <v>2196.7800000000002</v>
      </c>
      <c r="Y724" s="5">
        <v>262842</v>
      </c>
      <c r="Z724" s="5">
        <v>579043218.10000002</v>
      </c>
      <c r="AA724" s="5">
        <v>26173</v>
      </c>
      <c r="AB724" s="5" t="s">
        <v>85</v>
      </c>
      <c r="AC724" s="5">
        <v>1</v>
      </c>
    </row>
    <row r="725" spans="1:29" x14ac:dyDescent="0.3">
      <c r="A725" s="34">
        <v>46274</v>
      </c>
      <c r="B725" s="34">
        <v>46274</v>
      </c>
      <c r="C725" s="5" t="s">
        <v>78</v>
      </c>
      <c r="D725" s="5" t="s">
        <v>79</v>
      </c>
      <c r="E725" s="5" t="s">
        <v>80</v>
      </c>
      <c r="F725" s="5">
        <v>742</v>
      </c>
      <c r="G725" s="5" t="s">
        <v>2268</v>
      </c>
      <c r="H725" s="5" t="s">
        <v>2269</v>
      </c>
      <c r="I725" s="5" t="s">
        <v>212</v>
      </c>
      <c r="N725" s="5" t="s">
        <v>2270</v>
      </c>
      <c r="O725" s="5">
        <v>909.15</v>
      </c>
      <c r="P725" s="5">
        <v>914.9</v>
      </c>
      <c r="Q725" s="5">
        <v>899.8</v>
      </c>
      <c r="R725" s="5">
        <v>906.75</v>
      </c>
      <c r="S725" s="5">
        <v>908.4</v>
      </c>
      <c r="T725" s="5">
        <v>909.15</v>
      </c>
      <c r="V725" s="5">
        <v>906.72</v>
      </c>
      <c r="Y725" s="5">
        <v>48300</v>
      </c>
      <c r="Z725" s="5">
        <v>43827395.75</v>
      </c>
      <c r="AA725" s="5">
        <v>3137</v>
      </c>
      <c r="AB725" s="5" t="s">
        <v>85</v>
      </c>
      <c r="AC725" s="5">
        <v>1</v>
      </c>
    </row>
    <row r="726" spans="1:29" x14ac:dyDescent="0.3">
      <c r="A726" s="34">
        <v>46274</v>
      </c>
      <c r="B726" s="34">
        <v>46274</v>
      </c>
      <c r="C726" s="5" t="s">
        <v>78</v>
      </c>
      <c r="D726" s="5" t="s">
        <v>79</v>
      </c>
      <c r="E726" s="5" t="s">
        <v>80</v>
      </c>
      <c r="F726" s="5">
        <v>6385</v>
      </c>
      <c r="G726" s="5" t="s">
        <v>2271</v>
      </c>
      <c r="H726" s="5" t="s">
        <v>2272</v>
      </c>
      <c r="I726" s="5" t="s">
        <v>212</v>
      </c>
      <c r="N726" s="5" t="s">
        <v>2273</v>
      </c>
      <c r="O726" s="5">
        <v>12.7</v>
      </c>
      <c r="P726" s="5">
        <v>12.99</v>
      </c>
      <c r="Q726" s="5">
        <v>12.41</v>
      </c>
      <c r="R726" s="5">
        <v>12.59</v>
      </c>
      <c r="S726" s="5">
        <v>12.45</v>
      </c>
      <c r="T726" s="5">
        <v>12.69</v>
      </c>
      <c r="V726" s="5">
        <v>12.59</v>
      </c>
      <c r="Y726" s="5">
        <v>12691</v>
      </c>
      <c r="Z726" s="5">
        <v>160160.37</v>
      </c>
      <c r="AA726" s="5">
        <v>170</v>
      </c>
      <c r="AB726" s="5" t="s">
        <v>85</v>
      </c>
      <c r="AC726" s="5">
        <v>1</v>
      </c>
    </row>
    <row r="727" spans="1:29" x14ac:dyDescent="0.3">
      <c r="A727" s="34">
        <v>46274</v>
      </c>
      <c r="B727" s="34">
        <v>46274</v>
      </c>
      <c r="C727" s="5" t="s">
        <v>78</v>
      </c>
      <c r="D727" s="5" t="s">
        <v>79</v>
      </c>
      <c r="E727" s="5" t="s">
        <v>80</v>
      </c>
      <c r="F727" s="5">
        <v>16989</v>
      </c>
      <c r="G727" s="5" t="s">
        <v>2274</v>
      </c>
      <c r="H727" s="5" t="s">
        <v>2275</v>
      </c>
      <c r="I727" s="5" t="s">
        <v>234</v>
      </c>
      <c r="N727" s="5" t="s">
        <v>2276</v>
      </c>
      <c r="O727" s="5">
        <v>6.57</v>
      </c>
      <c r="P727" s="5">
        <v>6.57</v>
      </c>
      <c r="Q727" s="5">
        <v>6.31</v>
      </c>
      <c r="R727" s="5">
        <v>6.5</v>
      </c>
      <c r="S727" s="5">
        <v>6.52</v>
      </c>
      <c r="T727" s="5">
        <v>6.51</v>
      </c>
      <c r="V727" s="5">
        <v>6.5</v>
      </c>
      <c r="Y727" s="5">
        <v>96251</v>
      </c>
      <c r="Z727" s="5">
        <v>622672.84</v>
      </c>
      <c r="AA727" s="5">
        <v>147</v>
      </c>
      <c r="AB727" s="5" t="s">
        <v>85</v>
      </c>
      <c r="AC727" s="5">
        <v>1</v>
      </c>
    </row>
    <row r="728" spans="1:29" x14ac:dyDescent="0.3">
      <c r="A728" s="34">
        <v>46274</v>
      </c>
      <c r="B728" s="34">
        <v>46274</v>
      </c>
      <c r="C728" s="5" t="s">
        <v>78</v>
      </c>
      <c r="D728" s="5" t="s">
        <v>79</v>
      </c>
      <c r="E728" s="5" t="s">
        <v>80</v>
      </c>
      <c r="F728" s="5">
        <v>20086</v>
      </c>
      <c r="G728" s="5" t="s">
        <v>2277</v>
      </c>
      <c r="H728" s="5" t="s">
        <v>2278</v>
      </c>
      <c r="I728" s="5" t="s">
        <v>212</v>
      </c>
      <c r="N728" s="5" t="s">
        <v>2279</v>
      </c>
      <c r="O728" s="5">
        <v>135.05000000000001</v>
      </c>
      <c r="P728" s="5">
        <v>137.05000000000001</v>
      </c>
      <c r="Q728" s="5">
        <v>133</v>
      </c>
      <c r="R728" s="5">
        <v>133.6</v>
      </c>
      <c r="S728" s="5">
        <v>134.75</v>
      </c>
      <c r="T728" s="5">
        <v>137.36000000000001</v>
      </c>
      <c r="V728" s="5">
        <v>133.6</v>
      </c>
      <c r="Y728" s="5">
        <v>30258</v>
      </c>
      <c r="Z728" s="5">
        <v>4088365.54</v>
      </c>
      <c r="AA728" s="5">
        <v>1091</v>
      </c>
      <c r="AB728" s="5" t="s">
        <v>85</v>
      </c>
      <c r="AC728" s="5">
        <v>1</v>
      </c>
    </row>
    <row r="729" spans="1:29" x14ac:dyDescent="0.3">
      <c r="A729" s="34">
        <v>46274</v>
      </c>
      <c r="B729" s="34">
        <v>46274</v>
      </c>
      <c r="C729" s="5" t="s">
        <v>78</v>
      </c>
      <c r="D729" s="5" t="s">
        <v>79</v>
      </c>
      <c r="E729" s="5" t="s">
        <v>80</v>
      </c>
      <c r="F729" s="5">
        <v>2328</v>
      </c>
      <c r="G729" s="5" t="s">
        <v>2280</v>
      </c>
      <c r="H729" s="5" t="s">
        <v>2281</v>
      </c>
      <c r="I729" s="5" t="s">
        <v>212</v>
      </c>
      <c r="N729" s="5" t="s">
        <v>2282</v>
      </c>
      <c r="O729" s="5">
        <v>94</v>
      </c>
      <c r="P729" s="5">
        <v>95.49</v>
      </c>
      <c r="Q729" s="5">
        <v>93.24</v>
      </c>
      <c r="R729" s="5">
        <v>94.79</v>
      </c>
      <c r="S729" s="5">
        <v>94.7</v>
      </c>
      <c r="T729" s="5">
        <v>94.23</v>
      </c>
      <c r="V729" s="5">
        <v>94.79</v>
      </c>
      <c r="Y729" s="5">
        <v>2883640</v>
      </c>
      <c r="Z729" s="5">
        <v>274549949.06</v>
      </c>
      <c r="AA729" s="5">
        <v>6312</v>
      </c>
      <c r="AB729" s="5" t="s">
        <v>85</v>
      </c>
      <c r="AC729" s="5">
        <v>1</v>
      </c>
    </row>
    <row r="730" spans="1:29" x14ac:dyDescent="0.3">
      <c r="A730" s="34">
        <v>46274</v>
      </c>
      <c r="B730" s="34">
        <v>46274</v>
      </c>
      <c r="C730" s="5" t="s">
        <v>78</v>
      </c>
      <c r="D730" s="5" t="s">
        <v>79</v>
      </c>
      <c r="E730" s="5" t="s">
        <v>80</v>
      </c>
      <c r="F730" s="5">
        <v>2854</v>
      </c>
      <c r="G730" s="5" t="s">
        <v>2283</v>
      </c>
      <c r="H730" s="5" t="s">
        <v>2284</v>
      </c>
      <c r="I730" s="5" t="s">
        <v>212</v>
      </c>
      <c r="N730" s="5" t="s">
        <v>2285</v>
      </c>
      <c r="O730" s="5">
        <v>11406</v>
      </c>
      <c r="P730" s="5">
        <v>11999</v>
      </c>
      <c r="Q730" s="5">
        <v>11317</v>
      </c>
      <c r="R730" s="5">
        <v>11806</v>
      </c>
      <c r="S730" s="5">
        <v>11980</v>
      </c>
      <c r="T730" s="5">
        <v>11406</v>
      </c>
      <c r="V730" s="5">
        <v>11809.36</v>
      </c>
      <c r="Y730" s="5">
        <v>52885</v>
      </c>
      <c r="Z730" s="5">
        <v>616156245</v>
      </c>
      <c r="AA730" s="5">
        <v>17974</v>
      </c>
      <c r="AB730" s="5" t="s">
        <v>85</v>
      </c>
      <c r="AC730" s="5">
        <v>1</v>
      </c>
    </row>
    <row r="731" spans="1:29" x14ac:dyDescent="0.3">
      <c r="A731" s="34">
        <v>46274</v>
      </c>
      <c r="B731" s="34">
        <v>46274</v>
      </c>
      <c r="C731" s="5" t="s">
        <v>78</v>
      </c>
      <c r="D731" s="5" t="s">
        <v>79</v>
      </c>
      <c r="E731" s="5" t="s">
        <v>80</v>
      </c>
      <c r="F731" s="5">
        <v>764653</v>
      </c>
      <c r="G731" s="5" t="s">
        <v>2286</v>
      </c>
      <c r="H731" s="5" t="s">
        <v>2287</v>
      </c>
      <c r="I731" s="5" t="s">
        <v>212</v>
      </c>
      <c r="N731" s="5" t="s">
        <v>2288</v>
      </c>
      <c r="O731" s="5">
        <v>316.25</v>
      </c>
      <c r="P731" s="5">
        <v>331.95</v>
      </c>
      <c r="Q731" s="5">
        <v>313.10000000000002</v>
      </c>
      <c r="R731" s="5">
        <v>325.39999999999998</v>
      </c>
      <c r="S731" s="5">
        <v>331.95</v>
      </c>
      <c r="T731" s="5">
        <v>317.35000000000002</v>
      </c>
      <c r="V731" s="5">
        <v>323.73</v>
      </c>
      <c r="Y731" s="5">
        <v>374</v>
      </c>
      <c r="Z731" s="5">
        <v>119229.85</v>
      </c>
      <c r="AA731" s="5">
        <v>78</v>
      </c>
      <c r="AB731" s="5" t="s">
        <v>85</v>
      </c>
      <c r="AC731" s="5">
        <v>1</v>
      </c>
    </row>
    <row r="732" spans="1:29" x14ac:dyDescent="0.3">
      <c r="A732" s="34">
        <v>46274</v>
      </c>
      <c r="B732" s="34">
        <v>46274</v>
      </c>
      <c r="C732" s="5" t="s">
        <v>78</v>
      </c>
      <c r="D732" s="5" t="s">
        <v>79</v>
      </c>
      <c r="E732" s="5" t="s">
        <v>80</v>
      </c>
      <c r="F732" s="5">
        <v>16419</v>
      </c>
      <c r="G732" s="5" t="s">
        <v>2289</v>
      </c>
      <c r="H732" s="5" t="s">
        <v>2290</v>
      </c>
      <c r="I732" s="5" t="s">
        <v>313</v>
      </c>
      <c r="N732" s="5" t="s">
        <v>2291</v>
      </c>
      <c r="O732" s="5">
        <v>24</v>
      </c>
      <c r="P732" s="5">
        <v>25.2</v>
      </c>
      <c r="Q732" s="5">
        <v>23.5</v>
      </c>
      <c r="R732" s="5">
        <v>25.2</v>
      </c>
      <c r="S732" s="5">
        <v>25.2</v>
      </c>
      <c r="T732" s="5">
        <v>24</v>
      </c>
      <c r="V732" s="5">
        <v>25.2</v>
      </c>
      <c r="Y732" s="5">
        <v>24000</v>
      </c>
      <c r="Z732" s="5">
        <v>587850</v>
      </c>
      <c r="AA732" s="5">
        <v>10</v>
      </c>
      <c r="AB732" s="5" t="s">
        <v>85</v>
      </c>
      <c r="AC732" s="5">
        <v>1000</v>
      </c>
    </row>
    <row r="733" spans="1:29" x14ac:dyDescent="0.3">
      <c r="A733" s="34">
        <v>46274</v>
      </c>
      <c r="B733" s="34">
        <v>46274</v>
      </c>
      <c r="C733" s="5" t="s">
        <v>78</v>
      </c>
      <c r="D733" s="5" t="s">
        <v>79</v>
      </c>
      <c r="E733" s="5" t="s">
        <v>80</v>
      </c>
      <c r="F733" s="5">
        <v>9384</v>
      </c>
      <c r="G733" s="5" t="s">
        <v>2292</v>
      </c>
      <c r="H733" s="5" t="s">
        <v>2293</v>
      </c>
      <c r="I733" s="5" t="s">
        <v>212</v>
      </c>
      <c r="N733" s="5" t="s">
        <v>2294</v>
      </c>
      <c r="O733" s="5">
        <v>6.19</v>
      </c>
      <c r="P733" s="5">
        <v>6.19</v>
      </c>
      <c r="Q733" s="5">
        <v>6.01</v>
      </c>
      <c r="R733" s="5">
        <v>6.13</v>
      </c>
      <c r="S733" s="5">
        <v>6.14</v>
      </c>
      <c r="T733" s="5">
        <v>6.09</v>
      </c>
      <c r="V733" s="5">
        <v>6.13</v>
      </c>
      <c r="Y733" s="5">
        <v>4928</v>
      </c>
      <c r="Z733" s="5">
        <v>29900.03</v>
      </c>
      <c r="AA733" s="5">
        <v>32</v>
      </c>
      <c r="AB733" s="5" t="s">
        <v>85</v>
      </c>
      <c r="AC733" s="5">
        <v>1</v>
      </c>
    </row>
    <row r="734" spans="1:29" x14ac:dyDescent="0.3">
      <c r="A734" s="34">
        <v>46274</v>
      </c>
      <c r="B734" s="34">
        <v>46274</v>
      </c>
      <c r="C734" s="5" t="s">
        <v>78</v>
      </c>
      <c r="D734" s="5" t="s">
        <v>79</v>
      </c>
      <c r="E734" s="5" t="s">
        <v>80</v>
      </c>
      <c r="F734" s="5">
        <v>23468</v>
      </c>
      <c r="G734" s="5" t="s">
        <v>2295</v>
      </c>
      <c r="H734" s="5" t="s">
        <v>2296</v>
      </c>
      <c r="I734" s="5" t="s">
        <v>313</v>
      </c>
      <c r="N734" s="5" t="s">
        <v>2297</v>
      </c>
      <c r="O734" s="5">
        <v>148.1</v>
      </c>
      <c r="P734" s="5">
        <v>148.1</v>
      </c>
      <c r="Q734" s="5">
        <v>143</v>
      </c>
      <c r="R734" s="5">
        <v>145.55000000000001</v>
      </c>
      <c r="S734" s="5">
        <v>144.25</v>
      </c>
      <c r="T734" s="5">
        <v>148</v>
      </c>
      <c r="V734" s="5">
        <v>145.55000000000001</v>
      </c>
      <c r="Y734" s="5">
        <v>23200</v>
      </c>
      <c r="Z734" s="5">
        <v>3380520</v>
      </c>
      <c r="AA734" s="5">
        <v>26</v>
      </c>
      <c r="AB734" s="5" t="s">
        <v>85</v>
      </c>
      <c r="AC734" s="5">
        <v>800</v>
      </c>
    </row>
    <row r="735" spans="1:29" x14ac:dyDescent="0.3">
      <c r="A735" s="34">
        <v>46274</v>
      </c>
      <c r="B735" s="34">
        <v>46274</v>
      </c>
      <c r="C735" s="5" t="s">
        <v>78</v>
      </c>
      <c r="D735" s="5" t="s">
        <v>79</v>
      </c>
      <c r="E735" s="5" t="s">
        <v>80</v>
      </c>
      <c r="F735" s="5">
        <v>11155</v>
      </c>
      <c r="G735" s="5" t="s">
        <v>2298</v>
      </c>
      <c r="H735" s="5" t="s">
        <v>2299</v>
      </c>
      <c r="I735" s="5" t="s">
        <v>212</v>
      </c>
      <c r="N735" s="5" t="s">
        <v>2300</v>
      </c>
      <c r="O735" s="5">
        <v>1194.8</v>
      </c>
      <c r="P735" s="5">
        <v>1194.8</v>
      </c>
      <c r="Q735" s="5">
        <v>1130</v>
      </c>
      <c r="R735" s="5">
        <v>1141.4000000000001</v>
      </c>
      <c r="S735" s="5">
        <v>1134</v>
      </c>
      <c r="T735" s="5">
        <v>1149.2</v>
      </c>
      <c r="V735" s="5">
        <v>1141.27</v>
      </c>
      <c r="Y735" s="5">
        <v>16131</v>
      </c>
      <c r="Z735" s="5">
        <v>18674202.199999999</v>
      </c>
      <c r="AA735" s="5">
        <v>1912</v>
      </c>
      <c r="AB735" s="5" t="s">
        <v>85</v>
      </c>
      <c r="AC735" s="5">
        <v>1</v>
      </c>
    </row>
    <row r="736" spans="1:29" x14ac:dyDescent="0.3">
      <c r="A736" s="34">
        <v>46274</v>
      </c>
      <c r="B736" s="34">
        <v>46274</v>
      </c>
      <c r="C736" s="5" t="s">
        <v>78</v>
      </c>
      <c r="D736" s="5" t="s">
        <v>79</v>
      </c>
      <c r="E736" s="5" t="s">
        <v>80</v>
      </c>
      <c r="F736" s="5">
        <v>765303</v>
      </c>
      <c r="G736" s="5" t="s">
        <v>2301</v>
      </c>
      <c r="H736" s="5" t="s">
        <v>2302</v>
      </c>
      <c r="I736" s="5" t="s">
        <v>313</v>
      </c>
      <c r="N736" s="5" t="s">
        <v>2303</v>
      </c>
      <c r="O736" s="5">
        <v>313</v>
      </c>
      <c r="P736" s="5">
        <v>368.8</v>
      </c>
      <c r="Q736" s="5">
        <v>309.05</v>
      </c>
      <c r="R736" s="5">
        <v>355.35</v>
      </c>
      <c r="S736" s="5">
        <v>356</v>
      </c>
      <c r="T736" s="5">
        <v>315.39999999999998</v>
      </c>
      <c r="V736" s="5">
        <v>355.35</v>
      </c>
      <c r="Y736" s="5">
        <v>204000</v>
      </c>
      <c r="Z736" s="5">
        <v>69644700</v>
      </c>
      <c r="AA736" s="5">
        <v>259</v>
      </c>
      <c r="AB736" s="5" t="s">
        <v>85</v>
      </c>
      <c r="AC736" s="5">
        <v>600</v>
      </c>
    </row>
    <row r="737" spans="1:29" x14ac:dyDescent="0.3">
      <c r="A737" s="34">
        <v>46274</v>
      </c>
      <c r="B737" s="34">
        <v>46274</v>
      </c>
      <c r="C737" s="5" t="s">
        <v>78</v>
      </c>
      <c r="D737" s="5" t="s">
        <v>79</v>
      </c>
      <c r="E737" s="5" t="s">
        <v>80</v>
      </c>
      <c r="F737" s="5">
        <v>4421</v>
      </c>
      <c r="G737" s="5" t="s">
        <v>2304</v>
      </c>
      <c r="H737" s="5" t="s">
        <v>2305</v>
      </c>
      <c r="I737" s="5" t="s">
        <v>212</v>
      </c>
      <c r="N737" s="5" t="s">
        <v>2306</v>
      </c>
      <c r="O737" s="5">
        <v>1417.1</v>
      </c>
      <c r="P737" s="5">
        <v>1420.3</v>
      </c>
      <c r="Q737" s="5">
        <v>1390.4</v>
      </c>
      <c r="R737" s="5">
        <v>1396.2</v>
      </c>
      <c r="S737" s="5">
        <v>1403</v>
      </c>
      <c r="T737" s="5">
        <v>1417.1</v>
      </c>
      <c r="V737" s="5">
        <v>1396.16</v>
      </c>
      <c r="Y737" s="5">
        <v>124234</v>
      </c>
      <c r="Z737" s="5">
        <v>174488308.90000001</v>
      </c>
      <c r="AA737" s="5">
        <v>17416</v>
      </c>
      <c r="AB737" s="5" t="s">
        <v>85</v>
      </c>
      <c r="AC737" s="5">
        <v>1</v>
      </c>
    </row>
    <row r="738" spans="1:29" x14ac:dyDescent="0.3">
      <c r="A738" s="34">
        <v>46274</v>
      </c>
      <c r="B738" s="34">
        <v>46274</v>
      </c>
      <c r="C738" s="5" t="s">
        <v>78</v>
      </c>
      <c r="D738" s="5" t="s">
        <v>79</v>
      </c>
      <c r="E738" s="5" t="s">
        <v>80</v>
      </c>
      <c r="F738" s="5">
        <v>20878</v>
      </c>
      <c r="G738" s="5" t="s">
        <v>2307</v>
      </c>
      <c r="H738" s="5" t="s">
        <v>2308</v>
      </c>
      <c r="I738" s="5" t="s">
        <v>212</v>
      </c>
      <c r="N738" s="5" t="s">
        <v>2309</v>
      </c>
      <c r="O738" s="5">
        <v>73.91</v>
      </c>
      <c r="P738" s="5">
        <v>75.59</v>
      </c>
      <c r="Q738" s="5">
        <v>72.349999999999994</v>
      </c>
      <c r="R738" s="5">
        <v>74.66</v>
      </c>
      <c r="S738" s="5">
        <v>75.14</v>
      </c>
      <c r="T738" s="5">
        <v>73.91</v>
      </c>
      <c r="V738" s="5">
        <v>74.66</v>
      </c>
      <c r="Y738" s="5">
        <v>98309</v>
      </c>
      <c r="Z738" s="5">
        <v>7254067.4000000004</v>
      </c>
      <c r="AA738" s="5">
        <v>1476</v>
      </c>
      <c r="AB738" s="5" t="s">
        <v>85</v>
      </c>
      <c r="AC738" s="5">
        <v>1</v>
      </c>
    </row>
    <row r="739" spans="1:29" x14ac:dyDescent="0.3">
      <c r="A739" s="34">
        <v>46274</v>
      </c>
      <c r="B739" s="34">
        <v>46274</v>
      </c>
      <c r="C739" s="5" t="s">
        <v>78</v>
      </c>
      <c r="D739" s="5" t="s">
        <v>79</v>
      </c>
      <c r="E739" s="5" t="s">
        <v>80</v>
      </c>
      <c r="F739" s="5">
        <v>765053</v>
      </c>
      <c r="G739" s="5" t="s">
        <v>2310</v>
      </c>
      <c r="H739" s="5" t="s">
        <v>2311</v>
      </c>
      <c r="I739" s="5" t="s">
        <v>234</v>
      </c>
      <c r="N739" s="5" t="s">
        <v>2312</v>
      </c>
      <c r="O739" s="5">
        <v>2.5</v>
      </c>
      <c r="P739" s="5">
        <v>2.66</v>
      </c>
      <c r="Q739" s="5">
        <v>2.46</v>
      </c>
      <c r="R739" s="5">
        <v>2.64</v>
      </c>
      <c r="S739" s="5">
        <v>2.65</v>
      </c>
      <c r="T739" s="5">
        <v>2.54</v>
      </c>
      <c r="V739" s="5">
        <v>2.64</v>
      </c>
      <c r="Y739" s="5">
        <v>327296</v>
      </c>
      <c r="Z739" s="5">
        <v>835787.02</v>
      </c>
      <c r="AA739" s="5">
        <v>624</v>
      </c>
      <c r="AB739" s="5" t="s">
        <v>85</v>
      </c>
      <c r="AC739" s="5">
        <v>1</v>
      </c>
    </row>
    <row r="740" spans="1:29" x14ac:dyDescent="0.3">
      <c r="A740" s="34">
        <v>46274</v>
      </c>
      <c r="B740" s="34">
        <v>46274</v>
      </c>
      <c r="C740" s="5" t="s">
        <v>78</v>
      </c>
      <c r="D740" s="5" t="s">
        <v>79</v>
      </c>
      <c r="E740" s="5" t="s">
        <v>80</v>
      </c>
      <c r="F740" s="5">
        <v>13900</v>
      </c>
      <c r="G740" s="5" t="s">
        <v>2313</v>
      </c>
      <c r="H740" s="5" t="s">
        <v>2314</v>
      </c>
      <c r="I740" s="5" t="s">
        <v>212</v>
      </c>
      <c r="N740" s="5" t="s">
        <v>2315</v>
      </c>
      <c r="O740" s="5">
        <v>356</v>
      </c>
      <c r="P740" s="5">
        <v>364.2</v>
      </c>
      <c r="Q740" s="5">
        <v>354.1</v>
      </c>
      <c r="R740" s="5">
        <v>361.35</v>
      </c>
      <c r="S740" s="5">
        <v>357</v>
      </c>
      <c r="T740" s="5">
        <v>362.35</v>
      </c>
      <c r="V740" s="5">
        <v>361.35</v>
      </c>
      <c r="Y740" s="5">
        <v>3154</v>
      </c>
      <c r="Z740" s="5">
        <v>1129242.5</v>
      </c>
      <c r="AA740" s="5">
        <v>168</v>
      </c>
      <c r="AB740" s="5" t="s">
        <v>85</v>
      </c>
      <c r="AC740" s="5">
        <v>1</v>
      </c>
    </row>
    <row r="741" spans="1:29" x14ac:dyDescent="0.3">
      <c r="A741" s="34">
        <v>46274</v>
      </c>
      <c r="B741" s="34">
        <v>46274</v>
      </c>
      <c r="C741" s="5" t="s">
        <v>78</v>
      </c>
      <c r="D741" s="5" t="s">
        <v>79</v>
      </c>
      <c r="E741" s="5" t="s">
        <v>80</v>
      </c>
      <c r="F741" s="5">
        <v>757</v>
      </c>
      <c r="G741" s="5" t="s">
        <v>2316</v>
      </c>
      <c r="H741" s="5" t="s">
        <v>2317</v>
      </c>
      <c r="I741" s="5" t="s">
        <v>212</v>
      </c>
      <c r="N741" s="5" t="s">
        <v>2318</v>
      </c>
      <c r="O741" s="5">
        <v>4765</v>
      </c>
      <c r="P741" s="5">
        <v>4765</v>
      </c>
      <c r="Q741" s="5">
        <v>4677.2</v>
      </c>
      <c r="R741" s="5">
        <v>4690.6000000000004</v>
      </c>
      <c r="S741" s="5">
        <v>4690</v>
      </c>
      <c r="T741" s="5">
        <v>4754.5</v>
      </c>
      <c r="V741" s="5">
        <v>4690.12</v>
      </c>
      <c r="Y741" s="5">
        <v>17017</v>
      </c>
      <c r="Z741" s="5">
        <v>80159837.5</v>
      </c>
      <c r="AA741" s="5">
        <v>5100</v>
      </c>
      <c r="AB741" s="5" t="s">
        <v>85</v>
      </c>
      <c r="AC741" s="5">
        <v>1</v>
      </c>
    </row>
    <row r="742" spans="1:29" x14ac:dyDescent="0.3">
      <c r="A742" s="34">
        <v>46274</v>
      </c>
      <c r="B742" s="34">
        <v>46274</v>
      </c>
      <c r="C742" s="5" t="s">
        <v>78</v>
      </c>
      <c r="D742" s="5" t="s">
        <v>79</v>
      </c>
      <c r="E742" s="5" t="s">
        <v>80</v>
      </c>
      <c r="F742" s="5">
        <v>757850</v>
      </c>
      <c r="G742" s="5" t="s">
        <v>2319</v>
      </c>
      <c r="H742" s="5" t="s">
        <v>2320</v>
      </c>
      <c r="I742" s="5" t="s">
        <v>212</v>
      </c>
      <c r="N742" s="5" t="s">
        <v>2321</v>
      </c>
      <c r="O742" s="5">
        <v>171.94</v>
      </c>
      <c r="P742" s="5">
        <v>178</v>
      </c>
      <c r="Q742" s="5">
        <v>168.41</v>
      </c>
      <c r="R742" s="5">
        <v>176.04</v>
      </c>
      <c r="S742" s="5">
        <v>176.02</v>
      </c>
      <c r="T742" s="5">
        <v>171.94</v>
      </c>
      <c r="V742" s="5">
        <v>176.04</v>
      </c>
      <c r="Y742" s="5">
        <v>420545</v>
      </c>
      <c r="Z742" s="5">
        <v>72873395.980000004</v>
      </c>
      <c r="AA742" s="5">
        <v>8579</v>
      </c>
      <c r="AB742" s="5" t="s">
        <v>85</v>
      </c>
      <c r="AC742" s="5">
        <v>1</v>
      </c>
    </row>
    <row r="743" spans="1:29" x14ac:dyDescent="0.3">
      <c r="A743" s="34">
        <v>46274</v>
      </c>
      <c r="B743" s="34">
        <v>46274</v>
      </c>
      <c r="C743" s="5" t="s">
        <v>78</v>
      </c>
      <c r="D743" s="5" t="s">
        <v>79</v>
      </c>
      <c r="E743" s="5" t="s">
        <v>80</v>
      </c>
      <c r="F743" s="5">
        <v>17094</v>
      </c>
      <c r="G743" s="5" t="s">
        <v>2322</v>
      </c>
      <c r="H743" s="5" t="s">
        <v>2323</v>
      </c>
      <c r="I743" s="5" t="s">
        <v>212</v>
      </c>
      <c r="N743" s="5" t="s">
        <v>2324</v>
      </c>
      <c r="O743" s="5">
        <v>229.95</v>
      </c>
      <c r="P743" s="5">
        <v>234.42</v>
      </c>
      <c r="Q743" s="5">
        <v>228.57</v>
      </c>
      <c r="R743" s="5">
        <v>232.96</v>
      </c>
      <c r="S743" s="5">
        <v>232.96</v>
      </c>
      <c r="T743" s="5">
        <v>231.9</v>
      </c>
      <c r="V743" s="5">
        <v>232.95</v>
      </c>
      <c r="Y743" s="5">
        <v>3989754</v>
      </c>
      <c r="Z743" s="5">
        <v>927758862.01999998</v>
      </c>
      <c r="AA743" s="5">
        <v>41644</v>
      </c>
      <c r="AB743" s="5" t="s">
        <v>85</v>
      </c>
      <c r="AC743" s="5">
        <v>1</v>
      </c>
    </row>
    <row r="744" spans="1:29" x14ac:dyDescent="0.3">
      <c r="A744" s="34">
        <v>46274</v>
      </c>
      <c r="B744" s="34">
        <v>46274</v>
      </c>
      <c r="C744" s="5" t="s">
        <v>78</v>
      </c>
      <c r="D744" s="5" t="s">
        <v>79</v>
      </c>
      <c r="E744" s="5" t="s">
        <v>80</v>
      </c>
      <c r="F744" s="5">
        <v>8083</v>
      </c>
      <c r="G744" s="5" t="s">
        <v>2325</v>
      </c>
      <c r="H744" s="5" t="s">
        <v>2326</v>
      </c>
      <c r="I744" s="5" t="s">
        <v>212</v>
      </c>
      <c r="N744" s="5" t="s">
        <v>2327</v>
      </c>
      <c r="O744" s="5">
        <v>116.9</v>
      </c>
      <c r="P744" s="5">
        <v>117</v>
      </c>
      <c r="Q744" s="5">
        <v>115.01</v>
      </c>
      <c r="R744" s="5">
        <v>116.15</v>
      </c>
      <c r="S744" s="5">
        <v>116.7</v>
      </c>
      <c r="T744" s="5">
        <v>115.58</v>
      </c>
      <c r="V744" s="5">
        <v>116.15</v>
      </c>
      <c r="Y744" s="5">
        <v>11540</v>
      </c>
      <c r="Z744" s="5">
        <v>1340666.57</v>
      </c>
      <c r="AA744" s="5">
        <v>100</v>
      </c>
      <c r="AB744" s="5" t="s">
        <v>85</v>
      </c>
      <c r="AC744" s="5">
        <v>1</v>
      </c>
    </row>
    <row r="745" spans="1:29" x14ac:dyDescent="0.3">
      <c r="A745" s="34">
        <v>46274</v>
      </c>
      <c r="B745" s="34">
        <v>46274</v>
      </c>
      <c r="C745" s="5" t="s">
        <v>78</v>
      </c>
      <c r="D745" s="5" t="s">
        <v>79</v>
      </c>
      <c r="E745" s="5" t="s">
        <v>80</v>
      </c>
      <c r="F745" s="5">
        <v>14966</v>
      </c>
      <c r="G745" s="5" t="s">
        <v>2328</v>
      </c>
      <c r="H745" s="5" t="s">
        <v>2329</v>
      </c>
      <c r="I745" s="5" t="s">
        <v>212</v>
      </c>
      <c r="N745" s="5" t="s">
        <v>2330</v>
      </c>
      <c r="O745" s="5">
        <v>314.89999999999998</v>
      </c>
      <c r="P745" s="5">
        <v>315.89999999999998</v>
      </c>
      <c r="Q745" s="5">
        <v>306.2</v>
      </c>
      <c r="R745" s="5">
        <v>311.10000000000002</v>
      </c>
      <c r="S745" s="5">
        <v>315</v>
      </c>
      <c r="T745" s="5">
        <v>312.85000000000002</v>
      </c>
      <c r="V745" s="5">
        <v>311.08</v>
      </c>
      <c r="Y745" s="5">
        <v>1000771</v>
      </c>
      <c r="Z745" s="5">
        <v>310041703.35000002</v>
      </c>
      <c r="AA745" s="5">
        <v>28250</v>
      </c>
      <c r="AB745" s="5" t="s">
        <v>85</v>
      </c>
      <c r="AC745" s="5">
        <v>1</v>
      </c>
    </row>
    <row r="746" spans="1:29" x14ac:dyDescent="0.3">
      <c r="A746" s="34">
        <v>46274</v>
      </c>
      <c r="B746" s="34">
        <v>46274</v>
      </c>
      <c r="C746" s="5" t="s">
        <v>78</v>
      </c>
      <c r="D746" s="5" t="s">
        <v>79</v>
      </c>
      <c r="E746" s="5" t="s">
        <v>80</v>
      </c>
      <c r="F746" s="5">
        <v>10350</v>
      </c>
      <c r="G746" s="5" t="s">
        <v>2331</v>
      </c>
      <c r="H746" s="5" t="s">
        <v>2332</v>
      </c>
      <c r="I746" s="5" t="s">
        <v>212</v>
      </c>
      <c r="N746" s="5" t="s">
        <v>2333</v>
      </c>
      <c r="O746" s="5">
        <v>241.85</v>
      </c>
      <c r="P746" s="5">
        <v>246.39</v>
      </c>
      <c r="Q746" s="5">
        <v>238.41</v>
      </c>
      <c r="R746" s="5">
        <v>243.4</v>
      </c>
      <c r="S746" s="5">
        <v>244.1</v>
      </c>
      <c r="T746" s="5">
        <v>241.85</v>
      </c>
      <c r="V746" s="5">
        <v>243.39</v>
      </c>
      <c r="Y746" s="5">
        <v>73631</v>
      </c>
      <c r="Z746" s="5">
        <v>17826072.640000001</v>
      </c>
      <c r="AA746" s="5">
        <v>2027</v>
      </c>
      <c r="AB746" s="5" t="s">
        <v>85</v>
      </c>
      <c r="AC746" s="5">
        <v>1</v>
      </c>
    </row>
    <row r="747" spans="1:29" x14ac:dyDescent="0.3">
      <c r="A747" s="34">
        <v>46274</v>
      </c>
      <c r="B747" s="34">
        <v>46274</v>
      </c>
      <c r="C747" s="5" t="s">
        <v>78</v>
      </c>
      <c r="D747" s="5" t="s">
        <v>79</v>
      </c>
      <c r="E747" s="5" t="s">
        <v>80</v>
      </c>
      <c r="F747" s="5">
        <v>763753</v>
      </c>
      <c r="G747" s="5" t="s">
        <v>2334</v>
      </c>
      <c r="H747" s="5" t="s">
        <v>2335</v>
      </c>
      <c r="I747" s="5" t="s">
        <v>212</v>
      </c>
      <c r="N747" s="5" t="s">
        <v>2336</v>
      </c>
      <c r="O747" s="5">
        <v>94.95</v>
      </c>
      <c r="P747" s="5">
        <v>94.95</v>
      </c>
      <c r="Q747" s="5">
        <v>92.8</v>
      </c>
      <c r="R747" s="5">
        <v>93.31</v>
      </c>
      <c r="S747" s="5">
        <v>93</v>
      </c>
      <c r="T747" s="5">
        <v>94.13</v>
      </c>
      <c r="V747" s="5">
        <v>93.31</v>
      </c>
      <c r="Y747" s="5">
        <v>46723</v>
      </c>
      <c r="Z747" s="5">
        <v>4358150.5999999996</v>
      </c>
      <c r="AA747" s="5">
        <v>1070</v>
      </c>
      <c r="AB747" s="5" t="s">
        <v>85</v>
      </c>
      <c r="AC747" s="5">
        <v>1</v>
      </c>
    </row>
    <row r="748" spans="1:29" x14ac:dyDescent="0.3">
      <c r="A748" s="34">
        <v>46274</v>
      </c>
      <c r="B748" s="34">
        <v>46274</v>
      </c>
      <c r="C748" s="5" t="s">
        <v>78</v>
      </c>
      <c r="D748" s="5" t="s">
        <v>79</v>
      </c>
      <c r="E748" s="5" t="s">
        <v>80</v>
      </c>
      <c r="F748" s="5">
        <v>15078</v>
      </c>
      <c r="G748" s="5" t="s">
        <v>2337</v>
      </c>
      <c r="H748" s="5" t="s">
        <v>2338</v>
      </c>
      <c r="I748" s="5" t="s">
        <v>822</v>
      </c>
      <c r="N748" s="5" t="s">
        <v>2339</v>
      </c>
      <c r="O748" s="5">
        <v>157.41999999999999</v>
      </c>
      <c r="P748" s="5">
        <v>157.41999999999999</v>
      </c>
      <c r="Q748" s="5">
        <v>156.5</v>
      </c>
      <c r="R748" s="5">
        <v>156.99</v>
      </c>
      <c r="S748" s="5">
        <v>157</v>
      </c>
      <c r="T748" s="5">
        <v>156.99</v>
      </c>
      <c r="V748" s="5">
        <v>156.99</v>
      </c>
      <c r="Y748" s="5">
        <v>178445</v>
      </c>
      <c r="Z748" s="5">
        <v>28014177.550000001</v>
      </c>
      <c r="AA748" s="5">
        <v>3909</v>
      </c>
      <c r="AB748" s="5" t="s">
        <v>85</v>
      </c>
      <c r="AC748" s="5">
        <v>1</v>
      </c>
    </row>
    <row r="749" spans="1:29" x14ac:dyDescent="0.3">
      <c r="A749" s="34">
        <v>46274</v>
      </c>
      <c r="B749" s="34">
        <v>46274</v>
      </c>
      <c r="C749" s="5" t="s">
        <v>78</v>
      </c>
      <c r="D749" s="5" t="s">
        <v>79</v>
      </c>
      <c r="E749" s="5" t="s">
        <v>80</v>
      </c>
      <c r="F749" s="5">
        <v>4064</v>
      </c>
      <c r="G749" s="5" t="s">
        <v>2340</v>
      </c>
      <c r="H749" s="5" t="s">
        <v>2341</v>
      </c>
      <c r="I749" s="5" t="s">
        <v>212</v>
      </c>
      <c r="N749" s="5" t="s">
        <v>2342</v>
      </c>
      <c r="O749" s="5">
        <v>79.900000000000006</v>
      </c>
      <c r="P749" s="5">
        <v>82</v>
      </c>
      <c r="Q749" s="5">
        <v>78.33</v>
      </c>
      <c r="R749" s="5">
        <v>79.989999999999995</v>
      </c>
      <c r="S749" s="5">
        <v>79.61</v>
      </c>
      <c r="T749" s="5">
        <v>78.88</v>
      </c>
      <c r="V749" s="5">
        <v>79.989999999999995</v>
      </c>
      <c r="Y749" s="5">
        <v>91677</v>
      </c>
      <c r="Z749" s="5">
        <v>7393761.3399999999</v>
      </c>
      <c r="AA749" s="5">
        <v>1605</v>
      </c>
      <c r="AB749" s="5" t="s">
        <v>85</v>
      </c>
      <c r="AC749" s="5">
        <v>1</v>
      </c>
    </row>
    <row r="750" spans="1:29" x14ac:dyDescent="0.3">
      <c r="A750" s="34">
        <v>46274</v>
      </c>
      <c r="B750" s="34">
        <v>46274</v>
      </c>
      <c r="C750" s="5" t="s">
        <v>78</v>
      </c>
      <c r="D750" s="5" t="s">
        <v>79</v>
      </c>
      <c r="E750" s="5" t="s">
        <v>80</v>
      </c>
      <c r="F750" s="5">
        <v>1901</v>
      </c>
      <c r="G750" s="5" t="s">
        <v>2343</v>
      </c>
      <c r="H750" s="5" t="s">
        <v>2344</v>
      </c>
      <c r="I750" s="5" t="s">
        <v>212</v>
      </c>
      <c r="N750" s="5" t="s">
        <v>2345</v>
      </c>
      <c r="O750" s="5">
        <v>5020</v>
      </c>
      <c r="P750" s="5">
        <v>5182.5</v>
      </c>
      <c r="Q750" s="5">
        <v>5020</v>
      </c>
      <c r="R750" s="5">
        <v>5170.5</v>
      </c>
      <c r="S750" s="5">
        <v>5170.5</v>
      </c>
      <c r="T750" s="5">
        <v>5040</v>
      </c>
      <c r="V750" s="5">
        <v>5170.4799999999996</v>
      </c>
      <c r="Y750" s="5">
        <v>373017</v>
      </c>
      <c r="Z750" s="5">
        <v>1919048873</v>
      </c>
      <c r="AA750" s="5">
        <v>29740</v>
      </c>
      <c r="AB750" s="5" t="s">
        <v>85</v>
      </c>
      <c r="AC750" s="5">
        <v>1</v>
      </c>
    </row>
    <row r="751" spans="1:29" x14ac:dyDescent="0.3">
      <c r="A751" s="34">
        <v>46274</v>
      </c>
      <c r="B751" s="34">
        <v>46274</v>
      </c>
      <c r="C751" s="5" t="s">
        <v>78</v>
      </c>
      <c r="D751" s="5" t="s">
        <v>79</v>
      </c>
      <c r="E751" s="5" t="s">
        <v>80</v>
      </c>
      <c r="F751" s="5">
        <v>18520</v>
      </c>
      <c r="G751" s="5" t="s">
        <v>2346</v>
      </c>
      <c r="H751" s="5" t="s">
        <v>2347</v>
      </c>
      <c r="I751" s="5" t="s">
        <v>212</v>
      </c>
      <c r="N751" s="5" t="s">
        <v>2348</v>
      </c>
      <c r="O751" s="5">
        <v>275.39999999999998</v>
      </c>
      <c r="P751" s="5">
        <v>280.60000000000002</v>
      </c>
      <c r="Q751" s="5">
        <v>265.45</v>
      </c>
      <c r="R751" s="5">
        <v>279.7</v>
      </c>
      <c r="S751" s="5">
        <v>279.3</v>
      </c>
      <c r="T751" s="5">
        <v>274.8</v>
      </c>
      <c r="V751" s="5">
        <v>279.69</v>
      </c>
      <c r="Y751" s="5">
        <v>26778485</v>
      </c>
      <c r="Z751" s="5">
        <v>7325886321.5500002</v>
      </c>
      <c r="AA751" s="5">
        <v>167975</v>
      </c>
      <c r="AB751" s="5" t="s">
        <v>85</v>
      </c>
      <c r="AC751" s="5">
        <v>1</v>
      </c>
    </row>
    <row r="752" spans="1:29" x14ac:dyDescent="0.3">
      <c r="A752" s="34">
        <v>46274</v>
      </c>
      <c r="B752" s="34">
        <v>46274</v>
      </c>
      <c r="C752" s="5" t="s">
        <v>78</v>
      </c>
      <c r="D752" s="5" t="s">
        <v>79</v>
      </c>
      <c r="E752" s="5" t="s">
        <v>80</v>
      </c>
      <c r="F752" s="5">
        <v>30189</v>
      </c>
      <c r="G752" s="5" t="s">
        <v>2349</v>
      </c>
      <c r="H752" s="5" t="s">
        <v>2350</v>
      </c>
      <c r="I752" s="5" t="s">
        <v>212</v>
      </c>
      <c r="N752" s="5" t="s">
        <v>2351</v>
      </c>
      <c r="O752" s="5">
        <v>76.849999999999994</v>
      </c>
      <c r="P752" s="5">
        <v>77.400000000000006</v>
      </c>
      <c r="Q752" s="5">
        <v>74.5</v>
      </c>
      <c r="R752" s="5">
        <v>75.88</v>
      </c>
      <c r="S752" s="5">
        <v>75.3</v>
      </c>
      <c r="T752" s="5">
        <v>78</v>
      </c>
      <c r="V752" s="5">
        <v>75.88</v>
      </c>
      <c r="Y752" s="5">
        <v>518</v>
      </c>
      <c r="Z752" s="5">
        <v>39410.57</v>
      </c>
      <c r="AA752" s="5">
        <v>37</v>
      </c>
      <c r="AB752" s="5" t="s">
        <v>85</v>
      </c>
      <c r="AC752" s="5">
        <v>1</v>
      </c>
    </row>
    <row r="753" spans="1:29" x14ac:dyDescent="0.3">
      <c r="A753" s="34">
        <v>46274</v>
      </c>
      <c r="B753" s="34">
        <v>46274</v>
      </c>
      <c r="C753" s="5" t="s">
        <v>78</v>
      </c>
      <c r="D753" s="5" t="s">
        <v>79</v>
      </c>
      <c r="E753" s="5" t="s">
        <v>80</v>
      </c>
      <c r="F753" s="5">
        <v>759825</v>
      </c>
      <c r="G753" s="5" t="s">
        <v>2352</v>
      </c>
      <c r="H753" s="5" t="s">
        <v>2353</v>
      </c>
      <c r="I753" s="5" t="s">
        <v>313</v>
      </c>
      <c r="N753" s="5" t="s">
        <v>2354</v>
      </c>
      <c r="O753" s="5">
        <v>211</v>
      </c>
      <c r="P753" s="5">
        <v>218.65</v>
      </c>
      <c r="Q753" s="5">
        <v>211</v>
      </c>
      <c r="R753" s="5">
        <v>218.65</v>
      </c>
      <c r="S753" s="5">
        <v>218.65</v>
      </c>
      <c r="T753" s="5">
        <v>198.8</v>
      </c>
      <c r="V753" s="5">
        <v>218.65</v>
      </c>
      <c r="Y753" s="5">
        <v>104000</v>
      </c>
      <c r="Z753" s="5">
        <v>22611350</v>
      </c>
      <c r="AA753" s="5">
        <v>93</v>
      </c>
      <c r="AB753" s="5" t="s">
        <v>85</v>
      </c>
      <c r="AC753" s="5">
        <v>1000</v>
      </c>
    </row>
    <row r="754" spans="1:29" x14ac:dyDescent="0.3">
      <c r="A754" s="34">
        <v>46274</v>
      </c>
      <c r="B754" s="34">
        <v>46274</v>
      </c>
      <c r="C754" s="5" t="s">
        <v>78</v>
      </c>
      <c r="D754" s="5" t="s">
        <v>79</v>
      </c>
      <c r="E754" s="5" t="s">
        <v>80</v>
      </c>
      <c r="F754" s="5">
        <v>758964</v>
      </c>
      <c r="G754" s="5" t="s">
        <v>2355</v>
      </c>
      <c r="H754" s="5" t="s">
        <v>2356</v>
      </c>
      <c r="I754" s="5" t="s">
        <v>313</v>
      </c>
      <c r="N754" s="5" t="s">
        <v>2357</v>
      </c>
      <c r="O754" s="5">
        <v>83</v>
      </c>
      <c r="P754" s="5">
        <v>83</v>
      </c>
      <c r="Q754" s="5">
        <v>76.099999999999994</v>
      </c>
      <c r="R754" s="5">
        <v>78.650000000000006</v>
      </c>
      <c r="S754" s="5">
        <v>78.650000000000006</v>
      </c>
      <c r="T754" s="5">
        <v>85</v>
      </c>
      <c r="V754" s="5">
        <v>78.650000000000006</v>
      </c>
      <c r="Y754" s="5">
        <v>19200</v>
      </c>
      <c r="Z754" s="5">
        <v>1529920</v>
      </c>
      <c r="AA754" s="5">
        <v>11</v>
      </c>
      <c r="AB754" s="5" t="s">
        <v>85</v>
      </c>
      <c r="AC754" s="5">
        <v>1600</v>
      </c>
    </row>
    <row r="755" spans="1:29" x14ac:dyDescent="0.3">
      <c r="A755" s="34">
        <v>46274</v>
      </c>
      <c r="B755" s="34">
        <v>46274</v>
      </c>
      <c r="C755" s="5" t="s">
        <v>78</v>
      </c>
      <c r="D755" s="5" t="s">
        <v>79</v>
      </c>
      <c r="E755" s="5" t="s">
        <v>80</v>
      </c>
      <c r="F755" s="5">
        <v>11845</v>
      </c>
      <c r="G755" s="5" t="s">
        <v>2358</v>
      </c>
      <c r="H755" s="5" t="s">
        <v>2359</v>
      </c>
      <c r="I755" s="5" t="s">
        <v>234</v>
      </c>
      <c r="N755" s="5" t="s">
        <v>2360</v>
      </c>
      <c r="O755" s="5">
        <v>22.74</v>
      </c>
      <c r="P755" s="5">
        <v>22.75</v>
      </c>
      <c r="Q755" s="5">
        <v>22.73</v>
      </c>
      <c r="R755" s="5">
        <v>22.73</v>
      </c>
      <c r="S755" s="5">
        <v>22.75</v>
      </c>
      <c r="T755" s="5">
        <v>23.92</v>
      </c>
      <c r="V755" s="5">
        <v>22.73</v>
      </c>
      <c r="Y755" s="5">
        <v>37745</v>
      </c>
      <c r="Z755" s="5">
        <v>857996.38</v>
      </c>
      <c r="AA755" s="5">
        <v>162</v>
      </c>
      <c r="AB755" s="5" t="s">
        <v>85</v>
      </c>
      <c r="AC755" s="5">
        <v>1</v>
      </c>
    </row>
    <row r="756" spans="1:29" x14ac:dyDescent="0.3">
      <c r="A756" s="34">
        <v>46274</v>
      </c>
      <c r="B756" s="34">
        <v>46274</v>
      </c>
      <c r="C756" s="5" t="s">
        <v>78</v>
      </c>
      <c r="D756" s="5" t="s">
        <v>79</v>
      </c>
      <c r="E756" s="5" t="s">
        <v>80</v>
      </c>
      <c r="F756" s="5">
        <v>6054</v>
      </c>
      <c r="G756" s="5" t="s">
        <v>2361</v>
      </c>
      <c r="H756" s="5" t="s">
        <v>2362</v>
      </c>
      <c r="I756" s="5" t="s">
        <v>234</v>
      </c>
      <c r="N756" s="5" t="s">
        <v>2363</v>
      </c>
      <c r="O756" s="5">
        <v>140.69999999999999</v>
      </c>
      <c r="P756" s="5">
        <v>142.94999999999999</v>
      </c>
      <c r="Q756" s="5">
        <v>140</v>
      </c>
      <c r="R756" s="5">
        <v>142.27000000000001</v>
      </c>
      <c r="S756" s="5">
        <v>142.94999999999999</v>
      </c>
      <c r="T756" s="5">
        <v>139.26</v>
      </c>
      <c r="V756" s="5">
        <v>142.30000000000001</v>
      </c>
      <c r="Y756" s="5">
        <v>29578</v>
      </c>
      <c r="Z756" s="5">
        <v>4183029.75</v>
      </c>
      <c r="AA756" s="5">
        <v>356</v>
      </c>
      <c r="AB756" s="5" t="s">
        <v>85</v>
      </c>
      <c r="AC756" s="5">
        <v>1</v>
      </c>
    </row>
    <row r="757" spans="1:29" x14ac:dyDescent="0.3">
      <c r="A757" s="34">
        <v>46274</v>
      </c>
      <c r="B757" s="34">
        <v>46274</v>
      </c>
      <c r="C757" s="5" t="s">
        <v>78</v>
      </c>
      <c r="D757" s="5" t="s">
        <v>79</v>
      </c>
      <c r="E757" s="5" t="s">
        <v>80</v>
      </c>
      <c r="F757" s="5">
        <v>17187</v>
      </c>
      <c r="G757" s="5" t="s">
        <v>2364</v>
      </c>
      <c r="H757" s="5" t="s">
        <v>2365</v>
      </c>
      <c r="I757" s="5" t="s">
        <v>212</v>
      </c>
      <c r="N757" s="5" t="s">
        <v>2366</v>
      </c>
      <c r="O757" s="5">
        <v>980</v>
      </c>
      <c r="P757" s="5">
        <v>989.95</v>
      </c>
      <c r="Q757" s="5">
        <v>932.55</v>
      </c>
      <c r="R757" s="5">
        <v>945.65</v>
      </c>
      <c r="S757" s="5">
        <v>951</v>
      </c>
      <c r="T757" s="5">
        <v>976.25</v>
      </c>
      <c r="V757" s="5">
        <v>945.58</v>
      </c>
      <c r="Y757" s="5">
        <v>749695</v>
      </c>
      <c r="Z757" s="5">
        <v>721260493.79999995</v>
      </c>
      <c r="AA757" s="5">
        <v>41055</v>
      </c>
      <c r="AB757" s="5" t="s">
        <v>85</v>
      </c>
      <c r="AC757" s="5">
        <v>1</v>
      </c>
    </row>
    <row r="758" spans="1:29" x14ac:dyDescent="0.3">
      <c r="A758" s="34">
        <v>46274</v>
      </c>
      <c r="B758" s="34">
        <v>46274</v>
      </c>
      <c r="C758" s="5" t="s">
        <v>78</v>
      </c>
      <c r="D758" s="5" t="s">
        <v>79</v>
      </c>
      <c r="E758" s="5" t="s">
        <v>80</v>
      </c>
      <c r="F758" s="5">
        <v>5748</v>
      </c>
      <c r="G758" s="5" t="s">
        <v>2367</v>
      </c>
      <c r="H758" s="5" t="s">
        <v>2368</v>
      </c>
      <c r="I758" s="5" t="s">
        <v>212</v>
      </c>
      <c r="N758" s="5" t="s">
        <v>2369</v>
      </c>
      <c r="O758" s="5">
        <v>1066.3</v>
      </c>
      <c r="P758" s="5">
        <v>1091.5999999999999</v>
      </c>
      <c r="Q758" s="5">
        <v>1058.4000000000001</v>
      </c>
      <c r="R758" s="5">
        <v>1075.0999999999999</v>
      </c>
      <c r="S758" s="5">
        <v>1075.4000000000001</v>
      </c>
      <c r="T758" s="5">
        <v>1086.3</v>
      </c>
      <c r="V758" s="5">
        <v>1075</v>
      </c>
      <c r="Y758" s="5">
        <v>323893</v>
      </c>
      <c r="Z758" s="5">
        <v>348395980</v>
      </c>
      <c r="AA758" s="5">
        <v>18757</v>
      </c>
      <c r="AB758" s="5" t="s">
        <v>85</v>
      </c>
      <c r="AC758" s="5">
        <v>1</v>
      </c>
    </row>
    <row r="759" spans="1:29" x14ac:dyDescent="0.3">
      <c r="A759" s="34">
        <v>46274</v>
      </c>
      <c r="B759" s="34">
        <v>46274</v>
      </c>
      <c r="C759" s="5" t="s">
        <v>78</v>
      </c>
      <c r="D759" s="5" t="s">
        <v>79</v>
      </c>
      <c r="E759" s="5" t="s">
        <v>80</v>
      </c>
      <c r="F759" s="5">
        <v>6249</v>
      </c>
      <c r="G759" s="5" t="s">
        <v>2370</v>
      </c>
      <c r="H759" s="5" t="s">
        <v>2371</v>
      </c>
      <c r="I759" s="5" t="s">
        <v>313</v>
      </c>
      <c r="N759" s="5" t="s">
        <v>2372</v>
      </c>
      <c r="O759" s="5">
        <v>64</v>
      </c>
      <c r="P759" s="5">
        <v>73</v>
      </c>
      <c r="Q759" s="5">
        <v>64</v>
      </c>
      <c r="R759" s="5">
        <v>73</v>
      </c>
      <c r="S759" s="5">
        <v>73</v>
      </c>
      <c r="T759" s="5">
        <v>66</v>
      </c>
      <c r="V759" s="5">
        <v>73</v>
      </c>
      <c r="Y759" s="5">
        <v>6000</v>
      </c>
      <c r="Z759" s="5">
        <v>424350</v>
      </c>
      <c r="AA759" s="5">
        <v>4</v>
      </c>
      <c r="AB759" s="5" t="s">
        <v>85</v>
      </c>
      <c r="AC759" s="5">
        <v>1500</v>
      </c>
    </row>
    <row r="760" spans="1:29" x14ac:dyDescent="0.3">
      <c r="A760" s="34">
        <v>46274</v>
      </c>
      <c r="B760" s="34">
        <v>46274</v>
      </c>
      <c r="C760" s="5" t="s">
        <v>78</v>
      </c>
      <c r="D760" s="5" t="s">
        <v>79</v>
      </c>
      <c r="E760" s="5" t="s">
        <v>80</v>
      </c>
      <c r="F760" s="5">
        <v>16902</v>
      </c>
      <c r="G760" s="5" t="s">
        <v>2373</v>
      </c>
      <c r="H760" s="5" t="s">
        <v>2374</v>
      </c>
      <c r="I760" s="5" t="s">
        <v>234</v>
      </c>
      <c r="N760" s="5" t="s">
        <v>2375</v>
      </c>
      <c r="O760" s="5">
        <v>152.75</v>
      </c>
      <c r="P760" s="5">
        <v>155.75</v>
      </c>
      <c r="Q760" s="5">
        <v>152</v>
      </c>
      <c r="R760" s="5">
        <v>153.54</v>
      </c>
      <c r="S760" s="5">
        <v>153.01</v>
      </c>
      <c r="T760" s="5">
        <v>152.77000000000001</v>
      </c>
      <c r="V760" s="5">
        <v>153.54</v>
      </c>
      <c r="Y760" s="5">
        <v>3000</v>
      </c>
      <c r="Z760" s="5">
        <v>458452.84</v>
      </c>
      <c r="AA760" s="5">
        <v>87</v>
      </c>
      <c r="AB760" s="5" t="s">
        <v>85</v>
      </c>
      <c r="AC760" s="5">
        <v>1</v>
      </c>
    </row>
    <row r="761" spans="1:29" x14ac:dyDescent="0.3">
      <c r="A761" s="34">
        <v>46274</v>
      </c>
      <c r="B761" s="34">
        <v>46274</v>
      </c>
      <c r="C761" s="5" t="s">
        <v>78</v>
      </c>
      <c r="D761" s="5" t="s">
        <v>79</v>
      </c>
      <c r="E761" s="5" t="s">
        <v>80</v>
      </c>
      <c r="F761" s="5">
        <v>17851</v>
      </c>
      <c r="G761" s="5" t="s">
        <v>2376</v>
      </c>
      <c r="H761" s="5" t="s">
        <v>2377</v>
      </c>
      <c r="I761" s="5" t="s">
        <v>212</v>
      </c>
      <c r="N761" s="5" t="s">
        <v>2378</v>
      </c>
      <c r="O761" s="5">
        <v>441.1</v>
      </c>
      <c r="P761" s="5">
        <v>441.7</v>
      </c>
      <c r="Q761" s="5">
        <v>435.05</v>
      </c>
      <c r="R761" s="5">
        <v>436.05</v>
      </c>
      <c r="S761" s="5">
        <v>435.1</v>
      </c>
      <c r="T761" s="5">
        <v>443</v>
      </c>
      <c r="V761" s="5">
        <v>436.05</v>
      </c>
      <c r="Y761" s="5">
        <v>48956</v>
      </c>
      <c r="Z761" s="5">
        <v>21459711.550000001</v>
      </c>
      <c r="AA761" s="5">
        <v>2166</v>
      </c>
      <c r="AB761" s="5" t="s">
        <v>85</v>
      </c>
      <c r="AC761" s="5">
        <v>1</v>
      </c>
    </row>
    <row r="762" spans="1:29" x14ac:dyDescent="0.3">
      <c r="A762" s="34">
        <v>46274</v>
      </c>
      <c r="B762" s="34">
        <v>46274</v>
      </c>
      <c r="C762" s="5" t="s">
        <v>78</v>
      </c>
      <c r="D762" s="5" t="s">
        <v>79</v>
      </c>
      <c r="E762" s="5" t="s">
        <v>80</v>
      </c>
      <c r="F762" s="5">
        <v>936</v>
      </c>
      <c r="G762" s="5" t="s">
        <v>2379</v>
      </c>
      <c r="H762" s="5" t="s">
        <v>2380</v>
      </c>
      <c r="I762" s="5" t="s">
        <v>212</v>
      </c>
      <c r="N762" s="5" t="s">
        <v>2381</v>
      </c>
      <c r="O762" s="5">
        <v>1402.8</v>
      </c>
      <c r="P762" s="5">
        <v>1411</v>
      </c>
      <c r="Q762" s="5">
        <v>1380</v>
      </c>
      <c r="R762" s="5">
        <v>1397.7</v>
      </c>
      <c r="S762" s="5">
        <v>1391.1</v>
      </c>
      <c r="T762" s="5">
        <v>1411.6</v>
      </c>
      <c r="V762" s="5">
        <v>1397.96</v>
      </c>
      <c r="Y762" s="5">
        <v>16777</v>
      </c>
      <c r="Z762" s="5">
        <v>23318020.399999999</v>
      </c>
      <c r="AA762" s="5">
        <v>2052</v>
      </c>
      <c r="AB762" s="5" t="s">
        <v>85</v>
      </c>
      <c r="AC762" s="5">
        <v>1</v>
      </c>
    </row>
    <row r="763" spans="1:29" x14ac:dyDescent="0.3">
      <c r="A763" s="34">
        <v>46274</v>
      </c>
      <c r="B763" s="34">
        <v>46274</v>
      </c>
      <c r="C763" s="5" t="s">
        <v>78</v>
      </c>
      <c r="D763" s="5" t="s">
        <v>79</v>
      </c>
      <c r="E763" s="5" t="s">
        <v>80</v>
      </c>
      <c r="F763" s="5">
        <v>17881</v>
      </c>
      <c r="G763" s="5" t="s">
        <v>2382</v>
      </c>
      <c r="H763" s="5" t="s">
        <v>2383</v>
      </c>
      <c r="I763" s="5" t="s">
        <v>212</v>
      </c>
      <c r="N763" s="5" t="s">
        <v>2384</v>
      </c>
      <c r="O763" s="5">
        <v>195.98</v>
      </c>
      <c r="P763" s="5">
        <v>195.98</v>
      </c>
      <c r="Q763" s="5">
        <v>190.22</v>
      </c>
      <c r="R763" s="5">
        <v>190.55</v>
      </c>
      <c r="S763" s="5">
        <v>190.3</v>
      </c>
      <c r="T763" s="5">
        <v>195.3</v>
      </c>
      <c r="V763" s="5">
        <v>190.55</v>
      </c>
      <c r="Y763" s="5">
        <v>99526</v>
      </c>
      <c r="Z763" s="5">
        <v>19067894.170000002</v>
      </c>
      <c r="AA763" s="5">
        <v>2590</v>
      </c>
      <c r="AB763" s="5" t="s">
        <v>85</v>
      </c>
      <c r="AC763" s="5">
        <v>1</v>
      </c>
    </row>
    <row r="764" spans="1:29" x14ac:dyDescent="0.3">
      <c r="A764" s="34">
        <v>46274</v>
      </c>
      <c r="B764" s="34">
        <v>46274</v>
      </c>
      <c r="C764" s="5" t="s">
        <v>78</v>
      </c>
      <c r="D764" s="5" t="s">
        <v>79</v>
      </c>
      <c r="E764" s="5" t="s">
        <v>80</v>
      </c>
      <c r="F764" s="5">
        <v>772</v>
      </c>
      <c r="G764" s="5" t="s">
        <v>2385</v>
      </c>
      <c r="H764" s="5" t="s">
        <v>2386</v>
      </c>
      <c r="I764" s="5" t="s">
        <v>212</v>
      </c>
      <c r="N764" s="5" t="s">
        <v>2387</v>
      </c>
      <c r="O764" s="5">
        <v>374.7</v>
      </c>
      <c r="P764" s="5">
        <v>374.7</v>
      </c>
      <c r="Q764" s="5">
        <v>368.05</v>
      </c>
      <c r="R764" s="5">
        <v>371.55</v>
      </c>
      <c r="S764" s="5">
        <v>371.55</v>
      </c>
      <c r="T764" s="5">
        <v>375</v>
      </c>
      <c r="V764" s="5">
        <v>371.55</v>
      </c>
      <c r="Y764" s="5">
        <v>2451979</v>
      </c>
      <c r="Z764" s="5">
        <v>907867553.89999998</v>
      </c>
      <c r="AA764" s="5">
        <v>39559</v>
      </c>
      <c r="AB764" s="5" t="s">
        <v>85</v>
      </c>
      <c r="AC764" s="5">
        <v>1</v>
      </c>
    </row>
    <row r="765" spans="1:29" x14ac:dyDescent="0.3">
      <c r="A765" s="34">
        <v>46274</v>
      </c>
      <c r="B765" s="34">
        <v>46274</v>
      </c>
      <c r="C765" s="5" t="s">
        <v>78</v>
      </c>
      <c r="D765" s="5" t="s">
        <v>79</v>
      </c>
      <c r="E765" s="5" t="s">
        <v>80</v>
      </c>
      <c r="F765" s="5">
        <v>762636</v>
      </c>
      <c r="G765" s="5" t="s">
        <v>2388</v>
      </c>
      <c r="H765" s="5" t="s">
        <v>2389</v>
      </c>
      <c r="I765" s="5" t="s">
        <v>234</v>
      </c>
      <c r="N765" s="5" t="s">
        <v>2390</v>
      </c>
      <c r="O765" s="5">
        <v>367</v>
      </c>
      <c r="P765" s="5">
        <v>367</v>
      </c>
      <c r="Q765" s="5">
        <v>348.65</v>
      </c>
      <c r="R765" s="5">
        <v>352</v>
      </c>
      <c r="S765" s="5">
        <v>352</v>
      </c>
      <c r="T765" s="5">
        <v>367</v>
      </c>
      <c r="V765" s="5">
        <v>352</v>
      </c>
      <c r="Y765" s="5">
        <v>2014</v>
      </c>
      <c r="Z765" s="5">
        <v>707168.6</v>
      </c>
      <c r="AA765" s="5">
        <v>52</v>
      </c>
      <c r="AB765" s="5" t="s">
        <v>85</v>
      </c>
      <c r="AC765" s="5">
        <v>1</v>
      </c>
    </row>
    <row r="766" spans="1:29" x14ac:dyDescent="0.3">
      <c r="A766" s="34">
        <v>46274</v>
      </c>
      <c r="B766" s="34">
        <v>46274</v>
      </c>
      <c r="C766" s="5" t="s">
        <v>78</v>
      </c>
      <c r="D766" s="5" t="s">
        <v>79</v>
      </c>
      <c r="E766" s="5" t="s">
        <v>80</v>
      </c>
      <c r="F766" s="5">
        <v>8075</v>
      </c>
      <c r="G766" s="5" t="s">
        <v>2391</v>
      </c>
      <c r="H766" s="5" t="s">
        <v>2392</v>
      </c>
      <c r="I766" s="5" t="s">
        <v>212</v>
      </c>
      <c r="N766" s="5" t="s">
        <v>2393</v>
      </c>
      <c r="O766" s="5">
        <v>1710.7</v>
      </c>
      <c r="P766" s="5">
        <v>1740</v>
      </c>
      <c r="Q766" s="5">
        <v>1690</v>
      </c>
      <c r="R766" s="5">
        <v>1733.6</v>
      </c>
      <c r="S766" s="5">
        <v>1738</v>
      </c>
      <c r="T766" s="5">
        <v>1700.5</v>
      </c>
      <c r="V766" s="5">
        <v>1733.62</v>
      </c>
      <c r="Y766" s="5">
        <v>41241</v>
      </c>
      <c r="Z766" s="5">
        <v>70858937.299999997</v>
      </c>
      <c r="AA766" s="5">
        <v>6105</v>
      </c>
      <c r="AB766" s="5" t="s">
        <v>85</v>
      </c>
      <c r="AC766" s="5">
        <v>1</v>
      </c>
    </row>
    <row r="767" spans="1:29" x14ac:dyDescent="0.3">
      <c r="A767" s="34">
        <v>46274</v>
      </c>
      <c r="B767" s="34">
        <v>46274</v>
      </c>
      <c r="C767" s="5" t="s">
        <v>78</v>
      </c>
      <c r="D767" s="5" t="s">
        <v>79</v>
      </c>
      <c r="E767" s="5" t="s">
        <v>80</v>
      </c>
      <c r="F767" s="5">
        <v>781</v>
      </c>
      <c r="G767" s="5" t="s">
        <v>2394</v>
      </c>
      <c r="H767" s="5" t="s">
        <v>2395</v>
      </c>
      <c r="I767" s="5" t="s">
        <v>212</v>
      </c>
      <c r="N767" s="5" t="s">
        <v>2396</v>
      </c>
      <c r="O767" s="5">
        <v>453</v>
      </c>
      <c r="P767" s="5">
        <v>453</v>
      </c>
      <c r="Q767" s="5">
        <v>431.1</v>
      </c>
      <c r="R767" s="5">
        <v>433</v>
      </c>
      <c r="S767" s="5">
        <v>432.1</v>
      </c>
      <c r="T767" s="5">
        <v>450.35</v>
      </c>
      <c r="V767" s="5">
        <v>433</v>
      </c>
      <c r="Y767" s="5">
        <v>204730</v>
      </c>
      <c r="Z767" s="5">
        <v>89364657.849999994</v>
      </c>
      <c r="AA767" s="5">
        <v>6696</v>
      </c>
      <c r="AB767" s="5" t="s">
        <v>85</v>
      </c>
      <c r="AC767" s="5">
        <v>1</v>
      </c>
    </row>
    <row r="768" spans="1:29" x14ac:dyDescent="0.3">
      <c r="A768" s="34">
        <v>46274</v>
      </c>
      <c r="B768" s="34">
        <v>46274</v>
      </c>
      <c r="C768" s="5" t="s">
        <v>78</v>
      </c>
      <c r="D768" s="5" t="s">
        <v>79</v>
      </c>
      <c r="E768" s="5" t="s">
        <v>80</v>
      </c>
      <c r="F768" s="5">
        <v>28662</v>
      </c>
      <c r="G768" s="5" t="s">
        <v>2397</v>
      </c>
      <c r="H768" s="5" t="s">
        <v>2398</v>
      </c>
      <c r="I768" s="5" t="s">
        <v>212</v>
      </c>
      <c r="N768" s="5" t="s">
        <v>2399</v>
      </c>
      <c r="O768" s="5">
        <v>145.19999999999999</v>
      </c>
      <c r="P768" s="5">
        <v>146.31</v>
      </c>
      <c r="Q768" s="5">
        <v>144.01</v>
      </c>
      <c r="R768" s="5">
        <v>144.87</v>
      </c>
      <c r="S768" s="5">
        <v>144.4</v>
      </c>
      <c r="T768" s="5">
        <v>145.29</v>
      </c>
      <c r="V768" s="5">
        <v>144.87</v>
      </c>
      <c r="Y768" s="5">
        <v>225379</v>
      </c>
      <c r="Z768" s="5">
        <v>32686669</v>
      </c>
      <c r="AA768" s="5">
        <v>5073</v>
      </c>
      <c r="AB768" s="5" t="s">
        <v>85</v>
      </c>
      <c r="AC768" s="5">
        <v>1</v>
      </c>
    </row>
    <row r="769" spans="1:29" x14ac:dyDescent="0.3">
      <c r="A769" s="34">
        <v>46274</v>
      </c>
      <c r="B769" s="34">
        <v>46274</v>
      </c>
      <c r="C769" s="5" t="s">
        <v>78</v>
      </c>
      <c r="D769" s="5" t="s">
        <v>79</v>
      </c>
      <c r="E769" s="5" t="s">
        <v>80</v>
      </c>
      <c r="F769" s="5">
        <v>17569</v>
      </c>
      <c r="G769" s="5" t="s">
        <v>2400</v>
      </c>
      <c r="H769" s="5" t="s">
        <v>2401</v>
      </c>
      <c r="I769" s="5" t="s">
        <v>234</v>
      </c>
      <c r="N769" s="5" t="s">
        <v>2402</v>
      </c>
      <c r="O769" s="5">
        <v>29</v>
      </c>
      <c r="P769" s="5">
        <v>29.7</v>
      </c>
      <c r="Q769" s="5">
        <v>28</v>
      </c>
      <c r="R769" s="5">
        <v>29.02</v>
      </c>
      <c r="S769" s="5">
        <v>29.02</v>
      </c>
      <c r="T769" s="5">
        <v>29.11</v>
      </c>
      <c r="V769" s="5">
        <v>29.02</v>
      </c>
      <c r="Y769" s="5">
        <v>6491</v>
      </c>
      <c r="Z769" s="5">
        <v>187112.5</v>
      </c>
      <c r="AA769" s="5">
        <v>39</v>
      </c>
      <c r="AB769" s="5" t="s">
        <v>85</v>
      </c>
      <c r="AC769" s="5">
        <v>1</v>
      </c>
    </row>
    <row r="770" spans="1:29" x14ac:dyDescent="0.3">
      <c r="A770" s="34">
        <v>46274</v>
      </c>
      <c r="B770" s="34">
        <v>46274</v>
      </c>
      <c r="C770" s="5" t="s">
        <v>78</v>
      </c>
      <c r="D770" s="5" t="s">
        <v>79</v>
      </c>
      <c r="E770" s="5" t="s">
        <v>80</v>
      </c>
      <c r="F770" s="5">
        <v>1110</v>
      </c>
      <c r="G770" s="5" t="s">
        <v>2403</v>
      </c>
      <c r="H770" s="5" t="s">
        <v>2404</v>
      </c>
      <c r="I770" s="5" t="s">
        <v>212</v>
      </c>
      <c r="N770" s="5" t="s">
        <v>2405</v>
      </c>
      <c r="O770" s="5">
        <v>2.94</v>
      </c>
      <c r="P770" s="5">
        <v>2.94</v>
      </c>
      <c r="Q770" s="5">
        <v>2.81</v>
      </c>
      <c r="R770" s="5">
        <v>2.83</v>
      </c>
      <c r="S770" s="5">
        <v>2.83</v>
      </c>
      <c r="T770" s="5">
        <v>2.88</v>
      </c>
      <c r="V770" s="5">
        <v>2.83</v>
      </c>
      <c r="Y770" s="5">
        <v>10529</v>
      </c>
      <c r="Z770" s="5">
        <v>30020.39</v>
      </c>
      <c r="AA770" s="5">
        <v>77</v>
      </c>
      <c r="AB770" s="5" t="s">
        <v>85</v>
      </c>
      <c r="AC770" s="5">
        <v>1</v>
      </c>
    </row>
    <row r="771" spans="1:29" x14ac:dyDescent="0.3">
      <c r="A771" s="34">
        <v>46274</v>
      </c>
      <c r="B771" s="34">
        <v>46274</v>
      </c>
      <c r="C771" s="5" t="s">
        <v>78</v>
      </c>
      <c r="D771" s="5" t="s">
        <v>79</v>
      </c>
      <c r="E771" s="5" t="s">
        <v>80</v>
      </c>
      <c r="F771" s="5">
        <v>25927</v>
      </c>
      <c r="G771" s="5" t="s">
        <v>2406</v>
      </c>
      <c r="H771" s="5" t="s">
        <v>2407</v>
      </c>
      <c r="I771" s="5" t="s">
        <v>313</v>
      </c>
      <c r="N771" s="5" t="s">
        <v>2408</v>
      </c>
      <c r="O771" s="5">
        <v>850</v>
      </c>
      <c r="P771" s="5">
        <v>888.9</v>
      </c>
      <c r="Q771" s="5">
        <v>830.55</v>
      </c>
      <c r="R771" s="5">
        <v>873.55</v>
      </c>
      <c r="S771" s="5">
        <v>877</v>
      </c>
      <c r="T771" s="5">
        <v>851</v>
      </c>
      <c r="V771" s="5">
        <v>873.55</v>
      </c>
      <c r="Y771" s="5">
        <v>36900</v>
      </c>
      <c r="Z771" s="5">
        <v>32059627.5</v>
      </c>
      <c r="AA771" s="5">
        <v>205</v>
      </c>
      <c r="AB771" s="5" t="s">
        <v>85</v>
      </c>
      <c r="AC771" s="5">
        <v>150</v>
      </c>
    </row>
    <row r="772" spans="1:29" x14ac:dyDescent="0.3">
      <c r="A772" s="34">
        <v>46274</v>
      </c>
      <c r="B772" s="34">
        <v>46274</v>
      </c>
      <c r="C772" s="5" t="s">
        <v>78</v>
      </c>
      <c r="D772" s="5" t="s">
        <v>79</v>
      </c>
      <c r="E772" s="5" t="s">
        <v>80</v>
      </c>
      <c r="F772" s="5">
        <v>757107</v>
      </c>
      <c r="G772" s="5" t="s">
        <v>2409</v>
      </c>
      <c r="H772" s="5" t="s">
        <v>2410</v>
      </c>
      <c r="I772" s="5" t="s">
        <v>313</v>
      </c>
      <c r="N772" s="5" t="s">
        <v>2411</v>
      </c>
      <c r="O772" s="5">
        <v>42</v>
      </c>
      <c r="P772" s="5">
        <v>42</v>
      </c>
      <c r="Q772" s="5">
        <v>41</v>
      </c>
      <c r="R772" s="5">
        <v>41.05</v>
      </c>
      <c r="S772" s="5">
        <v>41.05</v>
      </c>
      <c r="T772" s="5">
        <v>43</v>
      </c>
      <c r="V772" s="5">
        <v>41.05</v>
      </c>
      <c r="Y772" s="5">
        <v>18000</v>
      </c>
      <c r="Z772" s="5">
        <v>745000</v>
      </c>
      <c r="AA772" s="5">
        <v>9</v>
      </c>
      <c r="AB772" s="5" t="s">
        <v>85</v>
      </c>
      <c r="AC772" s="5">
        <v>2000</v>
      </c>
    </row>
    <row r="773" spans="1:29" x14ac:dyDescent="0.3">
      <c r="A773" s="34">
        <v>46274</v>
      </c>
      <c r="B773" s="34">
        <v>46274</v>
      </c>
      <c r="C773" s="5" t="s">
        <v>78</v>
      </c>
      <c r="D773" s="5" t="s">
        <v>79</v>
      </c>
      <c r="E773" s="5" t="s">
        <v>80</v>
      </c>
      <c r="F773" s="5">
        <v>7358</v>
      </c>
      <c r="G773" s="5" t="s">
        <v>2412</v>
      </c>
      <c r="H773" s="5" t="s">
        <v>2413</v>
      </c>
      <c r="I773" s="5" t="s">
        <v>212</v>
      </c>
      <c r="N773" s="5" t="s">
        <v>2414</v>
      </c>
      <c r="O773" s="5">
        <v>4932.5</v>
      </c>
      <c r="P773" s="5">
        <v>4999.8999999999996</v>
      </c>
      <c r="Q773" s="5">
        <v>4846</v>
      </c>
      <c r="R773" s="5">
        <v>4883.2</v>
      </c>
      <c r="S773" s="5">
        <v>4911.8</v>
      </c>
      <c r="T773" s="5">
        <v>4932.3</v>
      </c>
      <c r="V773" s="5">
        <v>4883.12</v>
      </c>
      <c r="Y773" s="5">
        <v>682371</v>
      </c>
      <c r="Z773" s="5">
        <v>3349786648.4000001</v>
      </c>
      <c r="AA773" s="5">
        <v>60989</v>
      </c>
      <c r="AB773" s="5" t="s">
        <v>85</v>
      </c>
      <c r="AC773" s="5">
        <v>1</v>
      </c>
    </row>
    <row r="774" spans="1:29" x14ac:dyDescent="0.3">
      <c r="A774" s="34">
        <v>46274</v>
      </c>
      <c r="B774" s="34">
        <v>46274</v>
      </c>
      <c r="C774" s="5" t="s">
        <v>78</v>
      </c>
      <c r="D774" s="5" t="s">
        <v>79</v>
      </c>
      <c r="E774" s="5" t="s">
        <v>80</v>
      </c>
      <c r="F774" s="5">
        <v>11423</v>
      </c>
      <c r="G774" s="5" t="s">
        <v>2415</v>
      </c>
      <c r="H774" s="5" t="s">
        <v>2416</v>
      </c>
      <c r="I774" s="5" t="s">
        <v>212</v>
      </c>
      <c r="N774" s="5" t="s">
        <v>2417</v>
      </c>
      <c r="O774" s="5">
        <v>732.1</v>
      </c>
      <c r="P774" s="5">
        <v>790</v>
      </c>
      <c r="Q774" s="5">
        <v>732.05</v>
      </c>
      <c r="R774" s="5">
        <v>773.05</v>
      </c>
      <c r="S774" s="5">
        <v>769.95</v>
      </c>
      <c r="T774" s="5">
        <v>739</v>
      </c>
      <c r="V774" s="5">
        <v>773.13</v>
      </c>
      <c r="Y774" s="5">
        <v>212122</v>
      </c>
      <c r="Z774" s="5">
        <v>163105093.59999999</v>
      </c>
      <c r="AA774" s="5">
        <v>11602</v>
      </c>
      <c r="AB774" s="5" t="s">
        <v>85</v>
      </c>
      <c r="AC774" s="5">
        <v>1</v>
      </c>
    </row>
    <row r="775" spans="1:29" x14ac:dyDescent="0.3">
      <c r="A775" s="34">
        <v>46274</v>
      </c>
      <c r="B775" s="34">
        <v>46274</v>
      </c>
      <c r="C775" s="5" t="s">
        <v>78</v>
      </c>
      <c r="D775" s="5" t="s">
        <v>79</v>
      </c>
      <c r="E775" s="5" t="s">
        <v>80</v>
      </c>
      <c r="F775" s="5">
        <v>21794</v>
      </c>
      <c r="G775" s="5" t="s">
        <v>2418</v>
      </c>
      <c r="H775" s="5" t="s">
        <v>2419</v>
      </c>
      <c r="I775" s="5" t="s">
        <v>212</v>
      </c>
      <c r="N775" s="5" t="s">
        <v>2420</v>
      </c>
      <c r="O775" s="5">
        <v>1.96</v>
      </c>
      <c r="P775" s="5">
        <v>2.02</v>
      </c>
      <c r="Q775" s="5">
        <v>1.74</v>
      </c>
      <c r="R775" s="5">
        <v>1.75</v>
      </c>
      <c r="S775" s="5">
        <v>1.74</v>
      </c>
      <c r="T775" s="5">
        <v>1.93</v>
      </c>
      <c r="V775" s="5">
        <v>1.75</v>
      </c>
      <c r="Y775" s="5">
        <v>161998621</v>
      </c>
      <c r="Z775" s="5">
        <v>301301778.92000002</v>
      </c>
      <c r="AA775" s="5">
        <v>44661</v>
      </c>
      <c r="AB775" s="5" t="s">
        <v>85</v>
      </c>
      <c r="AC775" s="5">
        <v>1</v>
      </c>
    </row>
    <row r="776" spans="1:29" x14ac:dyDescent="0.3">
      <c r="A776" s="34">
        <v>46274</v>
      </c>
      <c r="B776" s="34">
        <v>46274</v>
      </c>
      <c r="C776" s="5" t="s">
        <v>78</v>
      </c>
      <c r="D776" s="5" t="s">
        <v>79</v>
      </c>
      <c r="E776" s="5" t="s">
        <v>80</v>
      </c>
      <c r="F776" s="5">
        <v>31111</v>
      </c>
      <c r="G776" s="5" t="s">
        <v>2421</v>
      </c>
      <c r="H776" s="5" t="s">
        <v>2422</v>
      </c>
      <c r="I776" s="5" t="s">
        <v>234</v>
      </c>
      <c r="N776" s="5" t="s">
        <v>2423</v>
      </c>
      <c r="O776" s="5">
        <v>28.4</v>
      </c>
      <c r="P776" s="5">
        <v>28.8</v>
      </c>
      <c r="Q776" s="5">
        <v>27.51</v>
      </c>
      <c r="R776" s="5">
        <v>28.03</v>
      </c>
      <c r="S776" s="5">
        <v>28.62</v>
      </c>
      <c r="T776" s="5">
        <v>28.41</v>
      </c>
      <c r="V776" s="5">
        <v>28.03</v>
      </c>
      <c r="Y776" s="5">
        <v>3703</v>
      </c>
      <c r="Z776" s="5">
        <v>103872.75</v>
      </c>
      <c r="AA776" s="5">
        <v>24</v>
      </c>
      <c r="AB776" s="5" t="s">
        <v>85</v>
      </c>
      <c r="AC776" s="5">
        <v>1</v>
      </c>
    </row>
    <row r="777" spans="1:29" x14ac:dyDescent="0.3">
      <c r="A777" s="34">
        <v>46274</v>
      </c>
      <c r="B777" s="34">
        <v>46274</v>
      </c>
      <c r="C777" s="5" t="s">
        <v>78</v>
      </c>
      <c r="D777" s="5" t="s">
        <v>79</v>
      </c>
      <c r="E777" s="5" t="s">
        <v>80</v>
      </c>
      <c r="F777" s="5">
        <v>11566</v>
      </c>
      <c r="G777" s="5" t="s">
        <v>2424</v>
      </c>
      <c r="H777" s="5" t="s">
        <v>2425</v>
      </c>
      <c r="I777" s="5" t="s">
        <v>212</v>
      </c>
      <c r="N777" s="5" t="s">
        <v>2426</v>
      </c>
      <c r="O777" s="5">
        <v>301.95</v>
      </c>
      <c r="P777" s="5">
        <v>302.05</v>
      </c>
      <c r="Q777" s="5">
        <v>270.2</v>
      </c>
      <c r="R777" s="5">
        <v>270.8</v>
      </c>
      <c r="S777" s="5">
        <v>270.3</v>
      </c>
      <c r="T777" s="5">
        <v>300.75</v>
      </c>
      <c r="V777" s="5">
        <v>270.81</v>
      </c>
      <c r="Y777" s="5">
        <v>1464705</v>
      </c>
      <c r="Z777" s="5">
        <v>404041935.35000002</v>
      </c>
      <c r="AA777" s="5">
        <v>20118</v>
      </c>
      <c r="AB777" s="5" t="s">
        <v>85</v>
      </c>
      <c r="AC777" s="5">
        <v>1</v>
      </c>
    </row>
    <row r="778" spans="1:29" x14ac:dyDescent="0.3">
      <c r="A778" s="34">
        <v>46274</v>
      </c>
      <c r="B778" s="34">
        <v>46274</v>
      </c>
      <c r="C778" s="5" t="s">
        <v>78</v>
      </c>
      <c r="D778" s="5" t="s">
        <v>79</v>
      </c>
      <c r="E778" s="5" t="s">
        <v>80</v>
      </c>
      <c r="F778" s="5">
        <v>13725</v>
      </c>
      <c r="G778" s="5" t="s">
        <v>2427</v>
      </c>
      <c r="H778" s="5" t="s">
        <v>2428</v>
      </c>
      <c r="I778" s="5" t="s">
        <v>212</v>
      </c>
      <c r="N778" s="5" t="s">
        <v>2429</v>
      </c>
      <c r="O778" s="5">
        <v>229</v>
      </c>
      <c r="P778" s="5">
        <v>231.96</v>
      </c>
      <c r="Q778" s="5">
        <v>224.95</v>
      </c>
      <c r="R778" s="5">
        <v>228.1</v>
      </c>
      <c r="S778" s="5">
        <v>228.77</v>
      </c>
      <c r="T778" s="5">
        <v>229.55</v>
      </c>
      <c r="V778" s="5">
        <v>228.1</v>
      </c>
      <c r="Y778" s="5">
        <v>2269401</v>
      </c>
      <c r="Z778" s="5">
        <v>518190735.12</v>
      </c>
      <c r="AA778" s="5">
        <v>27295</v>
      </c>
      <c r="AB778" s="5" t="s">
        <v>85</v>
      </c>
      <c r="AC778" s="5">
        <v>1</v>
      </c>
    </row>
    <row r="779" spans="1:29" x14ac:dyDescent="0.3">
      <c r="A779" s="34">
        <v>46274</v>
      </c>
      <c r="B779" s="34">
        <v>46274</v>
      </c>
      <c r="C779" s="5" t="s">
        <v>78</v>
      </c>
      <c r="D779" s="5" t="s">
        <v>79</v>
      </c>
      <c r="E779" s="5" t="s">
        <v>80</v>
      </c>
      <c r="F779" s="5">
        <v>23520</v>
      </c>
      <c r="G779" s="5" t="s">
        <v>2430</v>
      </c>
      <c r="H779" s="5" t="s">
        <v>2431</v>
      </c>
      <c r="I779" s="5" t="s">
        <v>313</v>
      </c>
      <c r="N779" s="5" t="s">
        <v>2432</v>
      </c>
      <c r="O779" s="5">
        <v>74</v>
      </c>
      <c r="P779" s="5">
        <v>86.65</v>
      </c>
      <c r="Q779" s="5">
        <v>74</v>
      </c>
      <c r="R779" s="5">
        <v>83.85</v>
      </c>
      <c r="S779" s="5">
        <v>84</v>
      </c>
      <c r="T779" s="5">
        <v>74</v>
      </c>
      <c r="V779" s="5">
        <v>83.85</v>
      </c>
      <c r="Y779" s="5">
        <v>271200</v>
      </c>
      <c r="Z779" s="5">
        <v>22031280</v>
      </c>
      <c r="AA779" s="5">
        <v>203</v>
      </c>
      <c r="AB779" s="5" t="s">
        <v>85</v>
      </c>
      <c r="AC779" s="5">
        <v>1200</v>
      </c>
    </row>
    <row r="780" spans="1:29" x14ac:dyDescent="0.3">
      <c r="A780" s="34">
        <v>46274</v>
      </c>
      <c r="B780" s="34">
        <v>46274</v>
      </c>
      <c r="C780" s="5" t="s">
        <v>78</v>
      </c>
      <c r="D780" s="5" t="s">
        <v>79</v>
      </c>
      <c r="E780" s="5" t="s">
        <v>80</v>
      </c>
      <c r="F780" s="5">
        <v>4775</v>
      </c>
      <c r="G780" s="5" t="s">
        <v>2433</v>
      </c>
      <c r="H780" s="5" t="s">
        <v>2434</v>
      </c>
      <c r="I780" s="5" t="s">
        <v>212</v>
      </c>
      <c r="N780" s="5" t="s">
        <v>2435</v>
      </c>
      <c r="O780" s="5">
        <v>5.1100000000000003</v>
      </c>
      <c r="P780" s="5">
        <v>5.33</v>
      </c>
      <c r="Q780" s="5">
        <v>5.0599999999999996</v>
      </c>
      <c r="R780" s="5">
        <v>5.0999999999999996</v>
      </c>
      <c r="S780" s="5">
        <v>5.0999999999999996</v>
      </c>
      <c r="T780" s="5">
        <v>5.1100000000000003</v>
      </c>
      <c r="V780" s="5">
        <v>5.15</v>
      </c>
      <c r="Y780" s="5">
        <v>12518</v>
      </c>
      <c r="Z780" s="5">
        <v>64020.54</v>
      </c>
      <c r="AA780" s="5">
        <v>124</v>
      </c>
      <c r="AB780" s="5" t="s">
        <v>85</v>
      </c>
      <c r="AC780" s="5">
        <v>1</v>
      </c>
    </row>
    <row r="781" spans="1:29" x14ac:dyDescent="0.3">
      <c r="A781" s="34">
        <v>46274</v>
      </c>
      <c r="B781" s="34">
        <v>46274</v>
      </c>
      <c r="C781" s="5" t="s">
        <v>78</v>
      </c>
      <c r="D781" s="5" t="s">
        <v>79</v>
      </c>
      <c r="E781" s="5" t="s">
        <v>80</v>
      </c>
      <c r="F781" s="5">
        <v>7323</v>
      </c>
      <c r="G781" s="5" t="s">
        <v>2436</v>
      </c>
      <c r="H781" s="5" t="s">
        <v>2437</v>
      </c>
      <c r="I781" s="5" t="s">
        <v>234</v>
      </c>
      <c r="N781" s="5" t="s">
        <v>2438</v>
      </c>
      <c r="O781" s="5">
        <v>75.099999999999994</v>
      </c>
      <c r="P781" s="5">
        <v>76.540000000000006</v>
      </c>
      <c r="Q781" s="5">
        <v>74.8</v>
      </c>
      <c r="R781" s="5">
        <v>74.989999999999995</v>
      </c>
      <c r="S781" s="5">
        <v>75</v>
      </c>
      <c r="T781" s="5">
        <v>75.06</v>
      </c>
      <c r="V781" s="5">
        <v>74.989999999999995</v>
      </c>
      <c r="Y781" s="5">
        <v>13063</v>
      </c>
      <c r="Z781" s="5">
        <v>981369.1</v>
      </c>
      <c r="AA781" s="5">
        <v>36</v>
      </c>
      <c r="AB781" s="5" t="s">
        <v>85</v>
      </c>
      <c r="AC781" s="5">
        <v>1</v>
      </c>
    </row>
    <row r="782" spans="1:29" x14ac:dyDescent="0.3">
      <c r="A782" s="34">
        <v>46274</v>
      </c>
      <c r="B782" s="34">
        <v>46274</v>
      </c>
      <c r="C782" s="5" t="s">
        <v>78</v>
      </c>
      <c r="D782" s="5" t="s">
        <v>79</v>
      </c>
      <c r="E782" s="5" t="s">
        <v>80</v>
      </c>
      <c r="F782" s="5">
        <v>11039</v>
      </c>
      <c r="G782" s="5" t="s">
        <v>2439</v>
      </c>
      <c r="H782" s="5" t="s">
        <v>2440</v>
      </c>
      <c r="I782" s="5" t="s">
        <v>212</v>
      </c>
      <c r="N782" s="5" t="s">
        <v>2441</v>
      </c>
      <c r="O782" s="5">
        <v>184</v>
      </c>
      <c r="P782" s="5">
        <v>184.8</v>
      </c>
      <c r="Q782" s="5">
        <v>172.6</v>
      </c>
      <c r="R782" s="5">
        <v>177</v>
      </c>
      <c r="S782" s="5">
        <v>176.26</v>
      </c>
      <c r="T782" s="5">
        <v>180.44</v>
      </c>
      <c r="V782" s="5">
        <v>177.04</v>
      </c>
      <c r="Y782" s="5">
        <v>24490</v>
      </c>
      <c r="Z782" s="5">
        <v>4364256.1100000003</v>
      </c>
      <c r="AA782" s="5">
        <v>1870</v>
      </c>
      <c r="AB782" s="5" t="s">
        <v>85</v>
      </c>
      <c r="AC782" s="5">
        <v>1</v>
      </c>
    </row>
    <row r="783" spans="1:29" x14ac:dyDescent="0.3">
      <c r="A783" s="34">
        <v>46274</v>
      </c>
      <c r="B783" s="34">
        <v>46274</v>
      </c>
      <c r="C783" s="5" t="s">
        <v>78</v>
      </c>
      <c r="D783" s="5" t="s">
        <v>79</v>
      </c>
      <c r="E783" s="5" t="s">
        <v>80</v>
      </c>
      <c r="F783" s="5">
        <v>760893</v>
      </c>
      <c r="G783" s="5" t="s">
        <v>2442</v>
      </c>
      <c r="H783" s="5" t="s">
        <v>2443</v>
      </c>
      <c r="I783" s="5" t="s">
        <v>234</v>
      </c>
      <c r="N783" s="5" t="s">
        <v>2444</v>
      </c>
      <c r="O783" s="5">
        <v>26.93</v>
      </c>
      <c r="P783" s="5">
        <v>26.93</v>
      </c>
      <c r="Q783" s="5">
        <v>26.02</v>
      </c>
      <c r="R783" s="5">
        <v>26.24</v>
      </c>
      <c r="S783" s="5">
        <v>26.18</v>
      </c>
      <c r="T783" s="5">
        <v>26.74</v>
      </c>
      <c r="V783" s="5">
        <v>26.24</v>
      </c>
      <c r="Y783" s="5">
        <v>18395</v>
      </c>
      <c r="Z783" s="5">
        <v>482441.5</v>
      </c>
      <c r="AA783" s="5">
        <v>83</v>
      </c>
      <c r="AB783" s="5" t="s">
        <v>85</v>
      </c>
      <c r="AC783" s="5">
        <v>1</v>
      </c>
    </row>
    <row r="784" spans="1:29" x14ac:dyDescent="0.3">
      <c r="A784" s="34">
        <v>46274</v>
      </c>
      <c r="B784" s="34">
        <v>46274</v>
      </c>
      <c r="C784" s="5" t="s">
        <v>78</v>
      </c>
      <c r="D784" s="5" t="s">
        <v>79</v>
      </c>
      <c r="E784" s="5" t="s">
        <v>80</v>
      </c>
      <c r="F784" s="5">
        <v>7325</v>
      </c>
      <c r="G784" s="5" t="s">
        <v>2445</v>
      </c>
      <c r="H784" s="5" t="s">
        <v>2446</v>
      </c>
      <c r="I784" s="5" t="s">
        <v>212</v>
      </c>
      <c r="N784" s="5" t="s">
        <v>2447</v>
      </c>
      <c r="O784" s="5">
        <v>43.6</v>
      </c>
      <c r="P784" s="5">
        <v>43.89</v>
      </c>
      <c r="Q784" s="5">
        <v>42.2</v>
      </c>
      <c r="R784" s="5">
        <v>42.41</v>
      </c>
      <c r="S784" s="5">
        <v>42.41</v>
      </c>
      <c r="T784" s="5">
        <v>43.78</v>
      </c>
      <c r="V784" s="5">
        <v>42.41</v>
      </c>
      <c r="Y784" s="5">
        <v>178527</v>
      </c>
      <c r="Z784" s="5">
        <v>7635844.8200000003</v>
      </c>
      <c r="AA784" s="5">
        <v>1455</v>
      </c>
      <c r="AB784" s="5" t="s">
        <v>85</v>
      </c>
      <c r="AC784" s="5">
        <v>1</v>
      </c>
    </row>
    <row r="785" spans="1:29" x14ac:dyDescent="0.3">
      <c r="A785" s="34">
        <v>46274</v>
      </c>
      <c r="B785" s="34">
        <v>46274</v>
      </c>
      <c r="C785" s="5" t="s">
        <v>78</v>
      </c>
      <c r="D785" s="5" t="s">
        <v>79</v>
      </c>
      <c r="E785" s="5" t="s">
        <v>80</v>
      </c>
      <c r="F785" s="5">
        <v>760896</v>
      </c>
      <c r="G785" s="5" t="s">
        <v>2448</v>
      </c>
      <c r="H785" s="5" t="s">
        <v>2449</v>
      </c>
      <c r="I785" s="5" t="s">
        <v>212</v>
      </c>
      <c r="N785" s="5" t="s">
        <v>2450</v>
      </c>
      <c r="O785" s="5">
        <v>69.44</v>
      </c>
      <c r="P785" s="5">
        <v>71.400000000000006</v>
      </c>
      <c r="Q785" s="5">
        <v>68.7</v>
      </c>
      <c r="R785" s="5">
        <v>69.78</v>
      </c>
      <c r="S785" s="5">
        <v>69.510000000000005</v>
      </c>
      <c r="T785" s="5">
        <v>69.09</v>
      </c>
      <c r="V785" s="5">
        <v>69.75</v>
      </c>
      <c r="Y785" s="5">
        <v>48268</v>
      </c>
      <c r="Z785" s="5">
        <v>3392202.71</v>
      </c>
      <c r="AA785" s="5">
        <v>1027</v>
      </c>
      <c r="AB785" s="5" t="s">
        <v>85</v>
      </c>
      <c r="AC785" s="5">
        <v>1</v>
      </c>
    </row>
    <row r="786" spans="1:29" x14ac:dyDescent="0.3">
      <c r="A786" s="34">
        <v>46274</v>
      </c>
      <c r="B786" s="34">
        <v>46274</v>
      </c>
      <c r="C786" s="5" t="s">
        <v>78</v>
      </c>
      <c r="D786" s="5" t="s">
        <v>79</v>
      </c>
      <c r="E786" s="5" t="s">
        <v>80</v>
      </c>
      <c r="F786" s="5">
        <v>811</v>
      </c>
      <c r="G786" s="5" t="s">
        <v>2451</v>
      </c>
      <c r="H786" s="5" t="s">
        <v>2452</v>
      </c>
      <c r="I786" s="5" t="s">
        <v>212</v>
      </c>
      <c r="N786" s="5" t="s">
        <v>2453</v>
      </c>
      <c r="O786" s="5">
        <v>1005</v>
      </c>
      <c r="P786" s="5">
        <v>1014.9</v>
      </c>
      <c r="Q786" s="5">
        <v>996</v>
      </c>
      <c r="R786" s="5">
        <v>997.6</v>
      </c>
      <c r="S786" s="5">
        <v>997.1</v>
      </c>
      <c r="T786" s="5">
        <v>1008.2</v>
      </c>
      <c r="V786" s="5">
        <v>997.57</v>
      </c>
      <c r="Y786" s="5">
        <v>45418</v>
      </c>
      <c r="Z786" s="5">
        <v>45452652</v>
      </c>
      <c r="AA786" s="5">
        <v>4422</v>
      </c>
      <c r="AB786" s="5" t="s">
        <v>85</v>
      </c>
      <c r="AC786" s="5">
        <v>1</v>
      </c>
    </row>
    <row r="787" spans="1:29" x14ac:dyDescent="0.3">
      <c r="A787" s="34">
        <v>46274</v>
      </c>
      <c r="B787" s="34">
        <v>46274</v>
      </c>
      <c r="C787" s="5" t="s">
        <v>78</v>
      </c>
      <c r="D787" s="5" t="s">
        <v>79</v>
      </c>
      <c r="E787" s="5" t="s">
        <v>80</v>
      </c>
      <c r="F787" s="5">
        <v>817</v>
      </c>
      <c r="G787" s="5" t="s">
        <v>2454</v>
      </c>
      <c r="H787" s="5" t="s">
        <v>2455</v>
      </c>
      <c r="I787" s="5" t="s">
        <v>212</v>
      </c>
      <c r="N787" s="5" t="s">
        <v>2456</v>
      </c>
      <c r="O787" s="5">
        <v>47.53</v>
      </c>
      <c r="P787" s="5">
        <v>49.3</v>
      </c>
      <c r="Q787" s="5">
        <v>47.39</v>
      </c>
      <c r="R787" s="5">
        <v>48.14</v>
      </c>
      <c r="S787" s="5">
        <v>48.14</v>
      </c>
      <c r="T787" s="5">
        <v>47.65</v>
      </c>
      <c r="V787" s="5">
        <v>48.14</v>
      </c>
      <c r="Y787" s="5">
        <v>2937582</v>
      </c>
      <c r="Z787" s="5">
        <v>142031621.16</v>
      </c>
      <c r="AA787" s="5">
        <v>13614</v>
      </c>
      <c r="AB787" s="5" t="s">
        <v>85</v>
      </c>
      <c r="AC787" s="5">
        <v>1</v>
      </c>
    </row>
    <row r="788" spans="1:29" x14ac:dyDescent="0.3">
      <c r="A788" s="34">
        <v>46274</v>
      </c>
      <c r="B788" s="34">
        <v>46274</v>
      </c>
      <c r="C788" s="5" t="s">
        <v>78</v>
      </c>
      <c r="D788" s="5" t="s">
        <v>79</v>
      </c>
      <c r="E788" s="5" t="s">
        <v>80</v>
      </c>
      <c r="F788" s="5">
        <v>11895</v>
      </c>
      <c r="G788" s="5" t="s">
        <v>2457</v>
      </c>
      <c r="H788" s="5" t="s">
        <v>2458</v>
      </c>
      <c r="I788" s="5" t="s">
        <v>212</v>
      </c>
      <c r="N788" s="5" t="s">
        <v>2459</v>
      </c>
      <c r="O788" s="5">
        <v>173.01</v>
      </c>
      <c r="P788" s="5">
        <v>174.97</v>
      </c>
      <c r="Q788" s="5">
        <v>170.8</v>
      </c>
      <c r="R788" s="5">
        <v>171.27</v>
      </c>
      <c r="S788" s="5">
        <v>171.15</v>
      </c>
      <c r="T788" s="5">
        <v>174.09</v>
      </c>
      <c r="V788" s="5">
        <v>171.27</v>
      </c>
      <c r="Y788" s="5">
        <v>273660</v>
      </c>
      <c r="Z788" s="5">
        <v>47176424.649999999</v>
      </c>
      <c r="AA788" s="5">
        <v>4530</v>
      </c>
      <c r="AB788" s="5" t="s">
        <v>85</v>
      </c>
      <c r="AC788" s="5">
        <v>1</v>
      </c>
    </row>
    <row r="789" spans="1:29" x14ac:dyDescent="0.3">
      <c r="A789" s="34">
        <v>46274</v>
      </c>
      <c r="B789" s="34">
        <v>46274</v>
      </c>
      <c r="C789" s="5" t="s">
        <v>78</v>
      </c>
      <c r="D789" s="5" t="s">
        <v>79</v>
      </c>
      <c r="E789" s="5" t="s">
        <v>80</v>
      </c>
      <c r="F789" s="5">
        <v>29098</v>
      </c>
      <c r="G789" s="5" t="s">
        <v>2460</v>
      </c>
      <c r="H789" s="5" t="s">
        <v>2461</v>
      </c>
      <c r="I789" s="5" t="s">
        <v>212</v>
      </c>
      <c r="N789" s="5" t="s">
        <v>2462</v>
      </c>
      <c r="O789" s="5">
        <v>268.10000000000002</v>
      </c>
      <c r="P789" s="5">
        <v>269.45</v>
      </c>
      <c r="Q789" s="5">
        <v>262.95</v>
      </c>
      <c r="R789" s="5">
        <v>265.55</v>
      </c>
      <c r="S789" s="5">
        <v>266.60000000000002</v>
      </c>
      <c r="T789" s="5">
        <v>269.45</v>
      </c>
      <c r="V789" s="5">
        <v>265.56</v>
      </c>
      <c r="Y789" s="5">
        <v>82663</v>
      </c>
      <c r="Z789" s="5">
        <v>22009513.800000001</v>
      </c>
      <c r="AA789" s="5">
        <v>2269</v>
      </c>
      <c r="AB789" s="5" t="s">
        <v>85</v>
      </c>
      <c r="AC789" s="5">
        <v>1</v>
      </c>
    </row>
    <row r="790" spans="1:29" x14ac:dyDescent="0.3">
      <c r="A790" s="34">
        <v>46274</v>
      </c>
      <c r="B790" s="34">
        <v>46274</v>
      </c>
      <c r="C790" s="5" t="s">
        <v>78</v>
      </c>
      <c r="D790" s="5" t="s">
        <v>79</v>
      </c>
      <c r="E790" s="5" t="s">
        <v>80</v>
      </c>
      <c r="F790" s="5">
        <v>15449</v>
      </c>
      <c r="G790" s="5" t="s">
        <v>2463</v>
      </c>
      <c r="H790" s="5" t="s">
        <v>2464</v>
      </c>
      <c r="I790" s="5" t="s">
        <v>313</v>
      </c>
      <c r="N790" s="5" t="s">
        <v>2465</v>
      </c>
      <c r="O790" s="5">
        <v>171.2</v>
      </c>
      <c r="P790" s="5">
        <v>172.9</v>
      </c>
      <c r="Q790" s="5">
        <v>169</v>
      </c>
      <c r="R790" s="5">
        <v>169.85</v>
      </c>
      <c r="S790" s="5">
        <v>170.85</v>
      </c>
      <c r="T790" s="5">
        <v>174.5</v>
      </c>
      <c r="V790" s="5">
        <v>169.85</v>
      </c>
      <c r="Y790" s="5">
        <v>13200</v>
      </c>
      <c r="Z790" s="5">
        <v>2247390</v>
      </c>
      <c r="AA790" s="5">
        <v>19</v>
      </c>
      <c r="AB790" s="5" t="s">
        <v>85</v>
      </c>
      <c r="AC790" s="5">
        <v>600</v>
      </c>
    </row>
    <row r="791" spans="1:29" x14ac:dyDescent="0.3">
      <c r="A791" s="34">
        <v>46274</v>
      </c>
      <c r="B791" s="34">
        <v>46274</v>
      </c>
      <c r="C791" s="5" t="s">
        <v>78</v>
      </c>
      <c r="D791" s="5" t="s">
        <v>79</v>
      </c>
      <c r="E791" s="5" t="s">
        <v>80</v>
      </c>
      <c r="F791" s="5">
        <v>4279</v>
      </c>
      <c r="G791" s="5" t="s">
        <v>2466</v>
      </c>
      <c r="H791" s="5" t="s">
        <v>2467</v>
      </c>
      <c r="I791" s="5" t="s">
        <v>212</v>
      </c>
      <c r="N791" s="5" t="s">
        <v>2468</v>
      </c>
      <c r="O791" s="5">
        <v>806</v>
      </c>
      <c r="P791" s="5">
        <v>830</v>
      </c>
      <c r="Q791" s="5">
        <v>802</v>
      </c>
      <c r="R791" s="5">
        <v>805.75</v>
      </c>
      <c r="S791" s="5">
        <v>811.8</v>
      </c>
      <c r="T791" s="5">
        <v>805.95</v>
      </c>
      <c r="V791" s="5">
        <v>805.59</v>
      </c>
      <c r="Y791" s="5">
        <v>4503</v>
      </c>
      <c r="Z791" s="5">
        <v>3688269.2</v>
      </c>
      <c r="AA791" s="5">
        <v>541</v>
      </c>
      <c r="AB791" s="5" t="s">
        <v>85</v>
      </c>
      <c r="AC791" s="5">
        <v>1</v>
      </c>
    </row>
    <row r="792" spans="1:29" x14ac:dyDescent="0.3">
      <c r="A792" s="34">
        <v>46274</v>
      </c>
      <c r="B792" s="34">
        <v>46274</v>
      </c>
      <c r="C792" s="5" t="s">
        <v>78</v>
      </c>
      <c r="D792" s="5" t="s">
        <v>79</v>
      </c>
      <c r="E792" s="5" t="s">
        <v>80</v>
      </c>
      <c r="F792" s="5">
        <v>14838</v>
      </c>
      <c r="G792" s="5" t="s">
        <v>2469</v>
      </c>
      <c r="H792" s="5" t="s">
        <v>2470</v>
      </c>
      <c r="I792" s="5" t="s">
        <v>212</v>
      </c>
      <c r="N792" s="5" t="s">
        <v>2471</v>
      </c>
      <c r="O792" s="5">
        <v>570.54999999999995</v>
      </c>
      <c r="P792" s="5">
        <v>570.54999999999995</v>
      </c>
      <c r="Q792" s="5">
        <v>565.1</v>
      </c>
      <c r="R792" s="5">
        <v>565.5</v>
      </c>
      <c r="S792" s="5">
        <v>565.1</v>
      </c>
      <c r="T792" s="5">
        <v>567.75</v>
      </c>
      <c r="V792" s="5">
        <v>565.25</v>
      </c>
      <c r="Y792" s="5">
        <v>4122</v>
      </c>
      <c r="Z792" s="5">
        <v>2331872.35</v>
      </c>
      <c r="AA792" s="5">
        <v>184</v>
      </c>
      <c r="AB792" s="5" t="s">
        <v>85</v>
      </c>
      <c r="AC792" s="5">
        <v>1</v>
      </c>
    </row>
    <row r="793" spans="1:29" x14ac:dyDescent="0.3">
      <c r="A793" s="34">
        <v>46274</v>
      </c>
      <c r="B793" s="34">
        <v>46274</v>
      </c>
      <c r="C793" s="5" t="s">
        <v>78</v>
      </c>
      <c r="D793" s="5" t="s">
        <v>79</v>
      </c>
      <c r="E793" s="5" t="s">
        <v>80</v>
      </c>
      <c r="F793" s="5">
        <v>762638</v>
      </c>
      <c r="G793" s="5" t="s">
        <v>2472</v>
      </c>
      <c r="H793" s="5" t="s">
        <v>2473</v>
      </c>
      <c r="I793" s="5" t="s">
        <v>212</v>
      </c>
      <c r="N793" s="5" t="s">
        <v>2474</v>
      </c>
      <c r="O793" s="5">
        <v>225</v>
      </c>
      <c r="P793" s="5">
        <v>228.7</v>
      </c>
      <c r="Q793" s="5">
        <v>216.54</v>
      </c>
      <c r="R793" s="5">
        <v>219.36</v>
      </c>
      <c r="S793" s="5">
        <v>219.24</v>
      </c>
      <c r="T793" s="5">
        <v>223.22</v>
      </c>
      <c r="V793" s="5">
        <v>219.39</v>
      </c>
      <c r="Y793" s="5">
        <v>1734880</v>
      </c>
      <c r="Z793" s="5">
        <v>385664367.25999999</v>
      </c>
      <c r="AA793" s="5">
        <v>23012</v>
      </c>
      <c r="AB793" s="5" t="s">
        <v>85</v>
      </c>
      <c r="AC793" s="5">
        <v>1</v>
      </c>
    </row>
    <row r="794" spans="1:29" x14ac:dyDescent="0.3">
      <c r="A794" s="34">
        <v>46274</v>
      </c>
      <c r="B794" s="34">
        <v>46274</v>
      </c>
      <c r="C794" s="5" t="s">
        <v>78</v>
      </c>
      <c r="D794" s="5" t="s">
        <v>79</v>
      </c>
      <c r="E794" s="5" t="s">
        <v>80</v>
      </c>
      <c r="F794" s="5">
        <v>25421</v>
      </c>
      <c r="G794" s="5" t="s">
        <v>2475</v>
      </c>
      <c r="H794" s="5" t="s">
        <v>2476</v>
      </c>
      <c r="I794" s="5" t="s">
        <v>313</v>
      </c>
      <c r="N794" s="5" t="s">
        <v>2477</v>
      </c>
      <c r="O794" s="5">
        <v>20.5</v>
      </c>
      <c r="P794" s="5">
        <v>21.75</v>
      </c>
      <c r="Q794" s="5">
        <v>20.5</v>
      </c>
      <c r="R794" s="5">
        <v>21.45</v>
      </c>
      <c r="S794" s="5">
        <v>21.75</v>
      </c>
      <c r="T794" s="5">
        <v>20.5</v>
      </c>
      <c r="V794" s="5">
        <v>21.45</v>
      </c>
      <c r="Y794" s="5">
        <v>16800</v>
      </c>
      <c r="Z794" s="5">
        <v>355200</v>
      </c>
      <c r="AA794" s="5">
        <v>11</v>
      </c>
      <c r="AB794" s="5" t="s">
        <v>85</v>
      </c>
      <c r="AC794" s="5">
        <v>1200</v>
      </c>
    </row>
    <row r="795" spans="1:29" x14ac:dyDescent="0.3">
      <c r="A795" s="34">
        <v>46274</v>
      </c>
      <c r="B795" s="34">
        <v>46274</v>
      </c>
      <c r="C795" s="5" t="s">
        <v>78</v>
      </c>
      <c r="D795" s="5" t="s">
        <v>79</v>
      </c>
      <c r="E795" s="5" t="s">
        <v>80</v>
      </c>
      <c r="F795" s="5">
        <v>24154</v>
      </c>
      <c r="G795" s="5" t="s">
        <v>2478</v>
      </c>
      <c r="H795" s="5" t="s">
        <v>2479</v>
      </c>
      <c r="I795" s="5" t="s">
        <v>212</v>
      </c>
      <c r="N795" s="5" t="s">
        <v>2480</v>
      </c>
      <c r="O795" s="5">
        <v>701.6</v>
      </c>
      <c r="P795" s="5">
        <v>709.35</v>
      </c>
      <c r="Q795" s="5">
        <v>668.35</v>
      </c>
      <c r="R795" s="5">
        <v>674.75</v>
      </c>
      <c r="S795" s="5">
        <v>670</v>
      </c>
      <c r="T795" s="5">
        <v>701.6</v>
      </c>
      <c r="V795" s="5">
        <v>674.92</v>
      </c>
      <c r="Y795" s="5">
        <v>340451</v>
      </c>
      <c r="Z795" s="5">
        <v>230995543.44999999</v>
      </c>
      <c r="AA795" s="5">
        <v>25640</v>
      </c>
      <c r="AB795" s="5" t="s">
        <v>85</v>
      </c>
      <c r="AC795" s="5">
        <v>1</v>
      </c>
    </row>
    <row r="796" spans="1:29" x14ac:dyDescent="0.3">
      <c r="A796" s="34">
        <v>46274</v>
      </c>
      <c r="B796" s="34">
        <v>46274</v>
      </c>
      <c r="C796" s="5" t="s">
        <v>78</v>
      </c>
      <c r="D796" s="5" t="s">
        <v>79</v>
      </c>
      <c r="E796" s="5" t="s">
        <v>80</v>
      </c>
      <c r="F796" s="5">
        <v>22802</v>
      </c>
      <c r="G796" s="5" t="s">
        <v>2481</v>
      </c>
      <c r="H796" s="5" t="s">
        <v>2482</v>
      </c>
      <c r="I796" s="5" t="s">
        <v>392</v>
      </c>
      <c r="N796" s="5" t="s">
        <v>2483</v>
      </c>
      <c r="O796" s="5">
        <v>42.25</v>
      </c>
      <c r="P796" s="5">
        <v>42.25</v>
      </c>
      <c r="Q796" s="5">
        <v>42.2</v>
      </c>
      <c r="R796" s="5">
        <v>42.2</v>
      </c>
      <c r="S796" s="5">
        <v>42.2</v>
      </c>
      <c r="T796" s="5">
        <v>44.4</v>
      </c>
      <c r="V796" s="5">
        <v>42.2</v>
      </c>
      <c r="Y796" s="5">
        <v>3000</v>
      </c>
      <c r="Z796" s="5">
        <v>126650</v>
      </c>
      <c r="AA796" s="5">
        <v>3</v>
      </c>
      <c r="AB796" s="5" t="s">
        <v>85</v>
      </c>
      <c r="AC796" s="5">
        <v>1000</v>
      </c>
    </row>
    <row r="797" spans="1:29" x14ac:dyDescent="0.3">
      <c r="A797" s="34">
        <v>46274</v>
      </c>
      <c r="B797" s="34">
        <v>46274</v>
      </c>
      <c r="C797" s="5" t="s">
        <v>78</v>
      </c>
      <c r="D797" s="5" t="s">
        <v>79</v>
      </c>
      <c r="E797" s="5" t="s">
        <v>80</v>
      </c>
      <c r="F797" s="5">
        <v>3292</v>
      </c>
      <c r="G797" s="5" t="s">
        <v>2484</v>
      </c>
      <c r="H797" s="5" t="s">
        <v>2485</v>
      </c>
      <c r="I797" s="5" t="s">
        <v>212</v>
      </c>
      <c r="N797" s="5" t="s">
        <v>2486</v>
      </c>
      <c r="O797" s="5">
        <v>825</v>
      </c>
      <c r="P797" s="5">
        <v>825</v>
      </c>
      <c r="Q797" s="5">
        <v>781.4</v>
      </c>
      <c r="R797" s="5">
        <v>792.7</v>
      </c>
      <c r="S797" s="5">
        <v>794.7</v>
      </c>
      <c r="T797" s="5">
        <v>818.7</v>
      </c>
      <c r="V797" s="5">
        <v>792.72</v>
      </c>
      <c r="Y797" s="5">
        <v>624713</v>
      </c>
      <c r="Z797" s="5">
        <v>499806743.55000001</v>
      </c>
      <c r="AA797" s="5">
        <v>29786</v>
      </c>
      <c r="AB797" s="5" t="s">
        <v>85</v>
      </c>
      <c r="AC797" s="5">
        <v>1</v>
      </c>
    </row>
    <row r="798" spans="1:29" x14ac:dyDescent="0.3">
      <c r="A798" s="34">
        <v>46274</v>
      </c>
      <c r="B798" s="34">
        <v>46274</v>
      </c>
      <c r="C798" s="5" t="s">
        <v>78</v>
      </c>
      <c r="D798" s="5" t="s">
        <v>79</v>
      </c>
      <c r="E798" s="5" t="s">
        <v>80</v>
      </c>
      <c r="F798" s="5">
        <v>765055</v>
      </c>
      <c r="G798" s="5" t="s">
        <v>2487</v>
      </c>
      <c r="H798" s="5" t="s">
        <v>2488</v>
      </c>
      <c r="I798" s="5" t="s">
        <v>212</v>
      </c>
      <c r="N798" s="5" t="s">
        <v>2489</v>
      </c>
      <c r="O798" s="5">
        <v>36.72</v>
      </c>
      <c r="P798" s="5">
        <v>38</v>
      </c>
      <c r="Q798" s="5">
        <v>35.6</v>
      </c>
      <c r="R798" s="5">
        <v>36.89</v>
      </c>
      <c r="S798" s="5">
        <v>36.51</v>
      </c>
      <c r="T798" s="5">
        <v>35.56</v>
      </c>
      <c r="V798" s="5">
        <v>36.909999999999997</v>
      </c>
      <c r="Y798" s="5">
        <v>25981</v>
      </c>
      <c r="Z798" s="5">
        <v>968776.48</v>
      </c>
      <c r="AA798" s="5">
        <v>299</v>
      </c>
      <c r="AB798" s="5" t="s">
        <v>85</v>
      </c>
      <c r="AC798" s="5">
        <v>1</v>
      </c>
    </row>
    <row r="799" spans="1:29" x14ac:dyDescent="0.3">
      <c r="A799" s="34">
        <v>46274</v>
      </c>
      <c r="B799" s="34">
        <v>46274</v>
      </c>
      <c r="C799" s="5" t="s">
        <v>78</v>
      </c>
      <c r="D799" s="5" t="s">
        <v>79</v>
      </c>
      <c r="E799" s="5" t="s">
        <v>80</v>
      </c>
      <c r="F799" s="5">
        <v>765931</v>
      </c>
      <c r="G799" s="5" t="s">
        <v>2490</v>
      </c>
      <c r="H799" s="5" t="s">
        <v>2491</v>
      </c>
      <c r="I799" s="5" t="s">
        <v>212</v>
      </c>
      <c r="N799" s="5" t="s">
        <v>2492</v>
      </c>
      <c r="O799" s="5">
        <v>196.01</v>
      </c>
      <c r="P799" s="5">
        <v>203.8</v>
      </c>
      <c r="Q799" s="5">
        <v>194.37</v>
      </c>
      <c r="R799" s="5">
        <v>201.23</v>
      </c>
      <c r="S799" s="5">
        <v>202.5</v>
      </c>
      <c r="T799" s="5">
        <v>194.37</v>
      </c>
      <c r="V799" s="5">
        <v>201.24</v>
      </c>
      <c r="Y799" s="5">
        <v>14453376</v>
      </c>
      <c r="Z799" s="5">
        <v>2892828397.9000001</v>
      </c>
      <c r="AA799" s="5">
        <v>115651</v>
      </c>
      <c r="AB799" s="5" t="s">
        <v>85</v>
      </c>
      <c r="AC799" s="5">
        <v>1</v>
      </c>
    </row>
    <row r="800" spans="1:29" x14ac:dyDescent="0.3">
      <c r="A800" s="34">
        <v>46274</v>
      </c>
      <c r="B800" s="34">
        <v>46274</v>
      </c>
      <c r="C800" s="5" t="s">
        <v>78</v>
      </c>
      <c r="D800" s="5" t="s">
        <v>79</v>
      </c>
      <c r="E800" s="5" t="s">
        <v>80</v>
      </c>
      <c r="F800" s="5">
        <v>25892</v>
      </c>
      <c r="G800" s="5" t="s">
        <v>2493</v>
      </c>
      <c r="H800" s="5" t="s">
        <v>2494</v>
      </c>
      <c r="I800" s="5" t="s">
        <v>212</v>
      </c>
      <c r="N800" s="5" t="s">
        <v>2495</v>
      </c>
      <c r="O800" s="5">
        <v>7.43</v>
      </c>
      <c r="P800" s="5">
        <v>7.44</v>
      </c>
      <c r="Q800" s="5">
        <v>7.16</v>
      </c>
      <c r="R800" s="5">
        <v>7.21</v>
      </c>
      <c r="S800" s="5">
        <v>7.22</v>
      </c>
      <c r="T800" s="5">
        <v>7.26</v>
      </c>
      <c r="V800" s="5">
        <v>7.2</v>
      </c>
      <c r="Y800" s="5">
        <v>213896</v>
      </c>
      <c r="Z800" s="5">
        <v>1571454.37</v>
      </c>
      <c r="AA800" s="5">
        <v>845</v>
      </c>
      <c r="AB800" s="5" t="s">
        <v>85</v>
      </c>
      <c r="AC800" s="5">
        <v>1</v>
      </c>
    </row>
    <row r="801" spans="1:29" x14ac:dyDescent="0.3">
      <c r="A801" s="34">
        <v>46274</v>
      </c>
      <c r="B801" s="34">
        <v>46274</v>
      </c>
      <c r="C801" s="5" t="s">
        <v>78</v>
      </c>
      <c r="D801" s="5" t="s">
        <v>79</v>
      </c>
      <c r="E801" s="5" t="s">
        <v>80</v>
      </c>
      <c r="F801" s="5">
        <v>827</v>
      </c>
      <c r="G801" s="5" t="s">
        <v>2496</v>
      </c>
      <c r="H801" s="5" t="s">
        <v>2497</v>
      </c>
      <c r="I801" s="5" t="s">
        <v>212</v>
      </c>
      <c r="N801" s="5" t="s">
        <v>2498</v>
      </c>
      <c r="O801" s="5">
        <v>1346</v>
      </c>
      <c r="P801" s="5">
        <v>1363.8</v>
      </c>
      <c r="Q801" s="5">
        <v>1333.6</v>
      </c>
      <c r="R801" s="5">
        <v>1357.8</v>
      </c>
      <c r="S801" s="5">
        <v>1352</v>
      </c>
      <c r="T801" s="5">
        <v>1345.9</v>
      </c>
      <c r="V801" s="5">
        <v>1357.85</v>
      </c>
      <c r="Y801" s="5">
        <v>233902</v>
      </c>
      <c r="Z801" s="5">
        <v>316606468.69999999</v>
      </c>
      <c r="AA801" s="5">
        <v>16123</v>
      </c>
      <c r="AB801" s="5" t="s">
        <v>85</v>
      </c>
      <c r="AC801" s="5">
        <v>1</v>
      </c>
    </row>
    <row r="802" spans="1:29" x14ac:dyDescent="0.3">
      <c r="A802" s="34">
        <v>46274</v>
      </c>
      <c r="B802" s="34">
        <v>46274</v>
      </c>
      <c r="C802" s="5" t="s">
        <v>78</v>
      </c>
      <c r="D802" s="5" t="s">
        <v>79</v>
      </c>
      <c r="E802" s="5" t="s">
        <v>80</v>
      </c>
      <c r="F802" s="5">
        <v>19943</v>
      </c>
      <c r="G802" s="5" t="s">
        <v>2499</v>
      </c>
      <c r="H802" s="5" t="s">
        <v>2500</v>
      </c>
      <c r="I802" s="5" t="s">
        <v>212</v>
      </c>
      <c r="N802" s="5" t="s">
        <v>2501</v>
      </c>
      <c r="O802" s="5">
        <v>1647.8</v>
      </c>
      <c r="P802" s="5">
        <v>1672</v>
      </c>
      <c r="Q802" s="5">
        <v>1630</v>
      </c>
      <c r="R802" s="5">
        <v>1641.9</v>
      </c>
      <c r="S802" s="5">
        <v>1644</v>
      </c>
      <c r="T802" s="5">
        <v>1647.8</v>
      </c>
      <c r="V802" s="5">
        <v>1641.92</v>
      </c>
      <c r="Y802" s="5">
        <v>249150</v>
      </c>
      <c r="Z802" s="5">
        <v>410417022.60000002</v>
      </c>
      <c r="AA802" s="5">
        <v>20096</v>
      </c>
      <c r="AB802" s="5" t="s">
        <v>85</v>
      </c>
      <c r="AC802" s="5">
        <v>1</v>
      </c>
    </row>
    <row r="803" spans="1:29" x14ac:dyDescent="0.3">
      <c r="A803" s="34">
        <v>46274</v>
      </c>
      <c r="B803" s="34">
        <v>46274</v>
      </c>
      <c r="C803" s="5" t="s">
        <v>78</v>
      </c>
      <c r="D803" s="5" t="s">
        <v>79</v>
      </c>
      <c r="E803" s="5" t="s">
        <v>80</v>
      </c>
      <c r="F803" s="5">
        <v>22527</v>
      </c>
      <c r="G803" s="5" t="s">
        <v>2502</v>
      </c>
      <c r="H803" s="5" t="s">
        <v>2503</v>
      </c>
      <c r="I803" s="5" t="s">
        <v>313</v>
      </c>
      <c r="N803" s="5" t="s">
        <v>2504</v>
      </c>
      <c r="O803" s="5">
        <v>110</v>
      </c>
      <c r="P803" s="5">
        <v>110.6</v>
      </c>
      <c r="Q803" s="5">
        <v>105.75</v>
      </c>
      <c r="R803" s="5">
        <v>110.2</v>
      </c>
      <c r="S803" s="5">
        <v>110.6</v>
      </c>
      <c r="T803" s="5">
        <v>107.6</v>
      </c>
      <c r="V803" s="5">
        <v>110.2</v>
      </c>
      <c r="Y803" s="5">
        <v>12600</v>
      </c>
      <c r="Z803" s="5">
        <v>1378410</v>
      </c>
      <c r="AA803" s="5">
        <v>21</v>
      </c>
      <c r="AB803" s="5" t="s">
        <v>85</v>
      </c>
      <c r="AC803" s="5">
        <v>600</v>
      </c>
    </row>
    <row r="804" spans="1:29" x14ac:dyDescent="0.3">
      <c r="A804" s="34">
        <v>46274</v>
      </c>
      <c r="B804" s="34">
        <v>46274</v>
      </c>
      <c r="C804" s="5" t="s">
        <v>78</v>
      </c>
      <c r="D804" s="5" t="s">
        <v>79</v>
      </c>
      <c r="E804" s="5" t="s">
        <v>80</v>
      </c>
      <c r="F804" s="5">
        <v>9599</v>
      </c>
      <c r="G804" s="5" t="s">
        <v>2505</v>
      </c>
      <c r="H804" s="5" t="s">
        <v>2506</v>
      </c>
      <c r="I804" s="5" t="s">
        <v>212</v>
      </c>
      <c r="N804" s="5" t="s">
        <v>2507</v>
      </c>
      <c r="O804" s="5">
        <v>451.65</v>
      </c>
      <c r="P804" s="5">
        <v>454</v>
      </c>
      <c r="Q804" s="5">
        <v>448</v>
      </c>
      <c r="R804" s="5">
        <v>451.2</v>
      </c>
      <c r="S804" s="5">
        <v>451.2</v>
      </c>
      <c r="T804" s="5">
        <v>454.9</v>
      </c>
      <c r="V804" s="5">
        <v>451.2</v>
      </c>
      <c r="Y804" s="5">
        <v>1267067</v>
      </c>
      <c r="Z804" s="5">
        <v>570699959.85000002</v>
      </c>
      <c r="AA804" s="5">
        <v>25237</v>
      </c>
      <c r="AB804" s="5" t="s">
        <v>85</v>
      </c>
      <c r="AC804" s="5">
        <v>1</v>
      </c>
    </row>
    <row r="805" spans="1:29" x14ac:dyDescent="0.3">
      <c r="A805" s="34">
        <v>46274</v>
      </c>
      <c r="B805" s="34">
        <v>46274</v>
      </c>
      <c r="C805" s="5" t="s">
        <v>78</v>
      </c>
      <c r="D805" s="5" t="s">
        <v>79</v>
      </c>
      <c r="E805" s="5" t="s">
        <v>80</v>
      </c>
      <c r="F805" s="5">
        <v>24395</v>
      </c>
      <c r="G805" s="5" t="s">
        <v>2508</v>
      </c>
      <c r="H805" s="5" t="s">
        <v>2509</v>
      </c>
      <c r="I805" s="5" t="s">
        <v>234</v>
      </c>
      <c r="N805" s="5" t="s">
        <v>2510</v>
      </c>
      <c r="O805" s="5">
        <v>6.15</v>
      </c>
      <c r="P805" s="5">
        <v>6.15</v>
      </c>
      <c r="Q805" s="5">
        <v>5.9</v>
      </c>
      <c r="R805" s="5">
        <v>5.95</v>
      </c>
      <c r="S805" s="5">
        <v>6</v>
      </c>
      <c r="T805" s="5">
        <v>5.95</v>
      </c>
      <c r="V805" s="5">
        <v>5.99</v>
      </c>
      <c r="Y805" s="5">
        <v>39494</v>
      </c>
      <c r="Z805" s="5">
        <v>236523.16</v>
      </c>
      <c r="AA805" s="5">
        <v>51</v>
      </c>
      <c r="AB805" s="5" t="s">
        <v>85</v>
      </c>
      <c r="AC805" s="5">
        <v>1</v>
      </c>
    </row>
    <row r="806" spans="1:29" x14ac:dyDescent="0.3">
      <c r="A806" s="34">
        <v>46274</v>
      </c>
      <c r="B806" s="34">
        <v>46274</v>
      </c>
      <c r="C806" s="5" t="s">
        <v>78</v>
      </c>
      <c r="D806" s="5" t="s">
        <v>79</v>
      </c>
      <c r="E806" s="5" t="s">
        <v>80</v>
      </c>
      <c r="F806" s="5">
        <v>29092</v>
      </c>
      <c r="G806" s="5" t="s">
        <v>2511</v>
      </c>
      <c r="H806" s="5" t="s">
        <v>2512</v>
      </c>
      <c r="I806" s="5" t="s">
        <v>313</v>
      </c>
      <c r="N806" s="5" t="s">
        <v>2513</v>
      </c>
      <c r="O806" s="5">
        <v>36</v>
      </c>
      <c r="P806" s="5">
        <v>36</v>
      </c>
      <c r="Q806" s="5">
        <v>34.9</v>
      </c>
      <c r="R806" s="5">
        <v>35.9</v>
      </c>
      <c r="S806" s="5">
        <v>35.9</v>
      </c>
      <c r="T806" s="5">
        <v>35.85</v>
      </c>
      <c r="V806" s="5">
        <v>35.9</v>
      </c>
      <c r="Y806" s="5">
        <v>3000</v>
      </c>
      <c r="Z806" s="5">
        <v>106800</v>
      </c>
      <c r="AA806" s="5">
        <v>3</v>
      </c>
      <c r="AB806" s="5" t="s">
        <v>85</v>
      </c>
      <c r="AC806" s="5">
        <v>1000</v>
      </c>
    </row>
    <row r="807" spans="1:29" x14ac:dyDescent="0.3">
      <c r="A807" s="34">
        <v>46274</v>
      </c>
      <c r="B807" s="34">
        <v>46274</v>
      </c>
      <c r="C807" s="5" t="s">
        <v>78</v>
      </c>
      <c r="D807" s="5" t="s">
        <v>79</v>
      </c>
      <c r="E807" s="5" t="s">
        <v>80</v>
      </c>
      <c r="F807" s="5">
        <v>15044</v>
      </c>
      <c r="G807" s="5" t="s">
        <v>2514</v>
      </c>
      <c r="H807" s="5" t="s">
        <v>2515</v>
      </c>
      <c r="I807" s="5" t="s">
        <v>212</v>
      </c>
      <c r="N807" s="5" t="s">
        <v>2516</v>
      </c>
      <c r="O807" s="5">
        <v>55.48</v>
      </c>
      <c r="P807" s="5">
        <v>55.92</v>
      </c>
      <c r="Q807" s="5">
        <v>54.8</v>
      </c>
      <c r="R807" s="5">
        <v>55.25</v>
      </c>
      <c r="S807" s="5">
        <v>55.01</v>
      </c>
      <c r="T807" s="5">
        <v>55.44</v>
      </c>
      <c r="V807" s="5">
        <v>55.25</v>
      </c>
      <c r="Y807" s="5">
        <v>713513</v>
      </c>
      <c r="Z807" s="5">
        <v>39362230.969999999</v>
      </c>
      <c r="AA807" s="5">
        <v>4574</v>
      </c>
      <c r="AB807" s="5" t="s">
        <v>85</v>
      </c>
      <c r="AC807" s="5">
        <v>1</v>
      </c>
    </row>
    <row r="808" spans="1:29" x14ac:dyDescent="0.3">
      <c r="A808" s="34">
        <v>46274</v>
      </c>
      <c r="B808" s="34">
        <v>46274</v>
      </c>
      <c r="C808" s="5" t="s">
        <v>78</v>
      </c>
      <c r="D808" s="5" t="s">
        <v>79</v>
      </c>
      <c r="E808" s="5" t="s">
        <v>80</v>
      </c>
      <c r="F808" s="5">
        <v>1214</v>
      </c>
      <c r="G808" s="5" t="s">
        <v>2517</v>
      </c>
      <c r="H808" s="5" t="s">
        <v>2518</v>
      </c>
      <c r="I808" s="5" t="s">
        <v>212</v>
      </c>
      <c r="N808" s="5" t="s">
        <v>2519</v>
      </c>
      <c r="O808" s="5">
        <v>57.2</v>
      </c>
      <c r="P808" s="5">
        <v>58.49</v>
      </c>
      <c r="Q808" s="5">
        <v>56.66</v>
      </c>
      <c r="R808" s="5">
        <v>57.1</v>
      </c>
      <c r="S808" s="5">
        <v>56.66</v>
      </c>
      <c r="T808" s="5">
        <v>58.44</v>
      </c>
      <c r="V808" s="5">
        <v>57.1</v>
      </c>
      <c r="Y808" s="5">
        <v>1728</v>
      </c>
      <c r="Z808" s="5">
        <v>99451.28</v>
      </c>
      <c r="AA808" s="5">
        <v>28</v>
      </c>
      <c r="AB808" s="5" t="s">
        <v>85</v>
      </c>
      <c r="AC808" s="5">
        <v>1</v>
      </c>
    </row>
    <row r="809" spans="1:29" x14ac:dyDescent="0.3">
      <c r="A809" s="34">
        <v>46274</v>
      </c>
      <c r="B809" s="34">
        <v>46274</v>
      </c>
      <c r="C809" s="5" t="s">
        <v>78</v>
      </c>
      <c r="D809" s="5" t="s">
        <v>79</v>
      </c>
      <c r="E809" s="5" t="s">
        <v>80</v>
      </c>
      <c r="F809" s="5">
        <v>17722</v>
      </c>
      <c r="G809" s="5" t="s">
        <v>2520</v>
      </c>
      <c r="H809" s="5" t="s">
        <v>2521</v>
      </c>
      <c r="I809" s="5" t="s">
        <v>212</v>
      </c>
      <c r="N809" s="5" t="s">
        <v>2522</v>
      </c>
      <c r="O809" s="5">
        <v>27.47</v>
      </c>
      <c r="P809" s="5">
        <v>27.7</v>
      </c>
      <c r="Q809" s="5">
        <v>27.08</v>
      </c>
      <c r="R809" s="5">
        <v>27.21</v>
      </c>
      <c r="S809" s="5">
        <v>27.4</v>
      </c>
      <c r="T809" s="5">
        <v>27.18</v>
      </c>
      <c r="V809" s="5">
        <v>27.21</v>
      </c>
      <c r="Y809" s="5">
        <v>219114</v>
      </c>
      <c r="Z809" s="5">
        <v>5962319.8799999999</v>
      </c>
      <c r="AA809" s="5">
        <v>1203</v>
      </c>
      <c r="AB809" s="5" t="s">
        <v>85</v>
      </c>
      <c r="AC809" s="5">
        <v>1</v>
      </c>
    </row>
    <row r="810" spans="1:29" x14ac:dyDescent="0.3">
      <c r="A810" s="34">
        <v>46274</v>
      </c>
      <c r="B810" s="34">
        <v>46274</v>
      </c>
      <c r="C810" s="5" t="s">
        <v>78</v>
      </c>
      <c r="D810" s="5" t="s">
        <v>79</v>
      </c>
      <c r="E810" s="5" t="s">
        <v>80</v>
      </c>
      <c r="F810" s="5">
        <v>29256</v>
      </c>
      <c r="G810" s="5" t="s">
        <v>2523</v>
      </c>
      <c r="H810" s="5" t="s">
        <v>2524</v>
      </c>
      <c r="I810" s="5" t="s">
        <v>212</v>
      </c>
      <c r="N810" s="5" t="s">
        <v>2525</v>
      </c>
      <c r="O810" s="5">
        <v>279.64999999999998</v>
      </c>
      <c r="P810" s="5">
        <v>296.45</v>
      </c>
      <c r="Q810" s="5">
        <v>279.60000000000002</v>
      </c>
      <c r="R810" s="5">
        <v>283.2</v>
      </c>
      <c r="S810" s="5">
        <v>283.55</v>
      </c>
      <c r="T810" s="5">
        <v>279.64999999999998</v>
      </c>
      <c r="V810" s="5">
        <v>283.22000000000003</v>
      </c>
      <c r="Y810" s="5">
        <v>308512</v>
      </c>
      <c r="Z810" s="5">
        <v>89185257.900000006</v>
      </c>
      <c r="AA810" s="5">
        <v>7402</v>
      </c>
      <c r="AB810" s="5" t="s">
        <v>85</v>
      </c>
      <c r="AC810" s="5">
        <v>1</v>
      </c>
    </row>
    <row r="811" spans="1:29" x14ac:dyDescent="0.3">
      <c r="A811" s="34">
        <v>46274</v>
      </c>
      <c r="B811" s="34">
        <v>46274</v>
      </c>
      <c r="C811" s="5" t="s">
        <v>78</v>
      </c>
      <c r="D811" s="5" t="s">
        <v>79</v>
      </c>
      <c r="E811" s="5" t="s">
        <v>80</v>
      </c>
      <c r="F811" s="5">
        <v>759079</v>
      </c>
      <c r="G811" s="5" t="s">
        <v>2526</v>
      </c>
      <c r="H811" s="5" t="s">
        <v>2527</v>
      </c>
      <c r="I811" s="5" t="s">
        <v>212</v>
      </c>
      <c r="N811" s="5" t="s">
        <v>2528</v>
      </c>
      <c r="O811" s="5">
        <v>33</v>
      </c>
      <c r="P811" s="5">
        <v>33.99</v>
      </c>
      <c r="Q811" s="5">
        <v>32.9</v>
      </c>
      <c r="R811" s="5">
        <v>33.630000000000003</v>
      </c>
      <c r="S811" s="5">
        <v>33.799999999999997</v>
      </c>
      <c r="T811" s="5">
        <v>33.75</v>
      </c>
      <c r="V811" s="5">
        <v>33.58</v>
      </c>
      <c r="Y811" s="5">
        <v>52782</v>
      </c>
      <c r="Z811" s="5">
        <v>1762316.75</v>
      </c>
      <c r="AA811" s="5">
        <v>975</v>
      </c>
      <c r="AB811" s="5" t="s">
        <v>85</v>
      </c>
      <c r="AC811" s="5">
        <v>1</v>
      </c>
    </row>
    <row r="812" spans="1:29" x14ac:dyDescent="0.3">
      <c r="A812" s="34">
        <v>46274</v>
      </c>
      <c r="B812" s="34">
        <v>46274</v>
      </c>
      <c r="C812" s="5" t="s">
        <v>78</v>
      </c>
      <c r="D812" s="5" t="s">
        <v>79</v>
      </c>
      <c r="E812" s="5" t="s">
        <v>80</v>
      </c>
      <c r="F812" s="5">
        <v>8146</v>
      </c>
      <c r="G812" s="5" t="s">
        <v>2529</v>
      </c>
      <c r="H812" s="5" t="s">
        <v>2530</v>
      </c>
      <c r="I812" s="5" t="s">
        <v>212</v>
      </c>
      <c r="N812" s="5" t="s">
        <v>2531</v>
      </c>
      <c r="O812" s="5">
        <v>23.99</v>
      </c>
      <c r="P812" s="5">
        <v>24.8</v>
      </c>
      <c r="Q812" s="5">
        <v>23.6</v>
      </c>
      <c r="R812" s="5">
        <v>23.9</v>
      </c>
      <c r="S812" s="5">
        <v>23.99</v>
      </c>
      <c r="T812" s="5">
        <v>23.99</v>
      </c>
      <c r="V812" s="5">
        <v>23.9</v>
      </c>
      <c r="Y812" s="5">
        <v>27608</v>
      </c>
      <c r="Z812" s="5">
        <v>659992.01</v>
      </c>
      <c r="AA812" s="5">
        <v>342</v>
      </c>
      <c r="AB812" s="5" t="s">
        <v>85</v>
      </c>
      <c r="AC812" s="5">
        <v>1</v>
      </c>
    </row>
    <row r="813" spans="1:29" x14ac:dyDescent="0.3">
      <c r="A813" s="34">
        <v>46274</v>
      </c>
      <c r="B813" s="34">
        <v>46274</v>
      </c>
      <c r="C813" s="5" t="s">
        <v>78</v>
      </c>
      <c r="D813" s="5" t="s">
        <v>79</v>
      </c>
      <c r="E813" s="5" t="s">
        <v>80</v>
      </c>
      <c r="F813" s="5">
        <v>5373</v>
      </c>
      <c r="G813" s="5" t="s">
        <v>2532</v>
      </c>
      <c r="H813" s="5" t="s">
        <v>2533</v>
      </c>
      <c r="I813" s="5" t="s">
        <v>212</v>
      </c>
      <c r="N813" s="5" t="s">
        <v>2534</v>
      </c>
      <c r="O813" s="5">
        <v>137.99</v>
      </c>
      <c r="P813" s="5">
        <v>139.76</v>
      </c>
      <c r="Q813" s="5">
        <v>136.61000000000001</v>
      </c>
      <c r="R813" s="5">
        <v>137.16999999999999</v>
      </c>
      <c r="S813" s="5">
        <v>137.49</v>
      </c>
      <c r="T813" s="5">
        <v>137.99</v>
      </c>
      <c r="V813" s="5">
        <v>137.16999999999999</v>
      </c>
      <c r="Y813" s="5">
        <v>859550</v>
      </c>
      <c r="Z813" s="5">
        <v>118660991.98999999</v>
      </c>
      <c r="AA813" s="5">
        <v>29840</v>
      </c>
      <c r="AB813" s="5" t="s">
        <v>85</v>
      </c>
      <c r="AC813" s="5">
        <v>1</v>
      </c>
    </row>
    <row r="814" spans="1:29" x14ac:dyDescent="0.3">
      <c r="A814" s="34">
        <v>46274</v>
      </c>
      <c r="B814" s="34">
        <v>46274</v>
      </c>
      <c r="C814" s="5" t="s">
        <v>78</v>
      </c>
      <c r="D814" s="5" t="s">
        <v>79</v>
      </c>
      <c r="E814" s="5" t="s">
        <v>80</v>
      </c>
      <c r="F814" s="5">
        <v>764661</v>
      </c>
      <c r="G814" s="5" t="s">
        <v>2535</v>
      </c>
      <c r="H814" s="5" t="s">
        <v>2536</v>
      </c>
      <c r="I814" s="5" t="s">
        <v>234</v>
      </c>
      <c r="N814" s="5" t="s">
        <v>2537</v>
      </c>
      <c r="O814" s="5">
        <v>513.9</v>
      </c>
      <c r="P814" s="5">
        <v>523</v>
      </c>
      <c r="Q814" s="5">
        <v>505.1</v>
      </c>
      <c r="R814" s="5">
        <v>517.25</v>
      </c>
      <c r="S814" s="5">
        <v>520</v>
      </c>
      <c r="T814" s="5">
        <v>515.85</v>
      </c>
      <c r="V814" s="5">
        <v>517.25</v>
      </c>
      <c r="Y814" s="5">
        <v>7900</v>
      </c>
      <c r="Z814" s="5">
        <v>4092902.65</v>
      </c>
      <c r="AA814" s="5">
        <v>187</v>
      </c>
      <c r="AB814" s="5" t="s">
        <v>85</v>
      </c>
      <c r="AC814" s="5">
        <v>1</v>
      </c>
    </row>
    <row r="815" spans="1:29" x14ac:dyDescent="0.3">
      <c r="A815" s="34">
        <v>46274</v>
      </c>
      <c r="B815" s="34">
        <v>46274</v>
      </c>
      <c r="C815" s="5" t="s">
        <v>78</v>
      </c>
      <c r="D815" s="5" t="s">
        <v>79</v>
      </c>
      <c r="E815" s="5" t="s">
        <v>80</v>
      </c>
      <c r="F815" s="5">
        <v>10893</v>
      </c>
      <c r="G815" s="5" t="s">
        <v>2538</v>
      </c>
      <c r="H815" s="5" t="s">
        <v>2539</v>
      </c>
      <c r="I815" s="5" t="s">
        <v>212</v>
      </c>
      <c r="N815" s="5" t="s">
        <v>2540</v>
      </c>
      <c r="O815" s="5">
        <v>127.5</v>
      </c>
      <c r="P815" s="5">
        <v>127.5</v>
      </c>
      <c r="Q815" s="5">
        <v>122.35</v>
      </c>
      <c r="R815" s="5">
        <v>123.12</v>
      </c>
      <c r="S815" s="5">
        <v>122.95</v>
      </c>
      <c r="T815" s="5">
        <v>126.12</v>
      </c>
      <c r="V815" s="5">
        <v>123.12</v>
      </c>
      <c r="Y815" s="5">
        <v>186892</v>
      </c>
      <c r="Z815" s="5">
        <v>23199139.140000001</v>
      </c>
      <c r="AA815" s="5">
        <v>2327</v>
      </c>
      <c r="AB815" s="5" t="s">
        <v>85</v>
      </c>
      <c r="AC815" s="5">
        <v>1</v>
      </c>
    </row>
    <row r="816" spans="1:29" x14ac:dyDescent="0.3">
      <c r="A816" s="34">
        <v>46274</v>
      </c>
      <c r="B816" s="34">
        <v>46274</v>
      </c>
      <c r="C816" s="5" t="s">
        <v>78</v>
      </c>
      <c r="D816" s="5" t="s">
        <v>79</v>
      </c>
      <c r="E816" s="5" t="s">
        <v>80</v>
      </c>
      <c r="F816" s="5">
        <v>857</v>
      </c>
      <c r="G816" s="5" t="s">
        <v>2541</v>
      </c>
      <c r="H816" s="5" t="s">
        <v>2542</v>
      </c>
      <c r="I816" s="5" t="s">
        <v>212</v>
      </c>
      <c r="N816" s="5" t="s">
        <v>2543</v>
      </c>
      <c r="O816" s="5">
        <v>169</v>
      </c>
      <c r="P816" s="5">
        <v>171.4</v>
      </c>
      <c r="Q816" s="5">
        <v>165.51</v>
      </c>
      <c r="R816" s="5">
        <v>170.93</v>
      </c>
      <c r="S816" s="5">
        <v>171.23</v>
      </c>
      <c r="T816" s="5">
        <v>168.88</v>
      </c>
      <c r="V816" s="5">
        <v>170.93</v>
      </c>
      <c r="Y816" s="5">
        <v>465136</v>
      </c>
      <c r="Z816" s="5">
        <v>78739238.760000005</v>
      </c>
      <c r="AA816" s="5">
        <v>7008</v>
      </c>
      <c r="AB816" s="5" t="s">
        <v>85</v>
      </c>
      <c r="AC816" s="5">
        <v>1</v>
      </c>
    </row>
    <row r="817" spans="1:29" x14ac:dyDescent="0.3">
      <c r="A817" s="34">
        <v>46274</v>
      </c>
      <c r="B817" s="34">
        <v>46274</v>
      </c>
      <c r="C817" s="5" t="s">
        <v>78</v>
      </c>
      <c r="D817" s="5" t="s">
        <v>79</v>
      </c>
      <c r="E817" s="5" t="s">
        <v>80</v>
      </c>
      <c r="F817" s="5">
        <v>11359</v>
      </c>
      <c r="G817" s="5" t="s">
        <v>2544</v>
      </c>
      <c r="H817" s="5" t="s">
        <v>2545</v>
      </c>
      <c r="I817" s="5" t="s">
        <v>212</v>
      </c>
      <c r="N817" s="5" t="s">
        <v>2546</v>
      </c>
      <c r="O817" s="5">
        <v>31.11</v>
      </c>
      <c r="P817" s="5">
        <v>31.12</v>
      </c>
      <c r="Q817" s="5">
        <v>30.5</v>
      </c>
      <c r="R817" s="5">
        <v>30.68</v>
      </c>
      <c r="S817" s="5">
        <v>30.6</v>
      </c>
      <c r="T817" s="5">
        <v>31.11</v>
      </c>
      <c r="V817" s="5">
        <v>30.68</v>
      </c>
      <c r="Y817" s="5">
        <v>304141</v>
      </c>
      <c r="Z817" s="5">
        <v>9337855.3699999992</v>
      </c>
      <c r="AA817" s="5">
        <v>1816</v>
      </c>
      <c r="AB817" s="5" t="s">
        <v>85</v>
      </c>
      <c r="AC817" s="5">
        <v>1</v>
      </c>
    </row>
    <row r="818" spans="1:29" x14ac:dyDescent="0.3">
      <c r="A818" s="34">
        <v>46274</v>
      </c>
      <c r="B818" s="34">
        <v>46274</v>
      </c>
      <c r="C818" s="5" t="s">
        <v>78</v>
      </c>
      <c r="D818" s="5" t="s">
        <v>79</v>
      </c>
      <c r="E818" s="5" t="s">
        <v>80</v>
      </c>
      <c r="F818" s="5">
        <v>27723</v>
      </c>
      <c r="G818" s="5" t="s">
        <v>2547</v>
      </c>
      <c r="H818" s="5" t="s">
        <v>2548</v>
      </c>
      <c r="I818" s="5" t="s">
        <v>313</v>
      </c>
      <c r="N818" s="5" t="s">
        <v>2549</v>
      </c>
      <c r="O818" s="5">
        <v>23.6</v>
      </c>
      <c r="P818" s="5">
        <v>23.6</v>
      </c>
      <c r="Q818" s="5">
        <v>23.6</v>
      </c>
      <c r="R818" s="5">
        <v>23.6</v>
      </c>
      <c r="S818" s="5">
        <v>23.6</v>
      </c>
      <c r="T818" s="5">
        <v>23.2</v>
      </c>
      <c r="V818" s="5">
        <v>23.6</v>
      </c>
      <c r="Y818" s="5">
        <v>2000</v>
      </c>
      <c r="Z818" s="5">
        <v>47200</v>
      </c>
      <c r="AA818" s="5">
        <v>1</v>
      </c>
      <c r="AB818" s="5" t="s">
        <v>85</v>
      </c>
      <c r="AC818" s="5">
        <v>2000</v>
      </c>
    </row>
    <row r="819" spans="1:29" x14ac:dyDescent="0.3">
      <c r="A819" s="34">
        <v>46274</v>
      </c>
      <c r="B819" s="34">
        <v>46274</v>
      </c>
      <c r="C819" s="5" t="s">
        <v>78</v>
      </c>
      <c r="D819" s="5" t="s">
        <v>79</v>
      </c>
      <c r="E819" s="5" t="s">
        <v>80</v>
      </c>
      <c r="F819" s="5">
        <v>24415</v>
      </c>
      <c r="G819" s="5" t="s">
        <v>2550</v>
      </c>
      <c r="H819" s="5" t="s">
        <v>2551</v>
      </c>
      <c r="I819" s="5" t="s">
        <v>313</v>
      </c>
      <c r="N819" s="5" t="s">
        <v>2552</v>
      </c>
      <c r="O819" s="5">
        <v>31</v>
      </c>
      <c r="P819" s="5">
        <v>32.450000000000003</v>
      </c>
      <c r="Q819" s="5">
        <v>30.5</v>
      </c>
      <c r="R819" s="5">
        <v>32.450000000000003</v>
      </c>
      <c r="S819" s="5">
        <v>32.450000000000003</v>
      </c>
      <c r="T819" s="5">
        <v>30.95</v>
      </c>
      <c r="V819" s="5">
        <v>32.450000000000003</v>
      </c>
      <c r="Y819" s="5">
        <v>40000</v>
      </c>
      <c r="Z819" s="5">
        <v>1284400</v>
      </c>
      <c r="AA819" s="5">
        <v>20</v>
      </c>
      <c r="AB819" s="5" t="s">
        <v>85</v>
      </c>
      <c r="AC819" s="5">
        <v>2000</v>
      </c>
    </row>
    <row r="820" spans="1:29" x14ac:dyDescent="0.3">
      <c r="A820" s="34">
        <v>46274</v>
      </c>
      <c r="B820" s="34">
        <v>46274</v>
      </c>
      <c r="C820" s="5" t="s">
        <v>78</v>
      </c>
      <c r="D820" s="5" t="s">
        <v>79</v>
      </c>
      <c r="E820" s="5" t="s">
        <v>80</v>
      </c>
      <c r="F820" s="5">
        <v>24409</v>
      </c>
      <c r="G820" s="5" t="s">
        <v>2553</v>
      </c>
      <c r="H820" s="5" t="s">
        <v>2554</v>
      </c>
      <c r="I820" s="5" t="s">
        <v>212</v>
      </c>
      <c r="N820" s="5" t="s">
        <v>2555</v>
      </c>
      <c r="O820" s="5">
        <v>998.4</v>
      </c>
      <c r="P820" s="5">
        <v>998.4</v>
      </c>
      <c r="Q820" s="5">
        <v>969</v>
      </c>
      <c r="R820" s="5">
        <v>975.4</v>
      </c>
      <c r="S820" s="5">
        <v>970.15</v>
      </c>
      <c r="T820" s="5">
        <v>994.05</v>
      </c>
      <c r="V820" s="5">
        <v>975.51</v>
      </c>
      <c r="Y820" s="5">
        <v>24199</v>
      </c>
      <c r="Z820" s="5">
        <v>23779187.649999999</v>
      </c>
      <c r="AA820" s="5">
        <v>1912</v>
      </c>
      <c r="AB820" s="5" t="s">
        <v>85</v>
      </c>
      <c r="AC820" s="5">
        <v>1</v>
      </c>
    </row>
    <row r="821" spans="1:29" x14ac:dyDescent="0.3">
      <c r="A821" s="34">
        <v>46274</v>
      </c>
      <c r="B821" s="34">
        <v>46274</v>
      </c>
      <c r="C821" s="5" t="s">
        <v>78</v>
      </c>
      <c r="D821" s="5" t="s">
        <v>79</v>
      </c>
      <c r="E821" s="5" t="s">
        <v>80</v>
      </c>
      <c r="F821" s="5">
        <v>760492</v>
      </c>
      <c r="G821" s="5" t="s">
        <v>2556</v>
      </c>
      <c r="H821" s="5" t="s">
        <v>2557</v>
      </c>
      <c r="I821" s="5" t="s">
        <v>392</v>
      </c>
      <c r="N821" s="5" t="s">
        <v>2558</v>
      </c>
      <c r="O821" s="5">
        <v>145.44999999999999</v>
      </c>
      <c r="P821" s="5">
        <v>145.9</v>
      </c>
      <c r="Q821" s="5">
        <v>142</v>
      </c>
      <c r="R821" s="5">
        <v>142</v>
      </c>
      <c r="S821" s="5">
        <v>142</v>
      </c>
      <c r="T821" s="5">
        <v>140</v>
      </c>
      <c r="V821" s="5">
        <v>142</v>
      </c>
      <c r="Y821" s="5">
        <v>13000</v>
      </c>
      <c r="Z821" s="5">
        <v>1862350</v>
      </c>
      <c r="AA821" s="5">
        <v>11</v>
      </c>
      <c r="AB821" s="5" t="s">
        <v>85</v>
      </c>
      <c r="AC821" s="5">
        <v>1000</v>
      </c>
    </row>
    <row r="822" spans="1:29" x14ac:dyDescent="0.3">
      <c r="A822" s="34">
        <v>46274</v>
      </c>
      <c r="B822" s="34">
        <v>46274</v>
      </c>
      <c r="C822" s="5" t="s">
        <v>78</v>
      </c>
      <c r="D822" s="5" t="s">
        <v>79</v>
      </c>
      <c r="E822" s="5" t="s">
        <v>80</v>
      </c>
      <c r="F822" s="5">
        <v>759203</v>
      </c>
      <c r="G822" s="5" t="s">
        <v>2559</v>
      </c>
      <c r="H822" s="5" t="s">
        <v>2560</v>
      </c>
      <c r="I822" s="5" t="s">
        <v>614</v>
      </c>
      <c r="N822" s="5" t="s">
        <v>2561</v>
      </c>
      <c r="O822" s="5">
        <v>0.14000000000000001</v>
      </c>
      <c r="P822" s="5">
        <v>0.14000000000000001</v>
      </c>
      <c r="Q822" s="5">
        <v>0.13</v>
      </c>
      <c r="R822" s="5">
        <v>0.13</v>
      </c>
      <c r="S822" s="5">
        <v>0.14000000000000001</v>
      </c>
      <c r="T822" s="5">
        <v>0.13</v>
      </c>
      <c r="V822" s="5">
        <v>0.13</v>
      </c>
      <c r="Y822" s="5">
        <v>9577028</v>
      </c>
      <c r="Z822" s="5">
        <v>1311693.23</v>
      </c>
      <c r="AA822" s="5">
        <v>1435</v>
      </c>
      <c r="AB822" s="5" t="s">
        <v>85</v>
      </c>
      <c r="AC822" s="5">
        <v>1</v>
      </c>
    </row>
    <row r="823" spans="1:29" x14ac:dyDescent="0.3">
      <c r="A823" s="34">
        <v>46274</v>
      </c>
      <c r="B823" s="34">
        <v>46274</v>
      </c>
      <c r="C823" s="5" t="s">
        <v>78</v>
      </c>
      <c r="D823" s="5" t="s">
        <v>79</v>
      </c>
      <c r="E823" s="5" t="s">
        <v>80</v>
      </c>
      <c r="F823" s="5">
        <v>24747</v>
      </c>
      <c r="G823" s="5" t="s">
        <v>2562</v>
      </c>
      <c r="H823" s="5" t="s">
        <v>2563</v>
      </c>
      <c r="I823" s="5" t="s">
        <v>313</v>
      </c>
      <c r="N823" s="5" t="s">
        <v>2564</v>
      </c>
      <c r="O823" s="5">
        <v>27.45</v>
      </c>
      <c r="P823" s="5">
        <v>27.75</v>
      </c>
      <c r="Q823" s="5">
        <v>27</v>
      </c>
      <c r="R823" s="5">
        <v>27.75</v>
      </c>
      <c r="S823" s="5">
        <v>27.75</v>
      </c>
      <c r="T823" s="5">
        <v>26.45</v>
      </c>
      <c r="V823" s="5">
        <v>27.75</v>
      </c>
      <c r="Y823" s="5">
        <v>360000</v>
      </c>
      <c r="Z823" s="5">
        <v>9935850</v>
      </c>
      <c r="AA823" s="5">
        <v>99</v>
      </c>
      <c r="AB823" s="5" t="s">
        <v>85</v>
      </c>
      <c r="AC823" s="5">
        <v>3000</v>
      </c>
    </row>
    <row r="824" spans="1:29" x14ac:dyDescent="0.3">
      <c r="A824" s="34">
        <v>46274</v>
      </c>
      <c r="B824" s="34">
        <v>46274</v>
      </c>
      <c r="C824" s="5" t="s">
        <v>78</v>
      </c>
      <c r="D824" s="5" t="s">
        <v>79</v>
      </c>
      <c r="E824" s="5" t="s">
        <v>80</v>
      </c>
      <c r="F824" s="5">
        <v>13001</v>
      </c>
      <c r="G824" s="5" t="s">
        <v>2565</v>
      </c>
      <c r="H824" s="5" t="s">
        <v>2566</v>
      </c>
      <c r="I824" s="5" t="s">
        <v>212</v>
      </c>
      <c r="N824" s="5" t="s">
        <v>2567</v>
      </c>
      <c r="O824" s="5">
        <v>268.8</v>
      </c>
      <c r="P824" s="5">
        <v>272.5</v>
      </c>
      <c r="Q824" s="5">
        <v>268.8</v>
      </c>
      <c r="R824" s="5">
        <v>270.2</v>
      </c>
      <c r="S824" s="5">
        <v>270.25</v>
      </c>
      <c r="T824" s="5">
        <v>269.75</v>
      </c>
      <c r="V824" s="5">
        <v>270.20999999999998</v>
      </c>
      <c r="Y824" s="5">
        <v>19747</v>
      </c>
      <c r="Z824" s="5">
        <v>5343954.6500000004</v>
      </c>
      <c r="AA824" s="5">
        <v>533</v>
      </c>
      <c r="AB824" s="5" t="s">
        <v>85</v>
      </c>
      <c r="AC824" s="5">
        <v>1</v>
      </c>
    </row>
    <row r="825" spans="1:29" x14ac:dyDescent="0.3">
      <c r="A825" s="34">
        <v>46274</v>
      </c>
      <c r="B825" s="34">
        <v>46274</v>
      </c>
      <c r="C825" s="5" t="s">
        <v>78</v>
      </c>
      <c r="D825" s="5" t="s">
        <v>79</v>
      </c>
      <c r="E825" s="5" t="s">
        <v>80</v>
      </c>
      <c r="F825" s="5">
        <v>765060</v>
      </c>
      <c r="G825" s="5" t="s">
        <v>2568</v>
      </c>
      <c r="H825" s="5" t="s">
        <v>2569</v>
      </c>
      <c r="I825" s="5" t="s">
        <v>212</v>
      </c>
      <c r="N825" s="5" t="s">
        <v>2570</v>
      </c>
      <c r="O825" s="5">
        <v>4.7699999999999996</v>
      </c>
      <c r="P825" s="5">
        <v>5.09</v>
      </c>
      <c r="Q825" s="5">
        <v>4.25</v>
      </c>
      <c r="R825" s="5">
        <v>4.46</v>
      </c>
      <c r="S825" s="5">
        <v>4.45</v>
      </c>
      <c r="T825" s="5">
        <v>4.6900000000000004</v>
      </c>
      <c r="V825" s="5">
        <v>4.46</v>
      </c>
      <c r="Y825" s="5">
        <v>219304</v>
      </c>
      <c r="Z825" s="5">
        <v>976165.67</v>
      </c>
      <c r="AA825" s="5">
        <v>518</v>
      </c>
      <c r="AB825" s="5" t="s">
        <v>85</v>
      </c>
      <c r="AC825" s="5">
        <v>1</v>
      </c>
    </row>
    <row r="826" spans="1:29" x14ac:dyDescent="0.3">
      <c r="A826" s="34">
        <v>46274</v>
      </c>
      <c r="B826" s="34">
        <v>46274</v>
      </c>
      <c r="C826" s="5" t="s">
        <v>78</v>
      </c>
      <c r="D826" s="5" t="s">
        <v>79</v>
      </c>
      <c r="E826" s="5" t="s">
        <v>80</v>
      </c>
      <c r="F826" s="5">
        <v>764553</v>
      </c>
      <c r="G826" s="5" t="s">
        <v>2571</v>
      </c>
      <c r="H826" s="5" t="s">
        <v>2572</v>
      </c>
      <c r="I826" s="5" t="s">
        <v>212</v>
      </c>
      <c r="N826" s="5" t="s">
        <v>2573</v>
      </c>
      <c r="O826" s="5">
        <v>1609.9</v>
      </c>
      <c r="P826" s="5">
        <v>1610</v>
      </c>
      <c r="Q826" s="5">
        <v>1565.1</v>
      </c>
      <c r="R826" s="5">
        <v>1596.5</v>
      </c>
      <c r="S826" s="5">
        <v>1593</v>
      </c>
      <c r="T826" s="5">
        <v>1597.6</v>
      </c>
      <c r="V826" s="5">
        <v>1596.57</v>
      </c>
      <c r="Y826" s="5">
        <v>1174598</v>
      </c>
      <c r="Z826" s="5">
        <v>1861977525.9000001</v>
      </c>
      <c r="AA826" s="5">
        <v>58087</v>
      </c>
      <c r="AB826" s="5" t="s">
        <v>85</v>
      </c>
      <c r="AC826" s="5">
        <v>1</v>
      </c>
    </row>
    <row r="827" spans="1:29" x14ac:dyDescent="0.3">
      <c r="A827" s="34">
        <v>46274</v>
      </c>
      <c r="B827" s="34">
        <v>46274</v>
      </c>
      <c r="C827" s="5" t="s">
        <v>78</v>
      </c>
      <c r="D827" s="5" t="s">
        <v>79</v>
      </c>
      <c r="E827" s="5" t="s">
        <v>80</v>
      </c>
      <c r="F827" s="5">
        <v>6858</v>
      </c>
      <c r="G827" s="5" t="s">
        <v>2574</v>
      </c>
      <c r="H827" s="5" t="s">
        <v>2575</v>
      </c>
      <c r="I827" s="5" t="s">
        <v>212</v>
      </c>
      <c r="N827" s="5" t="s">
        <v>2576</v>
      </c>
      <c r="O827" s="5">
        <v>23</v>
      </c>
      <c r="P827" s="5">
        <v>24.05</v>
      </c>
      <c r="Q827" s="5">
        <v>23</v>
      </c>
      <c r="R827" s="5">
        <v>23</v>
      </c>
      <c r="S827" s="5">
        <v>23</v>
      </c>
      <c r="T827" s="5">
        <v>23.4</v>
      </c>
      <c r="V827" s="5">
        <v>23</v>
      </c>
      <c r="Y827" s="5">
        <v>1944</v>
      </c>
      <c r="Z827" s="5">
        <v>45248.9</v>
      </c>
      <c r="AA827" s="5">
        <v>36</v>
      </c>
      <c r="AB827" s="5" t="s">
        <v>85</v>
      </c>
      <c r="AC827" s="5">
        <v>1</v>
      </c>
    </row>
    <row r="828" spans="1:29" x14ac:dyDescent="0.3">
      <c r="A828" s="34">
        <v>46274</v>
      </c>
      <c r="B828" s="34">
        <v>46274</v>
      </c>
      <c r="C828" s="5" t="s">
        <v>78</v>
      </c>
      <c r="D828" s="5" t="s">
        <v>79</v>
      </c>
      <c r="E828" s="5" t="s">
        <v>80</v>
      </c>
      <c r="F828" s="5">
        <v>22233</v>
      </c>
      <c r="G828" s="5" t="s">
        <v>2577</v>
      </c>
      <c r="H828" s="5" t="s">
        <v>2578</v>
      </c>
      <c r="I828" s="5" t="s">
        <v>212</v>
      </c>
      <c r="N828" s="5" t="s">
        <v>2579</v>
      </c>
      <c r="O828" s="5">
        <v>1016.7</v>
      </c>
      <c r="P828" s="5">
        <v>1017.15</v>
      </c>
      <c r="Q828" s="5">
        <v>991.2</v>
      </c>
      <c r="R828" s="5">
        <v>999.9</v>
      </c>
      <c r="S828" s="5">
        <v>998.1</v>
      </c>
      <c r="T828" s="5">
        <v>1014.5</v>
      </c>
      <c r="V828" s="5">
        <v>999.9</v>
      </c>
      <c r="Y828" s="5">
        <v>675</v>
      </c>
      <c r="Z828" s="5">
        <v>678025.95</v>
      </c>
      <c r="AA828" s="5">
        <v>102</v>
      </c>
      <c r="AB828" s="5" t="s">
        <v>85</v>
      </c>
      <c r="AC828" s="5">
        <v>1</v>
      </c>
    </row>
    <row r="829" spans="1:29" x14ac:dyDescent="0.3">
      <c r="A829" s="34">
        <v>46274</v>
      </c>
      <c r="B829" s="34">
        <v>46274</v>
      </c>
      <c r="C829" s="5" t="s">
        <v>78</v>
      </c>
      <c r="D829" s="5" t="s">
        <v>79</v>
      </c>
      <c r="E829" s="5" t="s">
        <v>80</v>
      </c>
      <c r="F829" s="5">
        <v>6239</v>
      </c>
      <c r="G829" s="5" t="s">
        <v>2580</v>
      </c>
      <c r="H829" s="5" t="s">
        <v>2581</v>
      </c>
      <c r="I829" s="5" t="s">
        <v>234</v>
      </c>
      <c r="N829" s="5" t="s">
        <v>2582</v>
      </c>
      <c r="O829" s="5">
        <v>142.08000000000001</v>
      </c>
      <c r="P829" s="5">
        <v>145</v>
      </c>
      <c r="Q829" s="5">
        <v>140.25</v>
      </c>
      <c r="R829" s="5">
        <v>143.99</v>
      </c>
      <c r="S829" s="5">
        <v>143.99</v>
      </c>
      <c r="T829" s="5">
        <v>142.08000000000001</v>
      </c>
      <c r="V829" s="5">
        <v>143.97999999999999</v>
      </c>
      <c r="Y829" s="5">
        <v>11797</v>
      </c>
      <c r="Z829" s="5">
        <v>1698166.02</v>
      </c>
      <c r="AA829" s="5">
        <v>78</v>
      </c>
      <c r="AB829" s="5" t="s">
        <v>85</v>
      </c>
      <c r="AC829" s="5">
        <v>1</v>
      </c>
    </row>
    <row r="830" spans="1:29" x14ac:dyDescent="0.3">
      <c r="A830" s="34">
        <v>46274</v>
      </c>
      <c r="B830" s="34">
        <v>46274</v>
      </c>
      <c r="C830" s="5" t="s">
        <v>78</v>
      </c>
      <c r="D830" s="5" t="s">
        <v>79</v>
      </c>
      <c r="E830" s="5" t="s">
        <v>80</v>
      </c>
      <c r="F830" s="5">
        <v>15214</v>
      </c>
      <c r="G830" s="5" t="s">
        <v>2583</v>
      </c>
      <c r="H830" s="5" t="s">
        <v>2584</v>
      </c>
      <c r="I830" s="5" t="s">
        <v>212</v>
      </c>
      <c r="N830" s="5" t="s">
        <v>2585</v>
      </c>
      <c r="O830" s="5">
        <v>292.05</v>
      </c>
      <c r="P830" s="5">
        <v>293.85000000000002</v>
      </c>
      <c r="Q830" s="5">
        <v>286.10000000000002</v>
      </c>
      <c r="R830" s="5">
        <v>289.2</v>
      </c>
      <c r="S830" s="5">
        <v>288</v>
      </c>
      <c r="T830" s="5">
        <v>292.05</v>
      </c>
      <c r="V830" s="5">
        <v>289.12</v>
      </c>
      <c r="Y830" s="5">
        <v>17683</v>
      </c>
      <c r="Z830" s="5">
        <v>5127371.2</v>
      </c>
      <c r="AA830" s="5">
        <v>620</v>
      </c>
      <c r="AB830" s="5" t="s">
        <v>85</v>
      </c>
      <c r="AC830" s="5">
        <v>1</v>
      </c>
    </row>
    <row r="831" spans="1:29" x14ac:dyDescent="0.3">
      <c r="A831" s="34">
        <v>46274</v>
      </c>
      <c r="B831" s="34">
        <v>46274</v>
      </c>
      <c r="C831" s="5" t="s">
        <v>78</v>
      </c>
      <c r="D831" s="5" t="s">
        <v>79</v>
      </c>
      <c r="E831" s="5" t="s">
        <v>80</v>
      </c>
      <c r="F831" s="5">
        <v>18644</v>
      </c>
      <c r="G831" s="5" t="s">
        <v>2586</v>
      </c>
      <c r="H831" s="5" t="s">
        <v>2587</v>
      </c>
      <c r="I831" s="5" t="s">
        <v>212</v>
      </c>
      <c r="N831" s="5" t="s">
        <v>2588</v>
      </c>
      <c r="O831" s="5">
        <v>245.01</v>
      </c>
      <c r="P831" s="5">
        <v>254</v>
      </c>
      <c r="Q831" s="5">
        <v>245</v>
      </c>
      <c r="R831" s="5">
        <v>253.24</v>
      </c>
      <c r="S831" s="5">
        <v>254</v>
      </c>
      <c r="T831" s="5">
        <v>245.07</v>
      </c>
      <c r="V831" s="5">
        <v>253.24</v>
      </c>
      <c r="Y831" s="5">
        <v>10555</v>
      </c>
      <c r="Z831" s="5">
        <v>2642150.2799999998</v>
      </c>
      <c r="AA831" s="5">
        <v>458</v>
      </c>
      <c r="AB831" s="5" t="s">
        <v>85</v>
      </c>
      <c r="AC831" s="5">
        <v>1</v>
      </c>
    </row>
    <row r="832" spans="1:29" x14ac:dyDescent="0.3">
      <c r="A832" s="34">
        <v>46274</v>
      </c>
      <c r="B832" s="34">
        <v>46274</v>
      </c>
      <c r="C832" s="5" t="s">
        <v>78</v>
      </c>
      <c r="D832" s="5" t="s">
        <v>79</v>
      </c>
      <c r="E832" s="5" t="s">
        <v>80</v>
      </c>
      <c r="F832" s="5">
        <v>18545</v>
      </c>
      <c r="G832" s="5" t="s">
        <v>2589</v>
      </c>
      <c r="H832" s="5" t="s">
        <v>2590</v>
      </c>
      <c r="I832" s="5" t="s">
        <v>234</v>
      </c>
      <c r="N832" s="5" t="s">
        <v>2591</v>
      </c>
      <c r="O832" s="5">
        <v>336.25</v>
      </c>
      <c r="P832" s="5">
        <v>340.4</v>
      </c>
      <c r="Q832" s="5">
        <v>330</v>
      </c>
      <c r="R832" s="5">
        <v>334.8</v>
      </c>
      <c r="S832" s="5">
        <v>334.6</v>
      </c>
      <c r="T832" s="5">
        <v>336.25</v>
      </c>
      <c r="V832" s="5">
        <v>334.82</v>
      </c>
      <c r="Y832" s="5">
        <v>523960</v>
      </c>
      <c r="Z832" s="5">
        <v>175589702.15000001</v>
      </c>
      <c r="AA832" s="5">
        <v>7544</v>
      </c>
      <c r="AB832" s="5" t="s">
        <v>85</v>
      </c>
      <c r="AC832" s="5">
        <v>1</v>
      </c>
    </row>
    <row r="833" spans="1:29" x14ac:dyDescent="0.3">
      <c r="A833" s="34">
        <v>46274</v>
      </c>
      <c r="B833" s="34">
        <v>46274</v>
      </c>
      <c r="C833" s="5" t="s">
        <v>78</v>
      </c>
      <c r="D833" s="5" t="s">
        <v>79</v>
      </c>
      <c r="E833" s="5" t="s">
        <v>80</v>
      </c>
      <c r="F833" s="5">
        <v>703</v>
      </c>
      <c r="G833" s="5" t="s">
        <v>2592</v>
      </c>
      <c r="H833" s="5" t="s">
        <v>2593</v>
      </c>
      <c r="I833" s="5" t="s">
        <v>212</v>
      </c>
      <c r="N833" s="5" t="s">
        <v>2594</v>
      </c>
      <c r="O833" s="5">
        <v>635.9</v>
      </c>
      <c r="P833" s="5">
        <v>635.9</v>
      </c>
      <c r="Q833" s="5">
        <v>615</v>
      </c>
      <c r="R833" s="5">
        <v>617.6</v>
      </c>
      <c r="S833" s="5">
        <v>615.1</v>
      </c>
      <c r="T833" s="5">
        <v>622.85</v>
      </c>
      <c r="V833" s="5">
        <v>617.6</v>
      </c>
      <c r="Y833" s="5">
        <v>6544</v>
      </c>
      <c r="Z833" s="5">
        <v>4086940.95</v>
      </c>
      <c r="AA833" s="5">
        <v>435</v>
      </c>
      <c r="AB833" s="5" t="s">
        <v>85</v>
      </c>
      <c r="AC833" s="5">
        <v>1</v>
      </c>
    </row>
    <row r="834" spans="1:29" x14ac:dyDescent="0.3">
      <c r="A834" s="34">
        <v>46274</v>
      </c>
      <c r="B834" s="34">
        <v>46274</v>
      </c>
      <c r="C834" s="5" t="s">
        <v>78</v>
      </c>
      <c r="D834" s="5" t="s">
        <v>79</v>
      </c>
      <c r="E834" s="5" t="s">
        <v>80</v>
      </c>
      <c r="F834" s="5">
        <v>25672</v>
      </c>
      <c r="G834" s="5" t="s">
        <v>2595</v>
      </c>
      <c r="H834" s="5" t="s">
        <v>2596</v>
      </c>
      <c r="I834" s="5" t="s">
        <v>212</v>
      </c>
      <c r="N834" s="5" t="s">
        <v>2597</v>
      </c>
      <c r="O834" s="5">
        <v>451</v>
      </c>
      <c r="P834" s="5">
        <v>464.8</v>
      </c>
      <c r="Q834" s="5">
        <v>436.05</v>
      </c>
      <c r="R834" s="5">
        <v>440.55</v>
      </c>
      <c r="S834" s="5">
        <v>442.3</v>
      </c>
      <c r="T834" s="5">
        <v>442.5</v>
      </c>
      <c r="V834" s="5">
        <v>440.56</v>
      </c>
      <c r="Y834" s="5">
        <v>301159</v>
      </c>
      <c r="Z834" s="5">
        <v>135478460.44999999</v>
      </c>
      <c r="AA834" s="5">
        <v>11314</v>
      </c>
      <c r="AB834" s="5" t="s">
        <v>85</v>
      </c>
      <c r="AC834" s="5">
        <v>1</v>
      </c>
    </row>
    <row r="835" spans="1:29" x14ac:dyDescent="0.3">
      <c r="A835" s="34">
        <v>46274</v>
      </c>
      <c r="B835" s="34">
        <v>46274</v>
      </c>
      <c r="C835" s="5" t="s">
        <v>78</v>
      </c>
      <c r="D835" s="5" t="s">
        <v>79</v>
      </c>
      <c r="E835" s="5" t="s">
        <v>80</v>
      </c>
      <c r="F835" s="5">
        <v>10346</v>
      </c>
      <c r="G835" s="5" t="s">
        <v>2598</v>
      </c>
      <c r="H835" s="5" t="s">
        <v>2599</v>
      </c>
      <c r="I835" s="5" t="s">
        <v>212</v>
      </c>
      <c r="N835" s="5" t="s">
        <v>2600</v>
      </c>
      <c r="O835" s="5">
        <v>24.75</v>
      </c>
      <c r="P835" s="5">
        <v>25.77</v>
      </c>
      <c r="Q835" s="5">
        <v>24.55</v>
      </c>
      <c r="R835" s="5">
        <v>24.72</v>
      </c>
      <c r="S835" s="5">
        <v>24.55</v>
      </c>
      <c r="T835" s="5">
        <v>24.54</v>
      </c>
      <c r="V835" s="5">
        <v>24.72</v>
      </c>
      <c r="Y835" s="5">
        <v>2970</v>
      </c>
      <c r="Z835" s="5">
        <v>74048.75</v>
      </c>
      <c r="AA835" s="5">
        <v>47</v>
      </c>
      <c r="AB835" s="5" t="s">
        <v>85</v>
      </c>
      <c r="AC835" s="5">
        <v>1</v>
      </c>
    </row>
    <row r="836" spans="1:29" x14ac:dyDescent="0.3">
      <c r="A836" s="34">
        <v>46274</v>
      </c>
      <c r="B836" s="34">
        <v>46274</v>
      </c>
      <c r="C836" s="5" t="s">
        <v>78</v>
      </c>
      <c r="D836" s="5" t="s">
        <v>79</v>
      </c>
      <c r="E836" s="5" t="s">
        <v>80</v>
      </c>
      <c r="F836" s="5">
        <v>21247</v>
      </c>
      <c r="G836" s="5" t="s">
        <v>2601</v>
      </c>
      <c r="H836" s="5" t="s">
        <v>2602</v>
      </c>
      <c r="I836" s="5" t="s">
        <v>212</v>
      </c>
      <c r="N836" s="5" t="s">
        <v>2603</v>
      </c>
      <c r="O836" s="5">
        <v>18</v>
      </c>
      <c r="P836" s="5">
        <v>18</v>
      </c>
      <c r="Q836" s="5">
        <v>17.260000000000002</v>
      </c>
      <c r="R836" s="5">
        <v>17.46</v>
      </c>
      <c r="S836" s="5">
        <v>17.73</v>
      </c>
      <c r="T836" s="5">
        <v>17.73</v>
      </c>
      <c r="V836" s="5">
        <v>17.25</v>
      </c>
      <c r="Y836" s="5">
        <v>9623</v>
      </c>
      <c r="Z836" s="5">
        <v>168875.38</v>
      </c>
      <c r="AA836" s="5">
        <v>93</v>
      </c>
      <c r="AB836" s="5" t="s">
        <v>85</v>
      </c>
      <c r="AC836" s="5">
        <v>1</v>
      </c>
    </row>
    <row r="837" spans="1:29" x14ac:dyDescent="0.3">
      <c r="A837" s="34">
        <v>46274</v>
      </c>
      <c r="B837" s="34">
        <v>46274</v>
      </c>
      <c r="C837" s="5" t="s">
        <v>78</v>
      </c>
      <c r="D837" s="5" t="s">
        <v>79</v>
      </c>
      <c r="E837" s="5" t="s">
        <v>80</v>
      </c>
      <c r="F837" s="5">
        <v>19138</v>
      </c>
      <c r="G837" s="5" t="s">
        <v>2604</v>
      </c>
      <c r="H837" s="5" t="s">
        <v>2605</v>
      </c>
      <c r="I837" s="5" t="s">
        <v>313</v>
      </c>
      <c r="N837" s="5" t="s">
        <v>2606</v>
      </c>
      <c r="O837" s="5">
        <v>39.950000000000003</v>
      </c>
      <c r="P837" s="5">
        <v>43</v>
      </c>
      <c r="Q837" s="5">
        <v>38.549999999999997</v>
      </c>
      <c r="R837" s="5">
        <v>39.049999999999997</v>
      </c>
      <c r="S837" s="5">
        <v>39</v>
      </c>
      <c r="T837" s="5">
        <v>39.950000000000003</v>
      </c>
      <c r="V837" s="5">
        <v>39.049999999999997</v>
      </c>
      <c r="Y837" s="5">
        <v>48400</v>
      </c>
      <c r="Z837" s="5">
        <v>1957040</v>
      </c>
      <c r="AA837" s="5">
        <v>85</v>
      </c>
      <c r="AB837" s="5" t="s">
        <v>85</v>
      </c>
      <c r="AC837" s="5">
        <v>400</v>
      </c>
    </row>
    <row r="838" spans="1:29" x14ac:dyDescent="0.3">
      <c r="A838" s="34">
        <v>46274</v>
      </c>
      <c r="B838" s="34">
        <v>46274</v>
      </c>
      <c r="C838" s="5" t="s">
        <v>78</v>
      </c>
      <c r="D838" s="5" t="s">
        <v>79</v>
      </c>
      <c r="E838" s="5" t="s">
        <v>80</v>
      </c>
      <c r="F838" s="5">
        <v>16683</v>
      </c>
      <c r="G838" s="5" t="s">
        <v>2607</v>
      </c>
      <c r="H838" s="5" t="s">
        <v>2608</v>
      </c>
      <c r="I838" s="5" t="s">
        <v>212</v>
      </c>
      <c r="N838" s="5" t="s">
        <v>2609</v>
      </c>
      <c r="O838" s="5">
        <v>17.09</v>
      </c>
      <c r="P838" s="5">
        <v>17.09</v>
      </c>
      <c r="Q838" s="5">
        <v>16.07</v>
      </c>
      <c r="R838" s="5">
        <v>16.309999999999999</v>
      </c>
      <c r="S838" s="5">
        <v>16.29</v>
      </c>
      <c r="T838" s="5">
        <v>16.91</v>
      </c>
      <c r="V838" s="5">
        <v>16.309999999999999</v>
      </c>
      <c r="Y838" s="5">
        <v>179178</v>
      </c>
      <c r="Z838" s="5">
        <v>2927024.62</v>
      </c>
      <c r="AA838" s="5">
        <v>534</v>
      </c>
      <c r="AB838" s="5" t="s">
        <v>85</v>
      </c>
      <c r="AC838" s="5">
        <v>1</v>
      </c>
    </row>
    <row r="839" spans="1:29" x14ac:dyDescent="0.3">
      <c r="A839" s="34">
        <v>46274</v>
      </c>
      <c r="B839" s="34">
        <v>46274</v>
      </c>
      <c r="C839" s="5" t="s">
        <v>78</v>
      </c>
      <c r="D839" s="5" t="s">
        <v>79</v>
      </c>
      <c r="E839" s="5" t="s">
        <v>80</v>
      </c>
      <c r="F839" s="5">
        <v>757515</v>
      </c>
      <c r="G839" s="5" t="s">
        <v>2610</v>
      </c>
      <c r="H839" s="5" t="s">
        <v>2611</v>
      </c>
      <c r="I839" s="5" t="s">
        <v>212</v>
      </c>
      <c r="N839" s="5" t="s">
        <v>2612</v>
      </c>
      <c r="O839" s="5">
        <v>95</v>
      </c>
      <c r="P839" s="5">
        <v>95</v>
      </c>
      <c r="Q839" s="5">
        <v>92.12</v>
      </c>
      <c r="R839" s="5">
        <v>92.69</v>
      </c>
      <c r="S839" s="5">
        <v>93</v>
      </c>
      <c r="T839" s="5">
        <v>93.42</v>
      </c>
      <c r="V839" s="5">
        <v>92.69</v>
      </c>
      <c r="Y839" s="5">
        <v>115088</v>
      </c>
      <c r="Z839" s="5">
        <v>10766624.060000001</v>
      </c>
      <c r="AA839" s="5">
        <v>1482</v>
      </c>
      <c r="AB839" s="5" t="s">
        <v>85</v>
      </c>
      <c r="AC839" s="5">
        <v>1</v>
      </c>
    </row>
    <row r="840" spans="1:29" x14ac:dyDescent="0.3">
      <c r="A840" s="34">
        <v>46274</v>
      </c>
      <c r="B840" s="34">
        <v>46274</v>
      </c>
      <c r="C840" s="5" t="s">
        <v>78</v>
      </c>
      <c r="D840" s="5" t="s">
        <v>79</v>
      </c>
      <c r="E840" s="5" t="s">
        <v>80</v>
      </c>
      <c r="F840" s="5">
        <v>6127</v>
      </c>
      <c r="G840" s="5" t="s">
        <v>2613</v>
      </c>
      <c r="H840" s="5" t="s">
        <v>2614</v>
      </c>
      <c r="I840" s="5" t="s">
        <v>212</v>
      </c>
      <c r="N840" s="5" t="s">
        <v>2615</v>
      </c>
      <c r="O840" s="5">
        <v>52.9</v>
      </c>
      <c r="P840" s="5">
        <v>53.5</v>
      </c>
      <c r="Q840" s="5">
        <v>51.5</v>
      </c>
      <c r="R840" s="5">
        <v>51.54</v>
      </c>
      <c r="S840" s="5">
        <v>51.5</v>
      </c>
      <c r="T840" s="5">
        <v>51.78</v>
      </c>
      <c r="V840" s="5">
        <v>51.51</v>
      </c>
      <c r="Y840" s="5">
        <v>8674</v>
      </c>
      <c r="Z840" s="5">
        <v>455220.21</v>
      </c>
      <c r="AA840" s="5">
        <v>56</v>
      </c>
      <c r="AB840" s="5" t="s">
        <v>85</v>
      </c>
      <c r="AC840" s="5">
        <v>1</v>
      </c>
    </row>
    <row r="841" spans="1:29" x14ac:dyDescent="0.3">
      <c r="A841" s="34">
        <v>46274</v>
      </c>
      <c r="B841" s="34">
        <v>46274</v>
      </c>
      <c r="C841" s="5" t="s">
        <v>78</v>
      </c>
      <c r="D841" s="5" t="s">
        <v>79</v>
      </c>
      <c r="E841" s="5" t="s">
        <v>80</v>
      </c>
      <c r="F841" s="5">
        <v>641</v>
      </c>
      <c r="G841" s="5" t="s">
        <v>2616</v>
      </c>
      <c r="H841" s="5" t="s">
        <v>2617</v>
      </c>
      <c r="I841" s="5" t="s">
        <v>212</v>
      </c>
      <c r="N841" s="5" t="s">
        <v>2618</v>
      </c>
      <c r="O841" s="5">
        <v>2.56</v>
      </c>
      <c r="P841" s="5">
        <v>2.6</v>
      </c>
      <c r="Q841" s="5">
        <v>2.5</v>
      </c>
      <c r="R841" s="5">
        <v>2.5099999999999998</v>
      </c>
      <c r="S841" s="5">
        <v>2.58</v>
      </c>
      <c r="T841" s="5">
        <v>2.61</v>
      </c>
      <c r="V841" s="5">
        <v>2.5099999999999998</v>
      </c>
      <c r="Y841" s="5">
        <v>63545</v>
      </c>
      <c r="Z841" s="5">
        <v>161108.39000000001</v>
      </c>
      <c r="AA841" s="5">
        <v>150</v>
      </c>
      <c r="AB841" s="5" t="s">
        <v>85</v>
      </c>
      <c r="AC841" s="5">
        <v>1</v>
      </c>
    </row>
    <row r="842" spans="1:29" x14ac:dyDescent="0.3">
      <c r="A842" s="34">
        <v>46274</v>
      </c>
      <c r="B842" s="34">
        <v>46274</v>
      </c>
      <c r="C842" s="5" t="s">
        <v>78</v>
      </c>
      <c r="D842" s="5" t="s">
        <v>79</v>
      </c>
      <c r="E842" s="5" t="s">
        <v>80</v>
      </c>
      <c r="F842" s="5">
        <v>18086</v>
      </c>
      <c r="G842" s="5" t="s">
        <v>2619</v>
      </c>
      <c r="H842" s="5" t="s">
        <v>2620</v>
      </c>
      <c r="I842" s="5" t="s">
        <v>212</v>
      </c>
      <c r="N842" s="5" t="s">
        <v>2621</v>
      </c>
      <c r="O842" s="5">
        <v>393.15</v>
      </c>
      <c r="P842" s="5">
        <v>399.7</v>
      </c>
      <c r="Q842" s="5">
        <v>391</v>
      </c>
      <c r="R842" s="5">
        <v>393</v>
      </c>
      <c r="S842" s="5">
        <v>394</v>
      </c>
      <c r="T842" s="5">
        <v>393.55</v>
      </c>
      <c r="V842" s="5">
        <v>392.99</v>
      </c>
      <c r="Y842" s="5">
        <v>82862</v>
      </c>
      <c r="Z842" s="5">
        <v>32769855.199999999</v>
      </c>
      <c r="AA842" s="5">
        <v>3684</v>
      </c>
      <c r="AB842" s="5" t="s">
        <v>85</v>
      </c>
      <c r="AC842" s="5">
        <v>1</v>
      </c>
    </row>
    <row r="843" spans="1:29" x14ac:dyDescent="0.3">
      <c r="A843" s="34">
        <v>46274</v>
      </c>
      <c r="B843" s="34">
        <v>46274</v>
      </c>
      <c r="C843" s="5" t="s">
        <v>78</v>
      </c>
      <c r="D843" s="5" t="s">
        <v>79</v>
      </c>
      <c r="E843" s="5" t="s">
        <v>80</v>
      </c>
      <c r="F843" s="5">
        <v>762643</v>
      </c>
      <c r="G843" s="5" t="s">
        <v>2622</v>
      </c>
      <c r="H843" s="5" t="s">
        <v>2623</v>
      </c>
      <c r="I843" s="5" t="s">
        <v>212</v>
      </c>
      <c r="N843" s="5" t="s">
        <v>2624</v>
      </c>
      <c r="O843" s="5">
        <v>11813</v>
      </c>
      <c r="P843" s="5">
        <v>11999</v>
      </c>
      <c r="Q843" s="5">
        <v>11733</v>
      </c>
      <c r="R843" s="5">
        <v>11929</v>
      </c>
      <c r="S843" s="5">
        <v>11999</v>
      </c>
      <c r="T843" s="5">
        <v>11926</v>
      </c>
      <c r="V843" s="5">
        <v>11929</v>
      </c>
      <c r="Y843" s="5">
        <v>330</v>
      </c>
      <c r="Z843" s="5">
        <v>3903331</v>
      </c>
      <c r="AA843" s="5">
        <v>177</v>
      </c>
      <c r="AB843" s="5" t="s">
        <v>85</v>
      </c>
      <c r="AC843" s="5">
        <v>1</v>
      </c>
    </row>
    <row r="844" spans="1:29" x14ac:dyDescent="0.3">
      <c r="A844" s="34">
        <v>46274</v>
      </c>
      <c r="B844" s="34">
        <v>46274</v>
      </c>
      <c r="C844" s="5" t="s">
        <v>78</v>
      </c>
      <c r="D844" s="5" t="s">
        <v>79</v>
      </c>
      <c r="E844" s="5" t="s">
        <v>80</v>
      </c>
      <c r="F844" s="5">
        <v>14537</v>
      </c>
      <c r="G844" s="5" t="s">
        <v>2625</v>
      </c>
      <c r="H844" s="5" t="s">
        <v>2626</v>
      </c>
      <c r="I844" s="5" t="s">
        <v>212</v>
      </c>
      <c r="N844" s="5" t="s">
        <v>2627</v>
      </c>
      <c r="O844" s="5">
        <v>2.56</v>
      </c>
      <c r="P844" s="5">
        <v>2.56</v>
      </c>
      <c r="Q844" s="5">
        <v>2.48</v>
      </c>
      <c r="R844" s="5">
        <v>2.5</v>
      </c>
      <c r="S844" s="5">
        <v>2.5</v>
      </c>
      <c r="T844" s="5">
        <v>2.54</v>
      </c>
      <c r="V844" s="5">
        <v>2.5</v>
      </c>
      <c r="Y844" s="5">
        <v>997546</v>
      </c>
      <c r="Z844" s="5">
        <v>2498226.54</v>
      </c>
      <c r="AA844" s="5">
        <v>1324</v>
      </c>
      <c r="AB844" s="5" t="s">
        <v>85</v>
      </c>
      <c r="AC844" s="5">
        <v>1</v>
      </c>
    </row>
    <row r="845" spans="1:29" x14ac:dyDescent="0.3">
      <c r="A845" s="34">
        <v>46274</v>
      </c>
      <c r="B845" s="34">
        <v>46274</v>
      </c>
      <c r="C845" s="5" t="s">
        <v>78</v>
      </c>
      <c r="D845" s="5" t="s">
        <v>79</v>
      </c>
      <c r="E845" s="5" t="s">
        <v>80</v>
      </c>
      <c r="F845" s="5">
        <v>21704</v>
      </c>
      <c r="G845" s="5" t="s">
        <v>2628</v>
      </c>
      <c r="H845" s="5" t="s">
        <v>2629</v>
      </c>
      <c r="I845" s="5" t="s">
        <v>212</v>
      </c>
      <c r="N845" s="5" t="s">
        <v>2630</v>
      </c>
      <c r="O845" s="5">
        <v>174</v>
      </c>
      <c r="P845" s="5">
        <v>174.29</v>
      </c>
      <c r="Q845" s="5">
        <v>169.99</v>
      </c>
      <c r="R845" s="5">
        <v>170.59</v>
      </c>
      <c r="S845" s="5">
        <v>170.2</v>
      </c>
      <c r="T845" s="5">
        <v>173.98</v>
      </c>
      <c r="V845" s="5">
        <v>170.59</v>
      </c>
      <c r="Y845" s="5">
        <v>148123</v>
      </c>
      <c r="Z845" s="5">
        <v>25412717.690000001</v>
      </c>
      <c r="AA845" s="5">
        <v>2880</v>
      </c>
      <c r="AB845" s="5" t="s">
        <v>85</v>
      </c>
      <c r="AC845" s="5">
        <v>1</v>
      </c>
    </row>
    <row r="846" spans="1:29" x14ac:dyDescent="0.3">
      <c r="A846" s="34">
        <v>46274</v>
      </c>
      <c r="B846" s="34">
        <v>46274</v>
      </c>
      <c r="C846" s="5" t="s">
        <v>78</v>
      </c>
      <c r="D846" s="5" t="s">
        <v>79</v>
      </c>
      <c r="E846" s="5" t="s">
        <v>80</v>
      </c>
      <c r="F846" s="5">
        <v>14479</v>
      </c>
      <c r="G846" s="5" t="s">
        <v>2631</v>
      </c>
      <c r="H846" s="5" t="s">
        <v>2632</v>
      </c>
      <c r="I846" s="5" t="s">
        <v>212</v>
      </c>
      <c r="N846" s="5" t="s">
        <v>2633</v>
      </c>
      <c r="O846" s="5">
        <v>1202.5999999999999</v>
      </c>
      <c r="P846" s="5">
        <v>1202.5999999999999</v>
      </c>
      <c r="Q846" s="5">
        <v>1142.0999999999999</v>
      </c>
      <c r="R846" s="5">
        <v>1149.5999999999999</v>
      </c>
      <c r="S846" s="5">
        <v>1149.9000000000001</v>
      </c>
      <c r="T846" s="5">
        <v>1189.3</v>
      </c>
      <c r="V846" s="5">
        <v>1149.5999999999999</v>
      </c>
      <c r="Y846" s="5">
        <v>159356</v>
      </c>
      <c r="Z846" s="5">
        <v>184755524.90000001</v>
      </c>
      <c r="AA846" s="5">
        <v>11324</v>
      </c>
      <c r="AB846" s="5" t="s">
        <v>85</v>
      </c>
      <c r="AC846" s="5">
        <v>1</v>
      </c>
    </row>
    <row r="847" spans="1:29" x14ac:dyDescent="0.3">
      <c r="A847" s="34">
        <v>46274</v>
      </c>
      <c r="B847" s="34">
        <v>46274</v>
      </c>
      <c r="C847" s="5" t="s">
        <v>78</v>
      </c>
      <c r="D847" s="5" t="s">
        <v>79</v>
      </c>
      <c r="E847" s="5" t="s">
        <v>80</v>
      </c>
      <c r="F847" s="5">
        <v>10940</v>
      </c>
      <c r="G847" s="5" t="s">
        <v>2634</v>
      </c>
      <c r="H847" s="5" t="s">
        <v>2635</v>
      </c>
      <c r="I847" s="5" t="s">
        <v>212</v>
      </c>
      <c r="N847" s="5" t="s">
        <v>2636</v>
      </c>
      <c r="O847" s="5">
        <v>9575</v>
      </c>
      <c r="P847" s="5">
        <v>9615</v>
      </c>
      <c r="Q847" s="5">
        <v>9410</v>
      </c>
      <c r="R847" s="5">
        <v>9488</v>
      </c>
      <c r="S847" s="5">
        <v>9488</v>
      </c>
      <c r="T847" s="5">
        <v>9575</v>
      </c>
      <c r="V847" s="5">
        <v>9487.98</v>
      </c>
      <c r="Y847" s="5">
        <v>385273</v>
      </c>
      <c r="Z847" s="5">
        <v>3654784743</v>
      </c>
      <c r="AA847" s="5">
        <v>47522</v>
      </c>
      <c r="AB847" s="5" t="s">
        <v>85</v>
      </c>
      <c r="AC847" s="5">
        <v>1</v>
      </c>
    </row>
    <row r="848" spans="1:29" x14ac:dyDescent="0.3">
      <c r="A848" s="34">
        <v>46274</v>
      </c>
      <c r="B848" s="34">
        <v>46274</v>
      </c>
      <c r="C848" s="5" t="s">
        <v>78</v>
      </c>
      <c r="D848" s="5" t="s">
        <v>79</v>
      </c>
      <c r="E848" s="5" t="s">
        <v>80</v>
      </c>
      <c r="F848" s="5">
        <v>30262</v>
      </c>
      <c r="G848" s="5" t="s">
        <v>2637</v>
      </c>
      <c r="H848" s="5" t="s">
        <v>2638</v>
      </c>
      <c r="I848" s="5" t="s">
        <v>392</v>
      </c>
      <c r="N848" s="5" t="s">
        <v>2639</v>
      </c>
      <c r="O848" s="5">
        <v>114.5</v>
      </c>
      <c r="P848" s="5">
        <v>114.5</v>
      </c>
      <c r="Q848" s="5">
        <v>108.55</v>
      </c>
      <c r="R848" s="5">
        <v>112.8</v>
      </c>
      <c r="S848" s="5">
        <v>112.8</v>
      </c>
      <c r="T848" s="5">
        <v>111</v>
      </c>
      <c r="V848" s="5">
        <v>112.8</v>
      </c>
      <c r="Y848" s="5">
        <v>3600</v>
      </c>
      <c r="Z848" s="5">
        <v>403020</v>
      </c>
      <c r="AA848" s="5">
        <v>3</v>
      </c>
      <c r="AB848" s="5" t="s">
        <v>85</v>
      </c>
      <c r="AC848" s="5">
        <v>1200</v>
      </c>
    </row>
    <row r="849" spans="1:29" x14ac:dyDescent="0.3">
      <c r="A849" s="34">
        <v>46274</v>
      </c>
      <c r="B849" s="34">
        <v>46274</v>
      </c>
      <c r="C849" s="5" t="s">
        <v>78</v>
      </c>
      <c r="D849" s="5" t="s">
        <v>79</v>
      </c>
      <c r="E849" s="5" t="s">
        <v>80</v>
      </c>
      <c r="F849" s="5">
        <v>24286</v>
      </c>
      <c r="G849" s="5" t="s">
        <v>2640</v>
      </c>
      <c r="H849" s="5" t="s">
        <v>2641</v>
      </c>
      <c r="I849" s="5" t="s">
        <v>313</v>
      </c>
      <c r="N849" s="5" t="s">
        <v>2642</v>
      </c>
      <c r="O849" s="5">
        <v>627.95000000000005</v>
      </c>
      <c r="P849" s="5">
        <v>638.9</v>
      </c>
      <c r="Q849" s="5">
        <v>626</v>
      </c>
      <c r="R849" s="5">
        <v>636.35</v>
      </c>
      <c r="S849" s="5">
        <v>638.9</v>
      </c>
      <c r="T849" s="5">
        <v>621.75</v>
      </c>
      <c r="V849" s="5">
        <v>636.35</v>
      </c>
      <c r="Y849" s="5">
        <v>54500</v>
      </c>
      <c r="Z849" s="5">
        <v>34517225</v>
      </c>
      <c r="AA849" s="5">
        <v>90</v>
      </c>
      <c r="AB849" s="5" t="s">
        <v>85</v>
      </c>
      <c r="AC849" s="5">
        <v>500</v>
      </c>
    </row>
    <row r="850" spans="1:29" x14ac:dyDescent="0.3">
      <c r="A850" s="34">
        <v>46274</v>
      </c>
      <c r="B850" s="34">
        <v>46274</v>
      </c>
      <c r="C850" s="5" t="s">
        <v>78</v>
      </c>
      <c r="D850" s="5" t="s">
        <v>79</v>
      </c>
      <c r="E850" s="5" t="s">
        <v>80</v>
      </c>
      <c r="F850" s="5">
        <v>25680</v>
      </c>
      <c r="G850" s="5" t="s">
        <v>2643</v>
      </c>
      <c r="H850" s="5" t="s">
        <v>2644</v>
      </c>
      <c r="I850" s="5" t="s">
        <v>392</v>
      </c>
      <c r="N850" s="5" t="s">
        <v>2645</v>
      </c>
      <c r="O850" s="5">
        <v>48.9</v>
      </c>
      <c r="P850" s="5">
        <v>48.9</v>
      </c>
      <c r="Q850" s="5">
        <v>46.75</v>
      </c>
      <c r="R850" s="5">
        <v>46.75</v>
      </c>
      <c r="S850" s="5">
        <v>46.75</v>
      </c>
      <c r="T850" s="5">
        <v>48.9</v>
      </c>
      <c r="V850" s="5">
        <v>46.75</v>
      </c>
      <c r="Y850" s="5">
        <v>12000</v>
      </c>
      <c r="Z850" s="5">
        <v>582500</v>
      </c>
      <c r="AA850" s="5">
        <v>2</v>
      </c>
      <c r="AB850" s="5" t="s">
        <v>85</v>
      </c>
      <c r="AC850" s="5">
        <v>2000</v>
      </c>
    </row>
    <row r="851" spans="1:29" x14ac:dyDescent="0.3">
      <c r="A851" s="34">
        <v>46274</v>
      </c>
      <c r="B851" s="34">
        <v>46274</v>
      </c>
      <c r="C851" s="5" t="s">
        <v>78</v>
      </c>
      <c r="D851" s="5" t="s">
        <v>79</v>
      </c>
      <c r="E851" s="5" t="s">
        <v>80</v>
      </c>
      <c r="F851" s="5">
        <v>21690</v>
      </c>
      <c r="G851" s="5" t="s">
        <v>2646</v>
      </c>
      <c r="H851" s="5" t="s">
        <v>2647</v>
      </c>
      <c r="I851" s="5" t="s">
        <v>212</v>
      </c>
      <c r="N851" s="5" t="s">
        <v>2648</v>
      </c>
      <c r="O851" s="5">
        <v>14100</v>
      </c>
      <c r="P851" s="5">
        <v>14271</v>
      </c>
      <c r="Q851" s="5">
        <v>13773</v>
      </c>
      <c r="R851" s="5">
        <v>13845</v>
      </c>
      <c r="S851" s="5">
        <v>13845</v>
      </c>
      <c r="T851" s="5">
        <v>14100</v>
      </c>
      <c r="V851" s="5">
        <v>13843.39</v>
      </c>
      <c r="Y851" s="5">
        <v>368566</v>
      </c>
      <c r="Z851" s="5">
        <v>5160210198</v>
      </c>
      <c r="AA851" s="5">
        <v>55307</v>
      </c>
      <c r="AB851" s="5" t="s">
        <v>85</v>
      </c>
      <c r="AC851" s="5">
        <v>1</v>
      </c>
    </row>
    <row r="852" spans="1:29" x14ac:dyDescent="0.3">
      <c r="A852" s="34">
        <v>46274</v>
      </c>
      <c r="B852" s="34">
        <v>46274</v>
      </c>
      <c r="C852" s="5" t="s">
        <v>78</v>
      </c>
      <c r="D852" s="5" t="s">
        <v>79</v>
      </c>
      <c r="E852" s="5" t="s">
        <v>80</v>
      </c>
      <c r="F852" s="5">
        <v>12749</v>
      </c>
      <c r="G852" s="5" t="s">
        <v>2649</v>
      </c>
      <c r="H852" s="5" t="s">
        <v>2650</v>
      </c>
      <c r="I852" s="5" t="s">
        <v>212</v>
      </c>
      <c r="N852" s="5" t="s">
        <v>2651</v>
      </c>
      <c r="O852" s="5">
        <v>74.67</v>
      </c>
      <c r="P852" s="5">
        <v>82.9</v>
      </c>
      <c r="Q852" s="5">
        <v>74.67</v>
      </c>
      <c r="R852" s="5">
        <v>82.03</v>
      </c>
      <c r="S852" s="5">
        <v>82.9</v>
      </c>
      <c r="T852" s="5">
        <v>76.08</v>
      </c>
      <c r="V852" s="5">
        <v>82.02</v>
      </c>
      <c r="Y852" s="5">
        <v>227969</v>
      </c>
      <c r="Z852" s="5">
        <v>18462753.510000002</v>
      </c>
      <c r="AA852" s="5">
        <v>3676</v>
      </c>
      <c r="AB852" s="5" t="s">
        <v>85</v>
      </c>
      <c r="AC852" s="5">
        <v>1</v>
      </c>
    </row>
    <row r="853" spans="1:29" x14ac:dyDescent="0.3">
      <c r="A853" s="34">
        <v>46274</v>
      </c>
      <c r="B853" s="34">
        <v>46274</v>
      </c>
      <c r="C853" s="5" t="s">
        <v>78</v>
      </c>
      <c r="D853" s="5" t="s">
        <v>79</v>
      </c>
      <c r="E853" s="5" t="s">
        <v>80</v>
      </c>
      <c r="F853" s="5">
        <v>14732</v>
      </c>
      <c r="G853" s="5" t="s">
        <v>2652</v>
      </c>
      <c r="H853" s="5" t="s">
        <v>2653</v>
      </c>
      <c r="I853" s="5" t="s">
        <v>212</v>
      </c>
      <c r="N853" s="5" t="s">
        <v>2654</v>
      </c>
      <c r="O853" s="5">
        <v>670.2</v>
      </c>
      <c r="P853" s="5">
        <v>672.1</v>
      </c>
      <c r="Q853" s="5">
        <v>654.70000000000005</v>
      </c>
      <c r="R853" s="5">
        <v>655.1</v>
      </c>
      <c r="S853" s="5">
        <v>655.1</v>
      </c>
      <c r="T853" s="5">
        <v>675.1</v>
      </c>
      <c r="V853" s="5">
        <v>655.11</v>
      </c>
      <c r="Y853" s="5">
        <v>17000327</v>
      </c>
      <c r="Z853" s="5">
        <v>11336022618.5</v>
      </c>
      <c r="AA853" s="5">
        <v>66484</v>
      </c>
      <c r="AB853" s="5" t="s">
        <v>85</v>
      </c>
      <c r="AC853" s="5">
        <v>1</v>
      </c>
    </row>
    <row r="854" spans="1:29" x14ac:dyDescent="0.3">
      <c r="A854" s="34">
        <v>46274</v>
      </c>
      <c r="B854" s="34">
        <v>46274</v>
      </c>
      <c r="C854" s="5" t="s">
        <v>78</v>
      </c>
      <c r="D854" s="5" t="s">
        <v>79</v>
      </c>
      <c r="E854" s="5" t="s">
        <v>80</v>
      </c>
      <c r="F854" s="5">
        <v>6973</v>
      </c>
      <c r="G854" s="5" t="s">
        <v>2655</v>
      </c>
      <c r="H854" s="5" t="s">
        <v>2656</v>
      </c>
      <c r="I854" s="5" t="s">
        <v>212</v>
      </c>
      <c r="N854" s="5" t="s">
        <v>2657</v>
      </c>
      <c r="O854" s="5">
        <v>290.39999999999998</v>
      </c>
      <c r="P854" s="5">
        <v>293.8</v>
      </c>
      <c r="Q854" s="5">
        <v>286.45</v>
      </c>
      <c r="R854" s="5">
        <v>288.89999999999998</v>
      </c>
      <c r="S854" s="5">
        <v>286.55</v>
      </c>
      <c r="T854" s="5">
        <v>290.39999999999998</v>
      </c>
      <c r="V854" s="5">
        <v>288.85000000000002</v>
      </c>
      <c r="Y854" s="5">
        <v>28914</v>
      </c>
      <c r="Z854" s="5">
        <v>8375134.4500000002</v>
      </c>
      <c r="AA854" s="5">
        <v>1116</v>
      </c>
      <c r="AB854" s="5" t="s">
        <v>85</v>
      </c>
      <c r="AC854" s="5">
        <v>1</v>
      </c>
    </row>
    <row r="855" spans="1:29" x14ac:dyDescent="0.3">
      <c r="A855" s="34">
        <v>46274</v>
      </c>
      <c r="B855" s="34">
        <v>46274</v>
      </c>
      <c r="C855" s="5" t="s">
        <v>78</v>
      </c>
      <c r="D855" s="5" t="s">
        <v>79</v>
      </c>
      <c r="E855" s="5" t="s">
        <v>80</v>
      </c>
      <c r="F855" s="5">
        <v>4822</v>
      </c>
      <c r="G855" s="5" t="s">
        <v>2658</v>
      </c>
      <c r="H855" s="5" t="s">
        <v>2659</v>
      </c>
      <c r="I855" s="5" t="s">
        <v>212</v>
      </c>
      <c r="N855" s="5" t="s">
        <v>2660</v>
      </c>
      <c r="O855" s="5">
        <v>1085</v>
      </c>
      <c r="P855" s="5">
        <v>1116.5999999999999</v>
      </c>
      <c r="Q855" s="5">
        <v>1081.8</v>
      </c>
      <c r="R855" s="5">
        <v>1096.9000000000001</v>
      </c>
      <c r="S855" s="5">
        <v>1088</v>
      </c>
      <c r="T855" s="5">
        <v>1081.7</v>
      </c>
      <c r="V855" s="5">
        <v>1096.94</v>
      </c>
      <c r="Y855" s="5">
        <v>37872</v>
      </c>
      <c r="Z855" s="5">
        <v>41525020.399999999</v>
      </c>
      <c r="AA855" s="5">
        <v>5199</v>
      </c>
      <c r="AB855" s="5" t="s">
        <v>85</v>
      </c>
      <c r="AC855" s="5">
        <v>1</v>
      </c>
    </row>
    <row r="856" spans="1:29" x14ac:dyDescent="0.3">
      <c r="A856" s="34">
        <v>46274</v>
      </c>
      <c r="B856" s="34">
        <v>46274</v>
      </c>
      <c r="C856" s="5" t="s">
        <v>78</v>
      </c>
      <c r="D856" s="5" t="s">
        <v>79</v>
      </c>
      <c r="E856" s="5" t="s">
        <v>80</v>
      </c>
      <c r="F856" s="5">
        <v>12124</v>
      </c>
      <c r="G856" s="5" t="s">
        <v>2661</v>
      </c>
      <c r="H856" s="5" t="s">
        <v>2662</v>
      </c>
      <c r="I856" s="5" t="s">
        <v>212</v>
      </c>
      <c r="N856" s="5" t="s">
        <v>2663</v>
      </c>
      <c r="O856" s="5">
        <v>70.37</v>
      </c>
      <c r="P856" s="5">
        <v>70.7</v>
      </c>
      <c r="Q856" s="5">
        <v>69</v>
      </c>
      <c r="R856" s="5">
        <v>69.38</v>
      </c>
      <c r="S856" s="5">
        <v>69.11</v>
      </c>
      <c r="T856" s="5">
        <v>70.7</v>
      </c>
      <c r="V856" s="5">
        <v>69.41</v>
      </c>
      <c r="Y856" s="5">
        <v>76139</v>
      </c>
      <c r="Z856" s="5">
        <v>5299478.67</v>
      </c>
      <c r="AA856" s="5">
        <v>1141</v>
      </c>
      <c r="AB856" s="5" t="s">
        <v>85</v>
      </c>
      <c r="AC856" s="5">
        <v>1</v>
      </c>
    </row>
    <row r="857" spans="1:29" x14ac:dyDescent="0.3">
      <c r="A857" s="34">
        <v>46274</v>
      </c>
      <c r="B857" s="34">
        <v>46274</v>
      </c>
      <c r="C857" s="5" t="s">
        <v>78</v>
      </c>
      <c r="D857" s="5" t="s">
        <v>79</v>
      </c>
      <c r="E857" s="5" t="s">
        <v>80</v>
      </c>
      <c r="F857" s="5">
        <v>20560</v>
      </c>
      <c r="G857" s="5" t="s">
        <v>2664</v>
      </c>
      <c r="H857" s="5" t="s">
        <v>2665</v>
      </c>
      <c r="I857" s="5" t="s">
        <v>212</v>
      </c>
      <c r="N857" s="5" t="s">
        <v>2666</v>
      </c>
      <c r="O857" s="5">
        <v>263.8</v>
      </c>
      <c r="P857" s="5">
        <v>276.45</v>
      </c>
      <c r="Q857" s="5">
        <v>261.14999999999998</v>
      </c>
      <c r="R857" s="5">
        <v>273.10000000000002</v>
      </c>
      <c r="S857" s="5">
        <v>275</v>
      </c>
      <c r="T857" s="5">
        <v>264.75</v>
      </c>
      <c r="V857" s="5">
        <v>273.14</v>
      </c>
      <c r="Y857" s="5">
        <v>189227</v>
      </c>
      <c r="Z857" s="5">
        <v>51239393.899999999</v>
      </c>
      <c r="AA857" s="5">
        <v>4681</v>
      </c>
      <c r="AB857" s="5" t="s">
        <v>85</v>
      </c>
      <c r="AC857" s="5">
        <v>1</v>
      </c>
    </row>
    <row r="858" spans="1:29" x14ac:dyDescent="0.3">
      <c r="A858" s="34">
        <v>46274</v>
      </c>
      <c r="B858" s="34">
        <v>46274</v>
      </c>
      <c r="C858" s="5" t="s">
        <v>78</v>
      </c>
      <c r="D858" s="5" t="s">
        <v>79</v>
      </c>
      <c r="E858" s="5" t="s">
        <v>80</v>
      </c>
      <c r="F858" s="5">
        <v>13323</v>
      </c>
      <c r="G858" s="5" t="s">
        <v>2667</v>
      </c>
      <c r="H858" s="5" t="s">
        <v>2668</v>
      </c>
      <c r="I858" s="5" t="s">
        <v>313</v>
      </c>
      <c r="N858" s="5" t="s">
        <v>2669</v>
      </c>
      <c r="O858" s="5">
        <v>39.450000000000003</v>
      </c>
      <c r="P858" s="5">
        <v>39.9</v>
      </c>
      <c r="Q858" s="5">
        <v>39.1</v>
      </c>
      <c r="R858" s="5">
        <v>39.75</v>
      </c>
      <c r="S858" s="5">
        <v>39.6</v>
      </c>
      <c r="T858" s="5">
        <v>38.1</v>
      </c>
      <c r="V858" s="5">
        <v>39.75</v>
      </c>
      <c r="Y858" s="5">
        <v>68000</v>
      </c>
      <c r="Z858" s="5">
        <v>2688400</v>
      </c>
      <c r="AA858" s="5">
        <v>17</v>
      </c>
      <c r="AB858" s="5" t="s">
        <v>85</v>
      </c>
      <c r="AC858" s="5">
        <v>4000</v>
      </c>
    </row>
    <row r="859" spans="1:29" x14ac:dyDescent="0.3">
      <c r="A859" s="34">
        <v>46274</v>
      </c>
      <c r="B859" s="34">
        <v>46274</v>
      </c>
      <c r="C859" s="5" t="s">
        <v>78</v>
      </c>
      <c r="D859" s="5" t="s">
        <v>79</v>
      </c>
      <c r="E859" s="5" t="s">
        <v>80</v>
      </c>
      <c r="F859" s="5">
        <v>18139</v>
      </c>
      <c r="G859" s="5" t="s">
        <v>2670</v>
      </c>
      <c r="H859" s="5" t="s">
        <v>2671</v>
      </c>
      <c r="I859" s="5" t="s">
        <v>212</v>
      </c>
      <c r="N859" s="5" t="s">
        <v>2672</v>
      </c>
      <c r="O859" s="5">
        <v>682.8</v>
      </c>
      <c r="P859" s="5">
        <v>714.9</v>
      </c>
      <c r="Q859" s="5">
        <v>676.2</v>
      </c>
      <c r="R859" s="5">
        <v>685</v>
      </c>
      <c r="S859" s="5">
        <v>681.55</v>
      </c>
      <c r="T859" s="5">
        <v>687.75</v>
      </c>
      <c r="V859" s="5">
        <v>685.04</v>
      </c>
      <c r="Y859" s="5">
        <v>70925</v>
      </c>
      <c r="Z859" s="5">
        <v>49181143.149999999</v>
      </c>
      <c r="AA859" s="5">
        <v>3552</v>
      </c>
      <c r="AB859" s="5" t="s">
        <v>85</v>
      </c>
      <c r="AC859" s="5">
        <v>1</v>
      </c>
    </row>
    <row r="860" spans="1:29" x14ac:dyDescent="0.3">
      <c r="A860" s="34">
        <v>46274</v>
      </c>
      <c r="B860" s="34">
        <v>46274</v>
      </c>
      <c r="C860" s="5" t="s">
        <v>78</v>
      </c>
      <c r="D860" s="5" t="s">
        <v>79</v>
      </c>
      <c r="E860" s="5" t="s">
        <v>80</v>
      </c>
      <c r="F860" s="5">
        <v>20551</v>
      </c>
      <c r="G860" s="5" t="s">
        <v>2673</v>
      </c>
      <c r="H860" s="5" t="s">
        <v>2674</v>
      </c>
      <c r="I860" s="5" t="s">
        <v>212</v>
      </c>
      <c r="N860" s="5" t="s">
        <v>2675</v>
      </c>
      <c r="O860" s="5">
        <v>2170</v>
      </c>
      <c r="P860" s="5">
        <v>2196.4</v>
      </c>
      <c r="Q860" s="5">
        <v>2159.9</v>
      </c>
      <c r="R860" s="5">
        <v>2190.8000000000002</v>
      </c>
      <c r="S860" s="5">
        <v>2190</v>
      </c>
      <c r="T860" s="5">
        <v>2191.4</v>
      </c>
      <c r="V860" s="5">
        <v>2190.79</v>
      </c>
      <c r="Y860" s="5">
        <v>157465</v>
      </c>
      <c r="Z860" s="5">
        <v>342756516.10000002</v>
      </c>
      <c r="AA860" s="5">
        <v>10490</v>
      </c>
      <c r="AB860" s="5" t="s">
        <v>85</v>
      </c>
      <c r="AC860" s="5">
        <v>1</v>
      </c>
    </row>
    <row r="861" spans="1:29" x14ac:dyDescent="0.3">
      <c r="A861" s="34">
        <v>46274</v>
      </c>
      <c r="B861" s="34">
        <v>46274</v>
      </c>
      <c r="C861" s="5" t="s">
        <v>78</v>
      </c>
      <c r="D861" s="5" t="s">
        <v>79</v>
      </c>
      <c r="E861" s="5" t="s">
        <v>80</v>
      </c>
      <c r="F861" s="5">
        <v>13839</v>
      </c>
      <c r="G861" s="5" t="s">
        <v>2676</v>
      </c>
      <c r="H861" s="5" t="s">
        <v>2677</v>
      </c>
      <c r="I861" s="5" t="s">
        <v>212</v>
      </c>
      <c r="N861" s="5" t="s">
        <v>2678</v>
      </c>
      <c r="O861" s="5">
        <v>89.4</v>
      </c>
      <c r="P861" s="5">
        <v>89.4</v>
      </c>
      <c r="Q861" s="5">
        <v>85.01</v>
      </c>
      <c r="R861" s="5">
        <v>85.54</v>
      </c>
      <c r="S861" s="5">
        <v>85.2</v>
      </c>
      <c r="T861" s="5">
        <v>86.79</v>
      </c>
      <c r="V861" s="5">
        <v>85.62</v>
      </c>
      <c r="Y861" s="5">
        <v>19989</v>
      </c>
      <c r="Z861" s="5">
        <v>1717119.1</v>
      </c>
      <c r="AA861" s="5">
        <v>497</v>
      </c>
      <c r="AB861" s="5" t="s">
        <v>85</v>
      </c>
      <c r="AC861" s="5">
        <v>1</v>
      </c>
    </row>
    <row r="862" spans="1:29" x14ac:dyDescent="0.3">
      <c r="A862" s="34">
        <v>46274</v>
      </c>
      <c r="B862" s="34">
        <v>46274</v>
      </c>
      <c r="C862" s="5" t="s">
        <v>78</v>
      </c>
      <c r="D862" s="5" t="s">
        <v>79</v>
      </c>
      <c r="E862" s="5" t="s">
        <v>80</v>
      </c>
      <c r="F862" s="5">
        <v>15423</v>
      </c>
      <c r="G862" s="5" t="s">
        <v>2679</v>
      </c>
      <c r="H862" s="5" t="s">
        <v>2680</v>
      </c>
      <c r="I862" s="5" t="s">
        <v>234</v>
      </c>
      <c r="N862" s="5" t="s">
        <v>2681</v>
      </c>
      <c r="O862" s="5">
        <v>7.26</v>
      </c>
      <c r="P862" s="5">
        <v>7.26</v>
      </c>
      <c r="Q862" s="5">
        <v>7.12</v>
      </c>
      <c r="R862" s="5">
        <v>7.19</v>
      </c>
      <c r="S862" s="5">
        <v>7.2</v>
      </c>
      <c r="T862" s="5">
        <v>7.24</v>
      </c>
      <c r="V862" s="5">
        <v>7.19</v>
      </c>
      <c r="Y862" s="5">
        <v>49018</v>
      </c>
      <c r="Z862" s="5">
        <v>353518.78</v>
      </c>
      <c r="AA862" s="5">
        <v>325</v>
      </c>
      <c r="AB862" s="5" t="s">
        <v>85</v>
      </c>
      <c r="AC862" s="5">
        <v>1</v>
      </c>
    </row>
    <row r="863" spans="1:29" x14ac:dyDescent="0.3">
      <c r="A863" s="34">
        <v>46274</v>
      </c>
      <c r="B863" s="34">
        <v>46274</v>
      </c>
      <c r="C863" s="5" t="s">
        <v>78</v>
      </c>
      <c r="D863" s="5" t="s">
        <v>79</v>
      </c>
      <c r="E863" s="5" t="s">
        <v>80</v>
      </c>
      <c r="F863" s="5">
        <v>29452</v>
      </c>
      <c r="G863" s="5" t="s">
        <v>2682</v>
      </c>
      <c r="H863" s="5" t="s">
        <v>2683</v>
      </c>
      <c r="I863" s="5" t="s">
        <v>212</v>
      </c>
      <c r="N863" s="5" t="s">
        <v>2684</v>
      </c>
      <c r="O863" s="5">
        <v>522.1</v>
      </c>
      <c r="P863" s="5">
        <v>522.1</v>
      </c>
      <c r="Q863" s="5">
        <v>510.2</v>
      </c>
      <c r="R863" s="5">
        <v>513.70000000000005</v>
      </c>
      <c r="S863" s="5">
        <v>513</v>
      </c>
      <c r="T863" s="5">
        <v>519.70000000000005</v>
      </c>
      <c r="V863" s="5">
        <v>513.70000000000005</v>
      </c>
      <c r="Y863" s="5">
        <v>256670</v>
      </c>
      <c r="Z863" s="5">
        <v>131947917.09999999</v>
      </c>
      <c r="AA863" s="5">
        <v>8802</v>
      </c>
      <c r="AB863" s="5" t="s">
        <v>85</v>
      </c>
      <c r="AC863" s="5">
        <v>1</v>
      </c>
    </row>
    <row r="864" spans="1:29" x14ac:dyDescent="0.3">
      <c r="A864" s="34">
        <v>46274</v>
      </c>
      <c r="B864" s="34">
        <v>46274</v>
      </c>
      <c r="C864" s="5" t="s">
        <v>78</v>
      </c>
      <c r="D864" s="5" t="s">
        <v>79</v>
      </c>
      <c r="E864" s="5" t="s">
        <v>80</v>
      </c>
      <c r="F864" s="5">
        <v>762648</v>
      </c>
      <c r="G864" s="5" t="s">
        <v>2685</v>
      </c>
      <c r="H864" s="5" t="s">
        <v>2686</v>
      </c>
      <c r="I864" s="5" t="s">
        <v>212</v>
      </c>
      <c r="N864" s="5" t="s">
        <v>2687</v>
      </c>
      <c r="O864" s="5">
        <v>5254</v>
      </c>
      <c r="P864" s="5">
        <v>5300.5</v>
      </c>
      <c r="Q864" s="5">
        <v>5223</v>
      </c>
      <c r="R864" s="5">
        <v>5241.5</v>
      </c>
      <c r="S864" s="5">
        <v>5225.5</v>
      </c>
      <c r="T864" s="5">
        <v>5267.5</v>
      </c>
      <c r="V864" s="5">
        <v>5238.6499999999996</v>
      </c>
      <c r="Y864" s="5">
        <v>644</v>
      </c>
      <c r="Z864" s="5">
        <v>3392168.5</v>
      </c>
      <c r="AA864" s="5">
        <v>292</v>
      </c>
      <c r="AB864" s="5" t="s">
        <v>85</v>
      </c>
      <c r="AC864" s="5">
        <v>1</v>
      </c>
    </row>
    <row r="865" spans="1:29" x14ac:dyDescent="0.3">
      <c r="A865" s="34">
        <v>46274</v>
      </c>
      <c r="B865" s="34">
        <v>46274</v>
      </c>
      <c r="C865" s="5" t="s">
        <v>78</v>
      </c>
      <c r="D865" s="5" t="s">
        <v>79</v>
      </c>
      <c r="E865" s="5" t="s">
        <v>80</v>
      </c>
      <c r="F865" s="5">
        <v>11654</v>
      </c>
      <c r="G865" s="5" t="s">
        <v>2688</v>
      </c>
      <c r="H865" s="5" t="s">
        <v>2689</v>
      </c>
      <c r="I865" s="5" t="s">
        <v>212</v>
      </c>
      <c r="N865" s="5" t="s">
        <v>2690</v>
      </c>
      <c r="O865" s="5">
        <v>1905.2</v>
      </c>
      <c r="P865" s="5">
        <v>1962</v>
      </c>
      <c r="Q865" s="5">
        <v>1901.2</v>
      </c>
      <c r="R865" s="5">
        <v>1919.7</v>
      </c>
      <c r="S865" s="5">
        <v>1916</v>
      </c>
      <c r="T865" s="5">
        <v>1912.5</v>
      </c>
      <c r="V865" s="5">
        <v>1919.69</v>
      </c>
      <c r="Y865" s="5">
        <v>205022</v>
      </c>
      <c r="Z865" s="5">
        <v>395651971.30000001</v>
      </c>
      <c r="AA865" s="5">
        <v>25362</v>
      </c>
      <c r="AB865" s="5" t="s">
        <v>85</v>
      </c>
      <c r="AC865" s="5">
        <v>1</v>
      </c>
    </row>
    <row r="866" spans="1:29" x14ac:dyDescent="0.3">
      <c r="A866" s="34">
        <v>46274</v>
      </c>
      <c r="B866" s="34">
        <v>46274</v>
      </c>
      <c r="C866" s="5" t="s">
        <v>78</v>
      </c>
      <c r="D866" s="5" t="s">
        <v>79</v>
      </c>
      <c r="E866" s="5" t="s">
        <v>80</v>
      </c>
      <c r="F866" s="5">
        <v>881</v>
      </c>
      <c r="G866" s="5" t="s">
        <v>2691</v>
      </c>
      <c r="H866" s="5" t="s">
        <v>2692</v>
      </c>
      <c r="I866" s="5" t="s">
        <v>212</v>
      </c>
      <c r="N866" s="5" t="s">
        <v>2693</v>
      </c>
      <c r="O866" s="5">
        <v>1146</v>
      </c>
      <c r="P866" s="5">
        <v>1151</v>
      </c>
      <c r="Q866" s="5">
        <v>1136.4000000000001</v>
      </c>
      <c r="R866" s="5">
        <v>1145</v>
      </c>
      <c r="S866" s="5">
        <v>1145</v>
      </c>
      <c r="T866" s="5">
        <v>1151</v>
      </c>
      <c r="V866" s="5">
        <v>1144.98</v>
      </c>
      <c r="Y866" s="5">
        <v>528499</v>
      </c>
      <c r="Z866" s="5">
        <v>604699249.20000005</v>
      </c>
      <c r="AA866" s="5">
        <v>34354</v>
      </c>
      <c r="AB866" s="5" t="s">
        <v>85</v>
      </c>
      <c r="AC866" s="5">
        <v>1</v>
      </c>
    </row>
    <row r="867" spans="1:29" x14ac:dyDescent="0.3">
      <c r="A867" s="34">
        <v>46274</v>
      </c>
      <c r="B867" s="34">
        <v>46274</v>
      </c>
      <c r="C867" s="5" t="s">
        <v>78</v>
      </c>
      <c r="D867" s="5" t="s">
        <v>79</v>
      </c>
      <c r="E867" s="5" t="s">
        <v>80</v>
      </c>
      <c r="F867" s="5">
        <v>2645</v>
      </c>
      <c r="G867" s="5" t="s">
        <v>2694</v>
      </c>
      <c r="H867" s="5" t="s">
        <v>2695</v>
      </c>
      <c r="I867" s="5" t="s">
        <v>212</v>
      </c>
      <c r="N867" s="5" t="s">
        <v>2696</v>
      </c>
      <c r="O867" s="5">
        <v>12.73</v>
      </c>
      <c r="P867" s="5">
        <v>13.3</v>
      </c>
      <c r="Q867" s="5">
        <v>12.62</v>
      </c>
      <c r="R867" s="5">
        <v>12.97</v>
      </c>
      <c r="S867" s="5">
        <v>12.99</v>
      </c>
      <c r="T867" s="5">
        <v>12.9</v>
      </c>
      <c r="V867" s="5">
        <v>12.97</v>
      </c>
      <c r="Y867" s="5">
        <v>72897</v>
      </c>
      <c r="Z867" s="5">
        <v>937241.62</v>
      </c>
      <c r="AA867" s="5">
        <v>359</v>
      </c>
      <c r="AB867" s="5" t="s">
        <v>85</v>
      </c>
      <c r="AC867" s="5">
        <v>1</v>
      </c>
    </row>
    <row r="868" spans="1:29" x14ac:dyDescent="0.3">
      <c r="A868" s="34">
        <v>46274</v>
      </c>
      <c r="B868" s="34">
        <v>46274</v>
      </c>
      <c r="C868" s="5" t="s">
        <v>78</v>
      </c>
      <c r="D868" s="5" t="s">
        <v>79</v>
      </c>
      <c r="E868" s="5" t="s">
        <v>80</v>
      </c>
      <c r="F868" s="5">
        <v>10859</v>
      </c>
      <c r="G868" s="5" t="s">
        <v>2697</v>
      </c>
      <c r="H868" s="5" t="s">
        <v>2698</v>
      </c>
      <c r="I868" s="5" t="s">
        <v>212</v>
      </c>
      <c r="N868" s="5" t="s">
        <v>2699</v>
      </c>
      <c r="O868" s="5">
        <v>64.400000000000006</v>
      </c>
      <c r="P868" s="5">
        <v>70.900000000000006</v>
      </c>
      <c r="Q868" s="5">
        <v>64.400000000000006</v>
      </c>
      <c r="R868" s="5">
        <v>68.55</v>
      </c>
      <c r="S868" s="5">
        <v>67</v>
      </c>
      <c r="T868" s="5">
        <v>65.14</v>
      </c>
      <c r="V868" s="5">
        <v>68.56</v>
      </c>
      <c r="Y868" s="5">
        <v>175877</v>
      </c>
      <c r="Z868" s="5">
        <v>11870040.24</v>
      </c>
      <c r="AA868" s="5">
        <v>2539</v>
      </c>
      <c r="AB868" s="5" t="s">
        <v>85</v>
      </c>
      <c r="AC868" s="5">
        <v>1</v>
      </c>
    </row>
    <row r="869" spans="1:29" x14ac:dyDescent="0.3">
      <c r="A869" s="34">
        <v>46274</v>
      </c>
      <c r="B869" s="34">
        <v>46274</v>
      </c>
      <c r="C869" s="5" t="s">
        <v>78</v>
      </c>
      <c r="D869" s="5" t="s">
        <v>79</v>
      </c>
      <c r="E869" s="5" t="s">
        <v>80</v>
      </c>
      <c r="F869" s="5">
        <v>11271</v>
      </c>
      <c r="G869" s="5" t="s">
        <v>2700</v>
      </c>
      <c r="H869" s="5" t="s">
        <v>2701</v>
      </c>
      <c r="I869" s="5" t="s">
        <v>212</v>
      </c>
      <c r="N869" s="5" t="s">
        <v>2702</v>
      </c>
      <c r="O869" s="5">
        <v>1044</v>
      </c>
      <c r="P869" s="5">
        <v>1066</v>
      </c>
      <c r="Q869" s="5">
        <v>1032.7</v>
      </c>
      <c r="R869" s="5">
        <v>1040.5</v>
      </c>
      <c r="S869" s="5">
        <v>1036.5</v>
      </c>
      <c r="T869" s="5">
        <v>1049.0999999999999</v>
      </c>
      <c r="V869" s="5">
        <v>1040.5899999999999</v>
      </c>
      <c r="Y869" s="5">
        <v>76183</v>
      </c>
      <c r="Z869" s="5">
        <v>79662818.5</v>
      </c>
      <c r="AA869" s="5">
        <v>5687</v>
      </c>
      <c r="AB869" s="5" t="s">
        <v>85</v>
      </c>
      <c r="AC869" s="5">
        <v>1</v>
      </c>
    </row>
    <row r="870" spans="1:29" x14ac:dyDescent="0.3">
      <c r="A870" s="34">
        <v>46274</v>
      </c>
      <c r="B870" s="34">
        <v>46274</v>
      </c>
      <c r="C870" s="5" t="s">
        <v>78</v>
      </c>
      <c r="D870" s="5" t="s">
        <v>79</v>
      </c>
      <c r="E870" s="5" t="s">
        <v>80</v>
      </c>
      <c r="F870" s="5">
        <v>17372</v>
      </c>
      <c r="G870" s="5" t="s">
        <v>2703</v>
      </c>
      <c r="H870" s="5" t="s">
        <v>2704</v>
      </c>
      <c r="I870" s="5" t="s">
        <v>313</v>
      </c>
      <c r="N870" s="5" t="s">
        <v>2705</v>
      </c>
      <c r="O870" s="5">
        <v>33.35</v>
      </c>
      <c r="P870" s="5">
        <v>33.75</v>
      </c>
      <c r="Q870" s="5">
        <v>33</v>
      </c>
      <c r="R870" s="5">
        <v>33.299999999999997</v>
      </c>
      <c r="S870" s="5">
        <v>33.299999999999997</v>
      </c>
      <c r="T870" s="5">
        <v>33.35</v>
      </c>
      <c r="V870" s="5">
        <v>33.299999999999997</v>
      </c>
      <c r="Y870" s="5">
        <v>144000</v>
      </c>
      <c r="Z870" s="5">
        <v>4794825</v>
      </c>
      <c r="AA870" s="5">
        <v>40</v>
      </c>
      <c r="AB870" s="5" t="s">
        <v>85</v>
      </c>
      <c r="AC870" s="5">
        <v>500</v>
      </c>
    </row>
    <row r="871" spans="1:29" x14ac:dyDescent="0.3">
      <c r="A871" s="34">
        <v>46274</v>
      </c>
      <c r="B871" s="34">
        <v>46274</v>
      </c>
      <c r="C871" s="5" t="s">
        <v>78</v>
      </c>
      <c r="D871" s="5" t="s">
        <v>79</v>
      </c>
      <c r="E871" s="5" t="s">
        <v>80</v>
      </c>
      <c r="F871" s="5">
        <v>778</v>
      </c>
      <c r="G871" s="5" t="s">
        <v>2706</v>
      </c>
      <c r="H871" s="5" t="s">
        <v>2707</v>
      </c>
      <c r="I871" s="5" t="s">
        <v>212</v>
      </c>
      <c r="N871" s="5" t="s">
        <v>2708</v>
      </c>
      <c r="O871" s="5">
        <v>1.91</v>
      </c>
      <c r="P871" s="5">
        <v>2.02</v>
      </c>
      <c r="Q871" s="5">
        <v>1.83</v>
      </c>
      <c r="R871" s="5">
        <v>1.93</v>
      </c>
      <c r="S871" s="5">
        <v>1.93</v>
      </c>
      <c r="T871" s="5">
        <v>1.91</v>
      </c>
      <c r="V871" s="5">
        <v>1.93</v>
      </c>
      <c r="Y871" s="5">
        <v>29739</v>
      </c>
      <c r="Z871" s="5">
        <v>57204.33</v>
      </c>
      <c r="AA871" s="5">
        <v>63</v>
      </c>
      <c r="AB871" s="5" t="s">
        <v>85</v>
      </c>
      <c r="AC871" s="5">
        <v>1</v>
      </c>
    </row>
    <row r="872" spans="1:29" x14ac:dyDescent="0.3">
      <c r="A872" s="34">
        <v>46274</v>
      </c>
      <c r="B872" s="34">
        <v>46274</v>
      </c>
      <c r="C872" s="5" t="s">
        <v>78</v>
      </c>
      <c r="D872" s="5" t="s">
        <v>79</v>
      </c>
      <c r="E872" s="5" t="s">
        <v>80</v>
      </c>
      <c r="F872" s="5">
        <v>1927</v>
      </c>
      <c r="G872" s="5" t="s">
        <v>2709</v>
      </c>
      <c r="H872" s="5" t="s">
        <v>2710</v>
      </c>
      <c r="I872" s="5" t="s">
        <v>212</v>
      </c>
      <c r="N872" s="5" t="s">
        <v>2711</v>
      </c>
      <c r="O872" s="5">
        <v>1000</v>
      </c>
      <c r="P872" s="5">
        <v>1000.01</v>
      </c>
      <c r="Q872" s="5">
        <v>999.99</v>
      </c>
      <c r="R872" s="5">
        <v>999.99</v>
      </c>
      <c r="S872" s="5">
        <v>1000</v>
      </c>
      <c r="T872" s="5">
        <v>999.99</v>
      </c>
      <c r="V872" s="5">
        <v>999.99</v>
      </c>
      <c r="Y872" s="5">
        <v>263669</v>
      </c>
      <c r="Z872" s="5">
        <v>263668983.91</v>
      </c>
      <c r="AA872" s="5">
        <v>236</v>
      </c>
      <c r="AB872" s="5" t="s">
        <v>85</v>
      </c>
      <c r="AC872" s="5">
        <v>1</v>
      </c>
    </row>
    <row r="873" spans="1:29" x14ac:dyDescent="0.3">
      <c r="A873" s="34">
        <v>46274</v>
      </c>
      <c r="B873" s="34">
        <v>46274</v>
      </c>
      <c r="C873" s="5" t="s">
        <v>78</v>
      </c>
      <c r="D873" s="5" t="s">
        <v>79</v>
      </c>
      <c r="E873" s="5" t="s">
        <v>80</v>
      </c>
      <c r="F873" s="5">
        <v>761364</v>
      </c>
      <c r="G873" s="5" t="s">
        <v>2712</v>
      </c>
      <c r="H873" s="5" t="s">
        <v>2713</v>
      </c>
      <c r="I873" s="5" t="s">
        <v>212</v>
      </c>
      <c r="N873" s="5" t="s">
        <v>2714</v>
      </c>
      <c r="O873" s="5">
        <v>16.559999999999999</v>
      </c>
      <c r="P873" s="5">
        <v>16.850000000000001</v>
      </c>
      <c r="Q873" s="5">
        <v>16.52</v>
      </c>
      <c r="R873" s="5">
        <v>16.54</v>
      </c>
      <c r="S873" s="5">
        <v>16.52</v>
      </c>
      <c r="T873" s="5">
        <v>16.690000000000001</v>
      </c>
      <c r="V873" s="5">
        <v>16.54</v>
      </c>
      <c r="Y873" s="5">
        <v>40014</v>
      </c>
      <c r="Z873" s="5">
        <v>662468.02</v>
      </c>
      <c r="AA873" s="5">
        <v>108</v>
      </c>
      <c r="AB873" s="5" t="s">
        <v>85</v>
      </c>
      <c r="AC873" s="5">
        <v>1</v>
      </c>
    </row>
    <row r="874" spans="1:29" x14ac:dyDescent="0.3">
      <c r="A874" s="34">
        <v>46274</v>
      </c>
      <c r="B874" s="34">
        <v>46274</v>
      </c>
      <c r="C874" s="5" t="s">
        <v>78</v>
      </c>
      <c r="D874" s="5" t="s">
        <v>79</v>
      </c>
      <c r="E874" s="5" t="s">
        <v>80</v>
      </c>
      <c r="F874" s="5">
        <v>13644</v>
      </c>
      <c r="G874" s="5" t="s">
        <v>2715</v>
      </c>
      <c r="H874" s="5" t="s">
        <v>2716</v>
      </c>
      <c r="I874" s="5" t="s">
        <v>212</v>
      </c>
      <c r="N874" s="5" t="s">
        <v>2717</v>
      </c>
      <c r="O874" s="5">
        <v>57.93</v>
      </c>
      <c r="P874" s="5">
        <v>58.12</v>
      </c>
      <c r="Q874" s="5">
        <v>57.72</v>
      </c>
      <c r="R874" s="5">
        <v>57.81</v>
      </c>
      <c r="S874" s="5">
        <v>58.09</v>
      </c>
      <c r="T874" s="5">
        <v>58.41</v>
      </c>
      <c r="V874" s="5">
        <v>57.81</v>
      </c>
      <c r="Y874" s="5">
        <v>16309</v>
      </c>
      <c r="Z874" s="5">
        <v>945204.03</v>
      </c>
      <c r="AA874" s="5">
        <v>106</v>
      </c>
      <c r="AB874" s="5" t="s">
        <v>85</v>
      </c>
      <c r="AC874" s="5">
        <v>1</v>
      </c>
    </row>
    <row r="875" spans="1:29" x14ac:dyDescent="0.3">
      <c r="A875" s="34">
        <v>46274</v>
      </c>
      <c r="B875" s="34">
        <v>46274</v>
      </c>
      <c r="C875" s="5" t="s">
        <v>78</v>
      </c>
      <c r="D875" s="5" t="s">
        <v>79</v>
      </c>
      <c r="E875" s="5" t="s">
        <v>80</v>
      </c>
      <c r="F875" s="5">
        <v>15356</v>
      </c>
      <c r="G875" s="5" t="s">
        <v>2718</v>
      </c>
      <c r="H875" s="5" t="s">
        <v>2719</v>
      </c>
      <c r="I875" s="5" t="s">
        <v>212</v>
      </c>
      <c r="N875" s="5" t="s">
        <v>2720</v>
      </c>
      <c r="O875" s="5">
        <v>14.85</v>
      </c>
      <c r="P875" s="5">
        <v>14.87</v>
      </c>
      <c r="Q875" s="5">
        <v>14.7</v>
      </c>
      <c r="R875" s="5">
        <v>14.8</v>
      </c>
      <c r="S875" s="5">
        <v>14.74</v>
      </c>
      <c r="T875" s="5">
        <v>14.79</v>
      </c>
      <c r="V875" s="5">
        <v>14.8</v>
      </c>
      <c r="Y875" s="5">
        <v>2913131</v>
      </c>
      <c r="Z875" s="5">
        <v>43137542.119999997</v>
      </c>
      <c r="AA875" s="5">
        <v>3524</v>
      </c>
      <c r="AB875" s="5" t="s">
        <v>85</v>
      </c>
      <c r="AC875" s="5">
        <v>1</v>
      </c>
    </row>
    <row r="876" spans="1:29" x14ac:dyDescent="0.3">
      <c r="A876" s="34">
        <v>46274</v>
      </c>
      <c r="B876" s="34">
        <v>46274</v>
      </c>
      <c r="C876" s="5" t="s">
        <v>78</v>
      </c>
      <c r="D876" s="5" t="s">
        <v>79</v>
      </c>
      <c r="E876" s="5" t="s">
        <v>80</v>
      </c>
      <c r="F876" s="5">
        <v>17207</v>
      </c>
      <c r="G876" s="5" t="s">
        <v>2721</v>
      </c>
      <c r="H876" s="5" t="s">
        <v>2722</v>
      </c>
      <c r="I876" s="5" t="s">
        <v>212</v>
      </c>
      <c r="N876" s="5" t="s">
        <v>2723</v>
      </c>
      <c r="O876" s="5">
        <v>31.74</v>
      </c>
      <c r="P876" s="5">
        <v>31.79</v>
      </c>
      <c r="Q876" s="5">
        <v>30.6</v>
      </c>
      <c r="R876" s="5">
        <v>30.68</v>
      </c>
      <c r="S876" s="5">
        <v>30.79</v>
      </c>
      <c r="T876" s="5">
        <v>31.79</v>
      </c>
      <c r="V876" s="5">
        <v>30.68</v>
      </c>
      <c r="Y876" s="5">
        <v>50953</v>
      </c>
      <c r="Z876" s="5">
        <v>1567745.28</v>
      </c>
      <c r="AA876" s="5">
        <v>349</v>
      </c>
      <c r="AB876" s="5" t="s">
        <v>85</v>
      </c>
      <c r="AC876" s="5">
        <v>1</v>
      </c>
    </row>
    <row r="877" spans="1:29" x14ac:dyDescent="0.3">
      <c r="A877" s="34">
        <v>46274</v>
      </c>
      <c r="B877" s="34">
        <v>46274</v>
      </c>
      <c r="C877" s="5" t="s">
        <v>78</v>
      </c>
      <c r="D877" s="5" t="s">
        <v>79</v>
      </c>
      <c r="E877" s="5" t="s">
        <v>80</v>
      </c>
      <c r="F877" s="5">
        <v>6606</v>
      </c>
      <c r="G877" s="5" t="s">
        <v>2724</v>
      </c>
      <c r="H877" s="5" t="s">
        <v>2725</v>
      </c>
      <c r="I877" s="5" t="s">
        <v>212</v>
      </c>
      <c r="N877" s="5" t="s">
        <v>2726</v>
      </c>
      <c r="O877" s="5">
        <v>337</v>
      </c>
      <c r="P877" s="5">
        <v>337.69</v>
      </c>
      <c r="Q877" s="5">
        <v>335.9</v>
      </c>
      <c r="R877" s="5">
        <v>336.38</v>
      </c>
      <c r="S877" s="5">
        <v>337.54</v>
      </c>
      <c r="T877" s="5">
        <v>337.41</v>
      </c>
      <c r="V877" s="5">
        <v>336.28</v>
      </c>
      <c r="Y877" s="5">
        <v>25552</v>
      </c>
      <c r="Z877" s="5">
        <v>8604599.0399999991</v>
      </c>
      <c r="AA877" s="5">
        <v>282</v>
      </c>
      <c r="AB877" s="5" t="s">
        <v>85</v>
      </c>
      <c r="AC877" s="5">
        <v>1</v>
      </c>
    </row>
    <row r="878" spans="1:29" x14ac:dyDescent="0.3">
      <c r="A878" s="34">
        <v>46274</v>
      </c>
      <c r="B878" s="34">
        <v>46274</v>
      </c>
      <c r="C878" s="5" t="s">
        <v>78</v>
      </c>
      <c r="D878" s="5" t="s">
        <v>79</v>
      </c>
      <c r="E878" s="5" t="s">
        <v>80</v>
      </c>
      <c r="F878" s="5">
        <v>7451</v>
      </c>
      <c r="G878" s="5" t="s">
        <v>2727</v>
      </c>
      <c r="H878" s="5" t="s">
        <v>2728</v>
      </c>
      <c r="I878" s="5" t="s">
        <v>212</v>
      </c>
      <c r="N878" s="5" t="s">
        <v>2729</v>
      </c>
      <c r="O878" s="5">
        <v>249.28</v>
      </c>
      <c r="P878" s="5">
        <v>249.28</v>
      </c>
      <c r="Q878" s="5">
        <v>247.5</v>
      </c>
      <c r="R878" s="5">
        <v>247.86</v>
      </c>
      <c r="S878" s="5">
        <v>248.19</v>
      </c>
      <c r="T878" s="5">
        <v>250.03</v>
      </c>
      <c r="V878" s="5">
        <v>247.86</v>
      </c>
      <c r="Y878" s="5">
        <v>16177</v>
      </c>
      <c r="Z878" s="5">
        <v>4016345.75</v>
      </c>
      <c r="AA878" s="5">
        <v>197</v>
      </c>
      <c r="AB878" s="5" t="s">
        <v>85</v>
      </c>
      <c r="AC878" s="5">
        <v>1</v>
      </c>
    </row>
    <row r="879" spans="1:29" x14ac:dyDescent="0.3">
      <c r="A879" s="34">
        <v>46274</v>
      </c>
      <c r="B879" s="34">
        <v>46274</v>
      </c>
      <c r="C879" s="5" t="s">
        <v>78</v>
      </c>
      <c r="D879" s="5" t="s">
        <v>79</v>
      </c>
      <c r="E879" s="5" t="s">
        <v>80</v>
      </c>
      <c r="F879" s="5">
        <v>17616</v>
      </c>
      <c r="G879" s="5" t="s">
        <v>2730</v>
      </c>
      <c r="H879" s="5" t="s">
        <v>2731</v>
      </c>
      <c r="I879" s="5" t="s">
        <v>212</v>
      </c>
      <c r="N879" s="5" t="s">
        <v>2732</v>
      </c>
      <c r="O879" s="5">
        <v>85</v>
      </c>
      <c r="P879" s="5">
        <v>85.25</v>
      </c>
      <c r="Q879" s="5">
        <v>84.51</v>
      </c>
      <c r="R879" s="5">
        <v>84.81</v>
      </c>
      <c r="S879" s="5">
        <v>85.07</v>
      </c>
      <c r="T879" s="5">
        <v>85.12</v>
      </c>
      <c r="V879" s="5">
        <v>84.81</v>
      </c>
      <c r="Y879" s="5">
        <v>7250</v>
      </c>
      <c r="Z879" s="5">
        <v>616096.1</v>
      </c>
      <c r="AA879" s="5">
        <v>202</v>
      </c>
      <c r="AB879" s="5" t="s">
        <v>85</v>
      </c>
      <c r="AC879" s="5">
        <v>1</v>
      </c>
    </row>
    <row r="880" spans="1:29" x14ac:dyDescent="0.3">
      <c r="A880" s="34">
        <v>46274</v>
      </c>
      <c r="B880" s="34">
        <v>46274</v>
      </c>
      <c r="C880" s="5" t="s">
        <v>78</v>
      </c>
      <c r="D880" s="5" t="s">
        <v>79</v>
      </c>
      <c r="E880" s="5" t="s">
        <v>80</v>
      </c>
      <c r="F880" s="5">
        <v>17576</v>
      </c>
      <c r="G880" s="5" t="s">
        <v>2733</v>
      </c>
      <c r="H880" s="5" t="s">
        <v>2734</v>
      </c>
      <c r="I880" s="5" t="s">
        <v>212</v>
      </c>
      <c r="N880" s="5" t="s">
        <v>2735</v>
      </c>
      <c r="O880" s="5">
        <v>27.86</v>
      </c>
      <c r="P880" s="5">
        <v>27.96</v>
      </c>
      <c r="Q880" s="5">
        <v>27.7</v>
      </c>
      <c r="R880" s="5">
        <v>27.82</v>
      </c>
      <c r="S880" s="5">
        <v>27.89</v>
      </c>
      <c r="T880" s="5">
        <v>27.93</v>
      </c>
      <c r="V880" s="5">
        <v>27.82</v>
      </c>
      <c r="Y880" s="5">
        <v>25064</v>
      </c>
      <c r="Z880" s="5">
        <v>698274.15</v>
      </c>
      <c r="AA880" s="5">
        <v>168</v>
      </c>
      <c r="AB880" s="5" t="s">
        <v>85</v>
      </c>
      <c r="AC880" s="5">
        <v>1</v>
      </c>
    </row>
    <row r="881" spans="1:29" x14ac:dyDescent="0.3">
      <c r="A881" s="34">
        <v>46274</v>
      </c>
      <c r="B881" s="34">
        <v>46274</v>
      </c>
      <c r="C881" s="5" t="s">
        <v>78</v>
      </c>
      <c r="D881" s="5" t="s">
        <v>79</v>
      </c>
      <c r="E881" s="5" t="s">
        <v>80</v>
      </c>
      <c r="F881" s="5">
        <v>7456</v>
      </c>
      <c r="G881" s="5" t="s">
        <v>2736</v>
      </c>
      <c r="H881" s="5" t="s">
        <v>2737</v>
      </c>
      <c r="I881" s="5" t="s">
        <v>212</v>
      </c>
      <c r="N881" s="5" t="s">
        <v>2738</v>
      </c>
      <c r="O881" s="5">
        <v>24.71</v>
      </c>
      <c r="P881" s="5">
        <v>24.71</v>
      </c>
      <c r="Q881" s="5">
        <v>24.49</v>
      </c>
      <c r="R881" s="5">
        <v>24.54</v>
      </c>
      <c r="S881" s="5">
        <v>24.58</v>
      </c>
      <c r="T881" s="5">
        <v>24.92</v>
      </c>
      <c r="V881" s="5">
        <v>24.54</v>
      </c>
      <c r="Y881" s="5">
        <v>37381</v>
      </c>
      <c r="Z881" s="5">
        <v>918166.41</v>
      </c>
      <c r="AA881" s="5">
        <v>377</v>
      </c>
      <c r="AB881" s="5" t="s">
        <v>85</v>
      </c>
      <c r="AC881" s="5">
        <v>1</v>
      </c>
    </row>
    <row r="882" spans="1:29" x14ac:dyDescent="0.3">
      <c r="A882" s="34">
        <v>46274</v>
      </c>
      <c r="B882" s="34">
        <v>46274</v>
      </c>
      <c r="C882" s="5" t="s">
        <v>78</v>
      </c>
      <c r="D882" s="5" t="s">
        <v>79</v>
      </c>
      <c r="E882" s="5" t="s">
        <v>80</v>
      </c>
      <c r="F882" s="5">
        <v>17613</v>
      </c>
      <c r="G882" s="5" t="s">
        <v>2739</v>
      </c>
      <c r="H882" s="5" t="s">
        <v>2740</v>
      </c>
      <c r="I882" s="5" t="s">
        <v>212</v>
      </c>
      <c r="N882" s="5" t="s">
        <v>2741</v>
      </c>
      <c r="O882" s="5">
        <v>77.64</v>
      </c>
      <c r="P882" s="5">
        <v>77.7</v>
      </c>
      <c r="Q882" s="5">
        <v>77.22</v>
      </c>
      <c r="R882" s="5">
        <v>77.680000000000007</v>
      </c>
      <c r="S882" s="5">
        <v>77.69</v>
      </c>
      <c r="T882" s="5">
        <v>78.31</v>
      </c>
      <c r="V882" s="5">
        <v>77.680000000000007</v>
      </c>
      <c r="Y882" s="5">
        <v>9684</v>
      </c>
      <c r="Z882" s="5">
        <v>751173.86</v>
      </c>
      <c r="AA882" s="5">
        <v>56</v>
      </c>
      <c r="AB882" s="5" t="s">
        <v>85</v>
      </c>
      <c r="AC882" s="5">
        <v>1</v>
      </c>
    </row>
    <row r="883" spans="1:29" x14ac:dyDescent="0.3">
      <c r="A883" s="34">
        <v>46274</v>
      </c>
      <c r="B883" s="34">
        <v>46274</v>
      </c>
      <c r="C883" s="5" t="s">
        <v>78</v>
      </c>
      <c r="D883" s="5" t="s">
        <v>79</v>
      </c>
      <c r="E883" s="5" t="s">
        <v>80</v>
      </c>
      <c r="F883" s="5">
        <v>10761</v>
      </c>
      <c r="G883" s="5" t="s">
        <v>2742</v>
      </c>
      <c r="H883" s="5" t="s">
        <v>2743</v>
      </c>
      <c r="I883" s="5" t="s">
        <v>212</v>
      </c>
      <c r="N883" s="5" t="s">
        <v>2744</v>
      </c>
      <c r="O883" s="5">
        <v>22.48</v>
      </c>
      <c r="P883" s="5">
        <v>22.58</v>
      </c>
      <c r="Q883" s="5">
        <v>22.33</v>
      </c>
      <c r="R883" s="5">
        <v>22.42</v>
      </c>
      <c r="S883" s="5">
        <v>22.37</v>
      </c>
      <c r="T883" s="5">
        <v>22.3</v>
      </c>
      <c r="V883" s="5">
        <v>22.42</v>
      </c>
      <c r="Y883" s="5">
        <v>2795835</v>
      </c>
      <c r="Z883" s="5">
        <v>62778599.990000002</v>
      </c>
      <c r="AA883" s="5">
        <v>8757</v>
      </c>
      <c r="AB883" s="5" t="s">
        <v>85</v>
      </c>
      <c r="AC883" s="5">
        <v>1</v>
      </c>
    </row>
    <row r="884" spans="1:29" x14ac:dyDescent="0.3">
      <c r="A884" s="34">
        <v>46274</v>
      </c>
      <c r="B884" s="34">
        <v>46274</v>
      </c>
      <c r="C884" s="5" t="s">
        <v>78</v>
      </c>
      <c r="D884" s="5" t="s">
        <v>79</v>
      </c>
      <c r="E884" s="5" t="s">
        <v>80</v>
      </c>
      <c r="F884" s="5">
        <v>759368</v>
      </c>
      <c r="G884" s="5" t="s">
        <v>2745</v>
      </c>
      <c r="H884" s="5" t="s">
        <v>2746</v>
      </c>
      <c r="I884" s="5" t="s">
        <v>212</v>
      </c>
      <c r="N884" s="5" t="s">
        <v>2747</v>
      </c>
      <c r="O884" s="5">
        <v>10.17</v>
      </c>
      <c r="P884" s="5">
        <v>10.17</v>
      </c>
      <c r="Q884" s="5">
        <v>9.8000000000000007</v>
      </c>
      <c r="R884" s="5">
        <v>9.85</v>
      </c>
      <c r="S884" s="5">
        <v>9.86</v>
      </c>
      <c r="T884" s="5">
        <v>9.9700000000000006</v>
      </c>
      <c r="V884" s="5">
        <v>9.85</v>
      </c>
      <c r="Y884" s="5">
        <v>189232</v>
      </c>
      <c r="Z884" s="5">
        <v>1862132.46</v>
      </c>
      <c r="AA884" s="5">
        <v>638</v>
      </c>
      <c r="AB884" s="5" t="s">
        <v>85</v>
      </c>
      <c r="AC884" s="5">
        <v>1</v>
      </c>
    </row>
    <row r="885" spans="1:29" x14ac:dyDescent="0.3">
      <c r="A885" s="34">
        <v>46274</v>
      </c>
      <c r="B885" s="34">
        <v>46274</v>
      </c>
      <c r="C885" s="5" t="s">
        <v>78</v>
      </c>
      <c r="D885" s="5" t="s">
        <v>79</v>
      </c>
      <c r="E885" s="5" t="s">
        <v>80</v>
      </c>
      <c r="F885" s="5">
        <v>763530</v>
      </c>
      <c r="G885" s="5" t="s">
        <v>2748</v>
      </c>
      <c r="H885" s="5" t="s">
        <v>2749</v>
      </c>
      <c r="I885" s="5" t="s">
        <v>212</v>
      </c>
      <c r="N885" s="5" t="s">
        <v>2750</v>
      </c>
      <c r="O885" s="5">
        <v>45.9</v>
      </c>
      <c r="P885" s="5">
        <v>47.22</v>
      </c>
      <c r="Q885" s="5">
        <v>45.4</v>
      </c>
      <c r="R885" s="5">
        <v>46.15</v>
      </c>
      <c r="S885" s="5">
        <v>45.79</v>
      </c>
      <c r="T885" s="5">
        <v>46.07</v>
      </c>
      <c r="V885" s="5">
        <v>46.15</v>
      </c>
      <c r="Y885" s="5">
        <v>21150</v>
      </c>
      <c r="Z885" s="5">
        <v>967086.13</v>
      </c>
      <c r="AA885" s="5">
        <v>254</v>
      </c>
      <c r="AB885" s="5" t="s">
        <v>85</v>
      </c>
      <c r="AC885" s="5">
        <v>1</v>
      </c>
    </row>
    <row r="886" spans="1:29" x14ac:dyDescent="0.3">
      <c r="A886" s="34">
        <v>46274</v>
      </c>
      <c r="B886" s="34">
        <v>46274</v>
      </c>
      <c r="C886" s="5" t="s">
        <v>78</v>
      </c>
      <c r="D886" s="5" t="s">
        <v>79</v>
      </c>
      <c r="E886" s="5" t="s">
        <v>80</v>
      </c>
      <c r="F886" s="5">
        <v>765310</v>
      </c>
      <c r="G886" s="5" t="s">
        <v>2751</v>
      </c>
      <c r="H886" s="5" t="s">
        <v>2752</v>
      </c>
      <c r="I886" s="5" t="s">
        <v>212</v>
      </c>
      <c r="N886" s="5" t="s">
        <v>2753</v>
      </c>
      <c r="O886" s="5">
        <v>26.8</v>
      </c>
      <c r="P886" s="5">
        <v>26.8</v>
      </c>
      <c r="Q886" s="5">
        <v>26.8</v>
      </c>
      <c r="R886" s="5">
        <v>26.8</v>
      </c>
      <c r="S886" s="5">
        <v>26.8</v>
      </c>
      <c r="T886" s="5">
        <v>26.83</v>
      </c>
      <c r="V886" s="5">
        <v>26.8</v>
      </c>
      <c r="Y886" s="5">
        <v>6</v>
      </c>
      <c r="Z886" s="5">
        <v>160.80000000000001</v>
      </c>
      <c r="AA886" s="5">
        <v>2</v>
      </c>
      <c r="AB886" s="5" t="s">
        <v>85</v>
      </c>
      <c r="AC886" s="5">
        <v>1</v>
      </c>
    </row>
    <row r="887" spans="1:29" x14ac:dyDescent="0.3">
      <c r="A887" s="34">
        <v>46274</v>
      </c>
      <c r="B887" s="34">
        <v>46274</v>
      </c>
      <c r="C887" s="5" t="s">
        <v>78</v>
      </c>
      <c r="D887" s="5" t="s">
        <v>79</v>
      </c>
      <c r="E887" s="5" t="s">
        <v>80</v>
      </c>
      <c r="F887" s="5">
        <v>22592</v>
      </c>
      <c r="G887" s="5" t="s">
        <v>2754</v>
      </c>
      <c r="H887" s="5" t="s">
        <v>2755</v>
      </c>
      <c r="I887" s="5" t="s">
        <v>212</v>
      </c>
      <c r="N887" s="5" t="s">
        <v>2756</v>
      </c>
      <c r="O887" s="5">
        <v>16.809999999999999</v>
      </c>
      <c r="P887" s="5">
        <v>16.920000000000002</v>
      </c>
      <c r="Q887" s="5">
        <v>16.71</v>
      </c>
      <c r="R887" s="5">
        <v>16.75</v>
      </c>
      <c r="S887" s="5">
        <v>16.8</v>
      </c>
      <c r="T887" s="5">
        <v>16.670000000000002</v>
      </c>
      <c r="V887" s="5">
        <v>16.75</v>
      </c>
      <c r="Y887" s="5">
        <v>15029</v>
      </c>
      <c r="Z887" s="5">
        <v>252244.83</v>
      </c>
      <c r="AA887" s="5">
        <v>83</v>
      </c>
      <c r="AB887" s="5" t="s">
        <v>85</v>
      </c>
      <c r="AC887" s="5">
        <v>1</v>
      </c>
    </row>
    <row r="888" spans="1:29" x14ac:dyDescent="0.3">
      <c r="A888" s="34">
        <v>46274</v>
      </c>
      <c r="B888" s="34">
        <v>46274</v>
      </c>
      <c r="C888" s="5" t="s">
        <v>78</v>
      </c>
      <c r="D888" s="5" t="s">
        <v>79</v>
      </c>
      <c r="E888" s="5" t="s">
        <v>80</v>
      </c>
      <c r="F888" s="5">
        <v>23407</v>
      </c>
      <c r="G888" s="5" t="s">
        <v>2757</v>
      </c>
      <c r="H888" s="5" t="s">
        <v>2758</v>
      </c>
      <c r="I888" s="5" t="s">
        <v>212</v>
      </c>
      <c r="N888" s="5" t="s">
        <v>2759</v>
      </c>
      <c r="O888" s="5">
        <v>1143.8900000000001</v>
      </c>
      <c r="P888" s="5">
        <v>1143.92</v>
      </c>
      <c r="Q888" s="5">
        <v>1143.8900000000001</v>
      </c>
      <c r="R888" s="5">
        <v>1143.9100000000001</v>
      </c>
      <c r="S888" s="5">
        <v>1143.9000000000001</v>
      </c>
      <c r="T888" s="5">
        <v>1143.76</v>
      </c>
      <c r="V888" s="5">
        <v>1143.9100000000001</v>
      </c>
      <c r="Y888" s="5">
        <v>506393</v>
      </c>
      <c r="Z888" s="5">
        <v>579267295.65999997</v>
      </c>
      <c r="AA888" s="5">
        <v>249</v>
      </c>
      <c r="AB888" s="5" t="s">
        <v>85</v>
      </c>
      <c r="AC888" s="5">
        <v>1</v>
      </c>
    </row>
    <row r="889" spans="1:29" x14ac:dyDescent="0.3">
      <c r="A889" s="34">
        <v>46274</v>
      </c>
      <c r="B889" s="34">
        <v>46274</v>
      </c>
      <c r="C889" s="5" t="s">
        <v>78</v>
      </c>
      <c r="D889" s="5" t="s">
        <v>79</v>
      </c>
      <c r="E889" s="5" t="s">
        <v>80</v>
      </c>
      <c r="F889" s="5">
        <v>764428</v>
      </c>
      <c r="G889" s="5" t="s">
        <v>2760</v>
      </c>
      <c r="H889" s="5" t="s">
        <v>2761</v>
      </c>
      <c r="I889" s="5" t="s">
        <v>212</v>
      </c>
      <c r="N889" s="5" t="s">
        <v>2762</v>
      </c>
      <c r="O889" s="5">
        <v>17.399999999999999</v>
      </c>
      <c r="P889" s="5">
        <v>17.46</v>
      </c>
      <c r="Q889" s="5">
        <v>17.399999999999999</v>
      </c>
      <c r="R889" s="5">
        <v>17.420000000000002</v>
      </c>
      <c r="S889" s="5">
        <v>17.46</v>
      </c>
      <c r="T889" s="5">
        <v>17.43</v>
      </c>
      <c r="V889" s="5">
        <v>17.45</v>
      </c>
      <c r="Y889" s="5">
        <v>1080</v>
      </c>
      <c r="Z889" s="5">
        <v>18821.45</v>
      </c>
      <c r="AA889" s="5">
        <v>10</v>
      </c>
      <c r="AB889" s="5" t="s">
        <v>85</v>
      </c>
      <c r="AC889" s="5">
        <v>1</v>
      </c>
    </row>
    <row r="890" spans="1:29" x14ac:dyDescent="0.3">
      <c r="A890" s="34">
        <v>46274</v>
      </c>
      <c r="B890" s="34">
        <v>46274</v>
      </c>
      <c r="C890" s="5" t="s">
        <v>78</v>
      </c>
      <c r="D890" s="5" t="s">
        <v>79</v>
      </c>
      <c r="E890" s="5" t="s">
        <v>80</v>
      </c>
      <c r="F890" s="5">
        <v>760356</v>
      </c>
      <c r="G890" s="5" t="s">
        <v>2763</v>
      </c>
      <c r="H890" s="5" t="s">
        <v>2764</v>
      </c>
      <c r="I890" s="5" t="s">
        <v>212</v>
      </c>
      <c r="N890" s="5" t="s">
        <v>2765</v>
      </c>
      <c r="O890" s="5">
        <v>23.03</v>
      </c>
      <c r="P890" s="5">
        <v>23.16</v>
      </c>
      <c r="Q890" s="5">
        <v>23</v>
      </c>
      <c r="R890" s="5">
        <v>23.1</v>
      </c>
      <c r="S890" s="5">
        <v>23.15</v>
      </c>
      <c r="T890" s="5">
        <v>23.1</v>
      </c>
      <c r="V890" s="5">
        <v>23.1</v>
      </c>
      <c r="Y890" s="5">
        <v>7867</v>
      </c>
      <c r="Z890" s="5">
        <v>181627.87</v>
      </c>
      <c r="AA890" s="5">
        <v>56</v>
      </c>
      <c r="AB890" s="5" t="s">
        <v>85</v>
      </c>
      <c r="AC890" s="5">
        <v>1</v>
      </c>
    </row>
    <row r="891" spans="1:29" x14ac:dyDescent="0.3">
      <c r="A891" s="34">
        <v>46274</v>
      </c>
      <c r="B891" s="34">
        <v>46274</v>
      </c>
      <c r="C891" s="5" t="s">
        <v>78</v>
      </c>
      <c r="D891" s="5" t="s">
        <v>79</v>
      </c>
      <c r="E891" s="5" t="s">
        <v>80</v>
      </c>
      <c r="F891" s="5">
        <v>759978</v>
      </c>
      <c r="G891" s="5" t="s">
        <v>2766</v>
      </c>
      <c r="H891" s="5" t="s">
        <v>2767</v>
      </c>
      <c r="I891" s="5" t="s">
        <v>212</v>
      </c>
      <c r="N891" s="5" t="s">
        <v>2768</v>
      </c>
      <c r="O891" s="5">
        <v>29</v>
      </c>
      <c r="P891" s="5">
        <v>29.13</v>
      </c>
      <c r="Q891" s="5">
        <v>28.97</v>
      </c>
      <c r="R891" s="5">
        <v>29.13</v>
      </c>
      <c r="S891" s="5">
        <v>29.13</v>
      </c>
      <c r="T891" s="5">
        <v>29.27</v>
      </c>
      <c r="V891" s="5">
        <v>29.16</v>
      </c>
      <c r="Y891" s="5">
        <v>857</v>
      </c>
      <c r="Z891" s="5">
        <v>24878.48</v>
      </c>
      <c r="AA891" s="5">
        <v>14</v>
      </c>
      <c r="AB891" s="5" t="s">
        <v>85</v>
      </c>
      <c r="AC891" s="5">
        <v>1</v>
      </c>
    </row>
    <row r="892" spans="1:29" x14ac:dyDescent="0.3">
      <c r="A892" s="34">
        <v>46274</v>
      </c>
      <c r="B892" s="34">
        <v>46274</v>
      </c>
      <c r="C892" s="5" t="s">
        <v>78</v>
      </c>
      <c r="D892" s="5" t="s">
        <v>79</v>
      </c>
      <c r="E892" s="5" t="s">
        <v>80</v>
      </c>
      <c r="F892" s="5">
        <v>29464</v>
      </c>
      <c r="G892" s="5" t="s">
        <v>2769</v>
      </c>
      <c r="H892" s="5" t="s">
        <v>2770</v>
      </c>
      <c r="I892" s="5" t="s">
        <v>212</v>
      </c>
      <c r="N892" s="5" t="s">
        <v>2771</v>
      </c>
      <c r="O892" s="5">
        <v>42.81</v>
      </c>
      <c r="P892" s="5">
        <v>42.81</v>
      </c>
      <c r="Q892" s="5">
        <v>42.39</v>
      </c>
      <c r="R892" s="5">
        <v>42.7</v>
      </c>
      <c r="S892" s="5">
        <v>42.68</v>
      </c>
      <c r="T892" s="5">
        <v>42.6</v>
      </c>
      <c r="V892" s="5">
        <v>42.7</v>
      </c>
      <c r="Y892" s="5">
        <v>24711</v>
      </c>
      <c r="Z892" s="5">
        <v>1054473.71</v>
      </c>
      <c r="AA892" s="5">
        <v>48</v>
      </c>
      <c r="AB892" s="5" t="s">
        <v>85</v>
      </c>
      <c r="AC892" s="5">
        <v>1</v>
      </c>
    </row>
    <row r="893" spans="1:29" x14ac:dyDescent="0.3">
      <c r="A893" s="34">
        <v>46274</v>
      </c>
      <c r="B893" s="34">
        <v>46274</v>
      </c>
      <c r="C893" s="5" t="s">
        <v>78</v>
      </c>
      <c r="D893" s="5" t="s">
        <v>79</v>
      </c>
      <c r="E893" s="5" t="s">
        <v>80</v>
      </c>
      <c r="F893" s="5">
        <v>760599</v>
      </c>
      <c r="G893" s="5" t="s">
        <v>2772</v>
      </c>
      <c r="H893" s="5" t="s">
        <v>2773</v>
      </c>
      <c r="I893" s="5" t="s">
        <v>212</v>
      </c>
      <c r="N893" s="5" t="s">
        <v>2774</v>
      </c>
      <c r="O893" s="5">
        <v>73.36</v>
      </c>
      <c r="P893" s="5">
        <v>73.489999999999995</v>
      </c>
      <c r="Q893" s="5">
        <v>73.11</v>
      </c>
      <c r="R893" s="5">
        <v>73.430000000000007</v>
      </c>
      <c r="S893" s="5">
        <v>73.430000000000007</v>
      </c>
      <c r="T893" s="5">
        <v>73.489999999999995</v>
      </c>
      <c r="V893" s="5">
        <v>73.430000000000007</v>
      </c>
      <c r="Y893" s="5">
        <v>417</v>
      </c>
      <c r="Z893" s="5">
        <v>30594.46</v>
      </c>
      <c r="AA893" s="5">
        <v>18</v>
      </c>
      <c r="AB893" s="5" t="s">
        <v>85</v>
      </c>
      <c r="AC893" s="5">
        <v>1</v>
      </c>
    </row>
    <row r="894" spans="1:29" x14ac:dyDescent="0.3">
      <c r="A894" s="34">
        <v>46274</v>
      </c>
      <c r="B894" s="34">
        <v>46274</v>
      </c>
      <c r="C894" s="5" t="s">
        <v>78</v>
      </c>
      <c r="D894" s="5" t="s">
        <v>79</v>
      </c>
      <c r="E894" s="5" t="s">
        <v>80</v>
      </c>
      <c r="F894" s="5">
        <v>760359</v>
      </c>
      <c r="G894" s="5" t="s">
        <v>2775</v>
      </c>
      <c r="H894" s="5" t="s">
        <v>2776</v>
      </c>
      <c r="I894" s="5" t="s">
        <v>212</v>
      </c>
      <c r="N894" s="5" t="s">
        <v>2777</v>
      </c>
      <c r="O894" s="5">
        <v>18.59</v>
      </c>
      <c r="P894" s="5">
        <v>18.84</v>
      </c>
      <c r="Q894" s="5">
        <v>18.25</v>
      </c>
      <c r="R894" s="5">
        <v>18.61</v>
      </c>
      <c r="S894" s="5">
        <v>18.66</v>
      </c>
      <c r="T894" s="5">
        <v>18.62</v>
      </c>
      <c r="V894" s="5">
        <v>18.61</v>
      </c>
      <c r="Y894" s="5">
        <v>20581</v>
      </c>
      <c r="Z894" s="5">
        <v>382444.79999999999</v>
      </c>
      <c r="AA894" s="5">
        <v>94</v>
      </c>
      <c r="AB894" s="5" t="s">
        <v>85</v>
      </c>
      <c r="AC894" s="5">
        <v>1</v>
      </c>
    </row>
    <row r="895" spans="1:29" x14ac:dyDescent="0.3">
      <c r="A895" s="34">
        <v>46274</v>
      </c>
      <c r="B895" s="34">
        <v>46274</v>
      </c>
      <c r="C895" s="5" t="s">
        <v>78</v>
      </c>
      <c r="D895" s="5" t="s">
        <v>79</v>
      </c>
      <c r="E895" s="5" t="s">
        <v>80</v>
      </c>
      <c r="F895" s="5">
        <v>25171</v>
      </c>
      <c r="G895" s="5" t="s">
        <v>2778</v>
      </c>
      <c r="H895" s="5" t="s">
        <v>2779</v>
      </c>
      <c r="I895" s="5" t="s">
        <v>212</v>
      </c>
      <c r="N895" s="5" t="s">
        <v>2780</v>
      </c>
      <c r="O895" s="5">
        <v>86.17</v>
      </c>
      <c r="P895" s="5">
        <v>86.33</v>
      </c>
      <c r="Q895" s="5">
        <v>85.36</v>
      </c>
      <c r="R895" s="5">
        <v>85.46</v>
      </c>
      <c r="S895" s="5">
        <v>85.7</v>
      </c>
      <c r="T895" s="5">
        <v>86.63</v>
      </c>
      <c r="V895" s="5">
        <v>85.45</v>
      </c>
      <c r="Y895" s="5">
        <v>638719</v>
      </c>
      <c r="Z895" s="5">
        <v>54705711.960000001</v>
      </c>
      <c r="AA895" s="5">
        <v>1104</v>
      </c>
      <c r="AB895" s="5" t="s">
        <v>85</v>
      </c>
      <c r="AC895" s="5">
        <v>1</v>
      </c>
    </row>
    <row r="896" spans="1:29" x14ac:dyDescent="0.3">
      <c r="A896" s="34">
        <v>46274</v>
      </c>
      <c r="B896" s="34">
        <v>46274</v>
      </c>
      <c r="C896" s="5" t="s">
        <v>78</v>
      </c>
      <c r="D896" s="5" t="s">
        <v>79</v>
      </c>
      <c r="E896" s="5" t="s">
        <v>80</v>
      </c>
      <c r="F896" s="5">
        <v>13766</v>
      </c>
      <c r="G896" s="5" t="s">
        <v>2781</v>
      </c>
      <c r="H896" s="5" t="s">
        <v>2782</v>
      </c>
      <c r="I896" s="5" t="s">
        <v>313</v>
      </c>
      <c r="N896" s="5" t="s">
        <v>2783</v>
      </c>
      <c r="O896" s="5">
        <v>119.85</v>
      </c>
      <c r="P896" s="5">
        <v>123</v>
      </c>
      <c r="Q896" s="5">
        <v>118.25</v>
      </c>
      <c r="R896" s="5">
        <v>119.45</v>
      </c>
      <c r="S896" s="5">
        <v>123</v>
      </c>
      <c r="T896" s="5">
        <v>119.3</v>
      </c>
      <c r="V896" s="5">
        <v>119.45</v>
      </c>
      <c r="Y896" s="5">
        <v>27200</v>
      </c>
      <c r="Z896" s="5">
        <v>3243840</v>
      </c>
      <c r="AA896" s="5">
        <v>28</v>
      </c>
      <c r="AB896" s="5" t="s">
        <v>85</v>
      </c>
      <c r="AC896" s="5">
        <v>800</v>
      </c>
    </row>
    <row r="897" spans="1:29" x14ac:dyDescent="0.3">
      <c r="A897" s="34">
        <v>46274</v>
      </c>
      <c r="B897" s="34">
        <v>46274</v>
      </c>
      <c r="C897" s="5" t="s">
        <v>78</v>
      </c>
      <c r="D897" s="5" t="s">
        <v>79</v>
      </c>
      <c r="E897" s="5" t="s">
        <v>80</v>
      </c>
      <c r="F897" s="5">
        <v>28952</v>
      </c>
      <c r="G897" s="5" t="s">
        <v>2784</v>
      </c>
      <c r="H897" s="5" t="s">
        <v>2785</v>
      </c>
      <c r="I897" s="5" t="s">
        <v>212</v>
      </c>
      <c r="N897" s="5" t="s">
        <v>2786</v>
      </c>
      <c r="O897" s="5">
        <v>1.83</v>
      </c>
      <c r="P897" s="5">
        <v>1.85</v>
      </c>
      <c r="Q897" s="5">
        <v>1.78</v>
      </c>
      <c r="R897" s="5">
        <v>1.8</v>
      </c>
      <c r="S897" s="5">
        <v>1.82</v>
      </c>
      <c r="T897" s="5">
        <v>1.8</v>
      </c>
      <c r="V897" s="5">
        <v>1.8</v>
      </c>
      <c r="Y897" s="5">
        <v>947888</v>
      </c>
      <c r="Z897" s="5">
        <v>1715478.12</v>
      </c>
      <c r="AA897" s="5">
        <v>580</v>
      </c>
      <c r="AB897" s="5" t="s">
        <v>85</v>
      </c>
      <c r="AC897" s="5">
        <v>1</v>
      </c>
    </row>
    <row r="898" spans="1:29" x14ac:dyDescent="0.3">
      <c r="A898" s="34">
        <v>46274</v>
      </c>
      <c r="B898" s="34">
        <v>46274</v>
      </c>
      <c r="C898" s="5" t="s">
        <v>78</v>
      </c>
      <c r="D898" s="5" t="s">
        <v>79</v>
      </c>
      <c r="E898" s="5" t="s">
        <v>80</v>
      </c>
      <c r="F898" s="5">
        <v>5457</v>
      </c>
      <c r="G898" s="5" t="s">
        <v>2787</v>
      </c>
      <c r="H898" s="5" t="s">
        <v>2788</v>
      </c>
      <c r="I898" s="5" t="s">
        <v>313</v>
      </c>
      <c r="N898" s="5" t="s">
        <v>2789</v>
      </c>
      <c r="O898" s="5">
        <v>23.3</v>
      </c>
      <c r="P898" s="5">
        <v>24.5</v>
      </c>
      <c r="Q898" s="5">
        <v>23</v>
      </c>
      <c r="R898" s="5">
        <v>23</v>
      </c>
      <c r="S898" s="5">
        <v>23</v>
      </c>
      <c r="T898" s="5">
        <v>25.55</v>
      </c>
      <c r="V898" s="5">
        <v>23</v>
      </c>
      <c r="Y898" s="5">
        <v>182500</v>
      </c>
      <c r="Z898" s="5">
        <v>4238750</v>
      </c>
      <c r="AA898" s="5">
        <v>60</v>
      </c>
      <c r="AB898" s="5" t="s">
        <v>85</v>
      </c>
      <c r="AC898" s="5">
        <v>2500</v>
      </c>
    </row>
    <row r="899" spans="1:29" x14ac:dyDescent="0.3">
      <c r="A899" s="34">
        <v>46274</v>
      </c>
      <c r="B899" s="34">
        <v>46274</v>
      </c>
      <c r="C899" s="5" t="s">
        <v>78</v>
      </c>
      <c r="D899" s="5" t="s">
        <v>79</v>
      </c>
      <c r="E899" s="5" t="s">
        <v>80</v>
      </c>
      <c r="F899" s="5">
        <v>24164</v>
      </c>
      <c r="G899" s="5" t="s">
        <v>2790</v>
      </c>
      <c r="H899" s="5" t="s">
        <v>2791</v>
      </c>
      <c r="I899" s="5" t="s">
        <v>313</v>
      </c>
      <c r="N899" s="5" t="s">
        <v>2792</v>
      </c>
      <c r="O899" s="5">
        <v>62.1</v>
      </c>
      <c r="P899" s="5">
        <v>65.25</v>
      </c>
      <c r="Q899" s="5">
        <v>61.75</v>
      </c>
      <c r="R899" s="5">
        <v>63.75</v>
      </c>
      <c r="S899" s="5">
        <v>63</v>
      </c>
      <c r="T899" s="5">
        <v>64.099999999999994</v>
      </c>
      <c r="V899" s="5">
        <v>63.75</v>
      </c>
      <c r="Y899" s="5">
        <v>184000</v>
      </c>
      <c r="Z899" s="5">
        <v>11903500</v>
      </c>
      <c r="AA899" s="5">
        <v>36</v>
      </c>
      <c r="AB899" s="5" t="s">
        <v>85</v>
      </c>
      <c r="AC899" s="5">
        <v>2000</v>
      </c>
    </row>
    <row r="900" spans="1:29" x14ac:dyDescent="0.3">
      <c r="A900" s="34">
        <v>46274</v>
      </c>
      <c r="B900" s="34">
        <v>46274</v>
      </c>
      <c r="C900" s="5" t="s">
        <v>78</v>
      </c>
      <c r="D900" s="5" t="s">
        <v>79</v>
      </c>
      <c r="E900" s="5" t="s">
        <v>80</v>
      </c>
      <c r="F900" s="5">
        <v>11667</v>
      </c>
      <c r="G900" s="5" t="s">
        <v>2793</v>
      </c>
      <c r="H900" s="5" t="s">
        <v>2794</v>
      </c>
      <c r="I900" s="5" t="s">
        <v>212</v>
      </c>
      <c r="N900" s="5" t="s">
        <v>2795</v>
      </c>
      <c r="O900" s="5">
        <v>48</v>
      </c>
      <c r="P900" s="5">
        <v>48</v>
      </c>
      <c r="Q900" s="5">
        <v>46.4</v>
      </c>
      <c r="R900" s="5">
        <v>46.72</v>
      </c>
      <c r="S900" s="5">
        <v>46.6</v>
      </c>
      <c r="T900" s="5">
        <v>47.96</v>
      </c>
      <c r="V900" s="5">
        <v>46.72</v>
      </c>
      <c r="Y900" s="5">
        <v>1320702</v>
      </c>
      <c r="Z900" s="5">
        <v>61920433.450000003</v>
      </c>
      <c r="AA900" s="5">
        <v>6636</v>
      </c>
      <c r="AB900" s="5" t="s">
        <v>85</v>
      </c>
      <c r="AC900" s="5">
        <v>1</v>
      </c>
    </row>
    <row r="901" spans="1:29" x14ac:dyDescent="0.3">
      <c r="A901" s="34">
        <v>46274</v>
      </c>
      <c r="B901" s="34">
        <v>46274</v>
      </c>
      <c r="C901" s="5" t="s">
        <v>78</v>
      </c>
      <c r="D901" s="5" t="s">
        <v>79</v>
      </c>
      <c r="E901" s="5" t="s">
        <v>80</v>
      </c>
      <c r="F901" s="5">
        <v>25690</v>
      </c>
      <c r="G901" s="5" t="s">
        <v>2796</v>
      </c>
      <c r="H901" s="5" t="s">
        <v>2797</v>
      </c>
      <c r="I901" s="5" t="s">
        <v>212</v>
      </c>
      <c r="N901" s="5" t="s">
        <v>2798</v>
      </c>
      <c r="O901" s="5">
        <v>1061.7</v>
      </c>
      <c r="P901" s="5">
        <v>1062.5999999999999</v>
      </c>
      <c r="Q901" s="5">
        <v>1018.6</v>
      </c>
      <c r="R901" s="5">
        <v>1022</v>
      </c>
      <c r="S901" s="5">
        <v>1020.1</v>
      </c>
      <c r="T901" s="5">
        <v>1061.7</v>
      </c>
      <c r="V901" s="5">
        <v>1021.88</v>
      </c>
      <c r="Y901" s="5">
        <v>25777</v>
      </c>
      <c r="Z901" s="5">
        <v>26601821.5</v>
      </c>
      <c r="AA901" s="5">
        <v>2975</v>
      </c>
      <c r="AB901" s="5" t="s">
        <v>85</v>
      </c>
      <c r="AC901" s="5">
        <v>1</v>
      </c>
    </row>
    <row r="902" spans="1:29" x14ac:dyDescent="0.3">
      <c r="A902" s="34">
        <v>46274</v>
      </c>
      <c r="B902" s="34">
        <v>46274</v>
      </c>
      <c r="C902" s="5" t="s">
        <v>78</v>
      </c>
      <c r="D902" s="5" t="s">
        <v>79</v>
      </c>
      <c r="E902" s="5" t="s">
        <v>80</v>
      </c>
      <c r="F902" s="5">
        <v>4525</v>
      </c>
      <c r="G902" s="5" t="s">
        <v>2799</v>
      </c>
      <c r="H902" s="5" t="s">
        <v>2800</v>
      </c>
      <c r="I902" s="5" t="s">
        <v>212</v>
      </c>
      <c r="N902" s="5" t="s">
        <v>2801</v>
      </c>
      <c r="O902" s="5">
        <v>11495</v>
      </c>
      <c r="P902" s="5">
        <v>11741</v>
      </c>
      <c r="Q902" s="5">
        <v>11394</v>
      </c>
      <c r="R902" s="5">
        <v>11625</v>
      </c>
      <c r="S902" s="5">
        <v>11690</v>
      </c>
      <c r="T902" s="5">
        <v>11584</v>
      </c>
      <c r="V902" s="5">
        <v>11625.18</v>
      </c>
      <c r="Y902" s="5">
        <v>15961</v>
      </c>
      <c r="Z902" s="5">
        <v>184709188</v>
      </c>
      <c r="AA902" s="5">
        <v>4623</v>
      </c>
      <c r="AB902" s="5" t="s">
        <v>85</v>
      </c>
      <c r="AC902" s="5">
        <v>1</v>
      </c>
    </row>
    <row r="903" spans="1:29" x14ac:dyDescent="0.3">
      <c r="A903" s="34">
        <v>46274</v>
      </c>
      <c r="B903" s="34">
        <v>46274</v>
      </c>
      <c r="C903" s="5" t="s">
        <v>78</v>
      </c>
      <c r="D903" s="5" t="s">
        <v>79</v>
      </c>
      <c r="E903" s="5" t="s">
        <v>80</v>
      </c>
      <c r="F903" s="5">
        <v>10417</v>
      </c>
      <c r="G903" s="5" t="s">
        <v>2802</v>
      </c>
      <c r="H903" s="5" t="s">
        <v>2803</v>
      </c>
      <c r="I903" s="5" t="s">
        <v>212</v>
      </c>
      <c r="N903" s="5" t="s">
        <v>2804</v>
      </c>
      <c r="O903" s="5">
        <v>460.8</v>
      </c>
      <c r="P903" s="5">
        <v>468.9</v>
      </c>
      <c r="Q903" s="5">
        <v>449</v>
      </c>
      <c r="R903" s="5">
        <v>456.5</v>
      </c>
      <c r="S903" s="5">
        <v>456.1</v>
      </c>
      <c r="T903" s="5">
        <v>460.6</v>
      </c>
      <c r="V903" s="5">
        <v>456.52</v>
      </c>
      <c r="Y903" s="5">
        <v>426020</v>
      </c>
      <c r="Z903" s="5">
        <v>195931778.5</v>
      </c>
      <c r="AA903" s="5">
        <v>12371</v>
      </c>
      <c r="AB903" s="5" t="s">
        <v>85</v>
      </c>
      <c r="AC903" s="5">
        <v>1</v>
      </c>
    </row>
    <row r="904" spans="1:29" x14ac:dyDescent="0.3">
      <c r="A904" s="34">
        <v>46274</v>
      </c>
      <c r="B904" s="34">
        <v>46274</v>
      </c>
      <c r="C904" s="5" t="s">
        <v>78</v>
      </c>
      <c r="D904" s="5" t="s">
        <v>79</v>
      </c>
      <c r="E904" s="5" t="s">
        <v>80</v>
      </c>
      <c r="F904" s="5">
        <v>6082</v>
      </c>
      <c r="G904" s="5" t="s">
        <v>2805</v>
      </c>
      <c r="H904" s="5" t="s">
        <v>2806</v>
      </c>
      <c r="I904" s="5" t="s">
        <v>392</v>
      </c>
      <c r="N904" s="5" t="s">
        <v>2807</v>
      </c>
      <c r="O904" s="5">
        <v>154</v>
      </c>
      <c r="P904" s="5">
        <v>154</v>
      </c>
      <c r="Q904" s="5">
        <v>144.80000000000001</v>
      </c>
      <c r="R904" s="5">
        <v>149.25</v>
      </c>
      <c r="S904" s="5">
        <v>149.25</v>
      </c>
      <c r="T904" s="5">
        <v>152.4</v>
      </c>
      <c r="V904" s="5">
        <v>149.25</v>
      </c>
      <c r="Y904" s="5">
        <v>8500</v>
      </c>
      <c r="Z904" s="5">
        <v>1264225</v>
      </c>
      <c r="AA904" s="5">
        <v>15</v>
      </c>
      <c r="AB904" s="5" t="s">
        <v>85</v>
      </c>
      <c r="AC904" s="5">
        <v>500</v>
      </c>
    </row>
    <row r="905" spans="1:29" x14ac:dyDescent="0.3">
      <c r="A905" s="34">
        <v>46274</v>
      </c>
      <c r="B905" s="34">
        <v>46274</v>
      </c>
      <c r="C905" s="5" t="s">
        <v>78</v>
      </c>
      <c r="D905" s="5" t="s">
        <v>79</v>
      </c>
      <c r="E905" s="5" t="s">
        <v>80</v>
      </c>
      <c r="F905" s="5">
        <v>21314</v>
      </c>
      <c r="G905" s="5" t="s">
        <v>2808</v>
      </c>
      <c r="H905" s="5" t="s">
        <v>2809</v>
      </c>
      <c r="I905" s="5" t="s">
        <v>212</v>
      </c>
      <c r="N905" s="5" t="s">
        <v>2810</v>
      </c>
      <c r="O905" s="5">
        <v>232.3</v>
      </c>
      <c r="P905" s="5">
        <v>240</v>
      </c>
      <c r="Q905" s="5">
        <v>231</v>
      </c>
      <c r="R905" s="5">
        <v>235.09</v>
      </c>
      <c r="S905" s="5">
        <v>237</v>
      </c>
      <c r="T905" s="5">
        <v>233.28</v>
      </c>
      <c r="V905" s="5">
        <v>235.1</v>
      </c>
      <c r="Y905" s="5">
        <v>18946</v>
      </c>
      <c r="Z905" s="5">
        <v>4478700.67</v>
      </c>
      <c r="AA905" s="5">
        <v>413</v>
      </c>
      <c r="AB905" s="5" t="s">
        <v>85</v>
      </c>
      <c r="AC905" s="5">
        <v>1</v>
      </c>
    </row>
    <row r="906" spans="1:29" x14ac:dyDescent="0.3">
      <c r="A906" s="34">
        <v>46274</v>
      </c>
      <c r="B906" s="34">
        <v>46274</v>
      </c>
      <c r="C906" s="5" t="s">
        <v>78</v>
      </c>
      <c r="D906" s="5" t="s">
        <v>79</v>
      </c>
      <c r="E906" s="5" t="s">
        <v>80</v>
      </c>
      <c r="F906" s="5">
        <v>19267</v>
      </c>
      <c r="G906" s="5" t="s">
        <v>2811</v>
      </c>
      <c r="H906" s="5" t="s">
        <v>2812</v>
      </c>
      <c r="I906" s="5" t="s">
        <v>313</v>
      </c>
      <c r="N906" s="5" t="s">
        <v>2813</v>
      </c>
      <c r="O906" s="5">
        <v>182</v>
      </c>
      <c r="P906" s="5">
        <v>182</v>
      </c>
      <c r="Q906" s="5">
        <v>168</v>
      </c>
      <c r="R906" s="5">
        <v>168</v>
      </c>
      <c r="S906" s="5">
        <v>168</v>
      </c>
      <c r="T906" s="5">
        <v>168</v>
      </c>
      <c r="V906" s="5">
        <v>168</v>
      </c>
      <c r="Y906" s="5">
        <v>9200</v>
      </c>
      <c r="Z906" s="5">
        <v>1569180</v>
      </c>
      <c r="AA906" s="5">
        <v>13</v>
      </c>
      <c r="AB906" s="5" t="s">
        <v>85</v>
      </c>
      <c r="AC906" s="5">
        <v>400</v>
      </c>
    </row>
    <row r="907" spans="1:29" x14ac:dyDescent="0.3">
      <c r="A907" s="34">
        <v>46274</v>
      </c>
      <c r="B907" s="34">
        <v>46274</v>
      </c>
      <c r="C907" s="5" t="s">
        <v>78</v>
      </c>
      <c r="D907" s="5" t="s">
        <v>79</v>
      </c>
      <c r="E907" s="5" t="s">
        <v>80</v>
      </c>
      <c r="F907" s="5">
        <v>760531</v>
      </c>
      <c r="G907" s="5" t="s">
        <v>2814</v>
      </c>
      <c r="H907" s="5" t="s">
        <v>2815</v>
      </c>
      <c r="I907" s="5" t="s">
        <v>313</v>
      </c>
      <c r="N907" s="5" t="s">
        <v>2816</v>
      </c>
      <c r="O907" s="5">
        <v>371</v>
      </c>
      <c r="P907" s="5">
        <v>381.95</v>
      </c>
      <c r="Q907" s="5">
        <v>359.5</v>
      </c>
      <c r="R907" s="5">
        <v>360.6</v>
      </c>
      <c r="S907" s="5">
        <v>359.5</v>
      </c>
      <c r="T907" s="5">
        <v>374.95</v>
      </c>
      <c r="V907" s="5">
        <v>360.6</v>
      </c>
      <c r="Y907" s="5">
        <v>76800</v>
      </c>
      <c r="Z907" s="5">
        <v>28369040</v>
      </c>
      <c r="AA907" s="5">
        <v>89</v>
      </c>
      <c r="AB907" s="5" t="s">
        <v>85</v>
      </c>
      <c r="AC907" s="5">
        <v>800</v>
      </c>
    </row>
    <row r="908" spans="1:29" x14ac:dyDescent="0.3">
      <c r="A908" s="34">
        <v>46274</v>
      </c>
      <c r="B908" s="34">
        <v>46274</v>
      </c>
      <c r="C908" s="5" t="s">
        <v>78</v>
      </c>
      <c r="D908" s="5" t="s">
        <v>79</v>
      </c>
      <c r="E908" s="5" t="s">
        <v>80</v>
      </c>
      <c r="F908" s="5">
        <v>8940</v>
      </c>
      <c r="G908" s="5" t="s">
        <v>2817</v>
      </c>
      <c r="H908" s="5" t="s">
        <v>16</v>
      </c>
      <c r="I908" s="5" t="s">
        <v>234</v>
      </c>
      <c r="N908" s="5" t="s">
        <v>2818</v>
      </c>
      <c r="O908" s="5">
        <v>627</v>
      </c>
      <c r="P908" s="5">
        <v>627</v>
      </c>
      <c r="Q908" s="5">
        <v>600</v>
      </c>
      <c r="R908" s="5">
        <v>604.5</v>
      </c>
      <c r="S908" s="5">
        <v>608</v>
      </c>
      <c r="T908" s="5">
        <v>617.6</v>
      </c>
      <c r="V908" s="5">
        <v>604.75</v>
      </c>
      <c r="Y908" s="5">
        <v>796066</v>
      </c>
      <c r="Z908" s="5">
        <v>486195844</v>
      </c>
      <c r="AA908" s="5">
        <v>10952</v>
      </c>
      <c r="AB908" s="5" t="s">
        <v>85</v>
      </c>
      <c r="AC908" s="5">
        <v>1</v>
      </c>
    </row>
    <row r="909" spans="1:29" x14ac:dyDescent="0.3">
      <c r="A909" s="34">
        <v>46274</v>
      </c>
      <c r="B909" s="34">
        <v>46274</v>
      </c>
      <c r="C909" s="5" t="s">
        <v>78</v>
      </c>
      <c r="D909" s="5" t="s">
        <v>79</v>
      </c>
      <c r="E909" s="5" t="s">
        <v>80</v>
      </c>
      <c r="F909" s="5">
        <v>765065</v>
      </c>
      <c r="G909" s="5" t="s">
        <v>2819</v>
      </c>
      <c r="H909" s="5" t="s">
        <v>2820</v>
      </c>
      <c r="I909" s="5" t="s">
        <v>212</v>
      </c>
      <c r="N909" s="5" t="s">
        <v>2821</v>
      </c>
      <c r="O909" s="5">
        <v>2.36</v>
      </c>
      <c r="P909" s="5">
        <v>2.36</v>
      </c>
      <c r="Q909" s="5">
        <v>2.2599999999999998</v>
      </c>
      <c r="R909" s="5">
        <v>2.2999999999999998</v>
      </c>
      <c r="S909" s="5">
        <v>2.33</v>
      </c>
      <c r="T909" s="5">
        <v>2.36</v>
      </c>
      <c r="V909" s="5">
        <v>2.29</v>
      </c>
      <c r="Y909" s="5">
        <v>31476</v>
      </c>
      <c r="Z909" s="5">
        <v>72351.06</v>
      </c>
      <c r="AA909" s="5">
        <v>94</v>
      </c>
      <c r="AB909" s="5" t="s">
        <v>85</v>
      </c>
      <c r="AC909" s="5">
        <v>1</v>
      </c>
    </row>
    <row r="910" spans="1:29" x14ac:dyDescent="0.3">
      <c r="A910" s="34">
        <v>46274</v>
      </c>
      <c r="B910" s="34">
        <v>46274</v>
      </c>
      <c r="C910" s="5" t="s">
        <v>78</v>
      </c>
      <c r="D910" s="5" t="s">
        <v>79</v>
      </c>
      <c r="E910" s="5" t="s">
        <v>80</v>
      </c>
      <c r="F910" s="5">
        <v>9769</v>
      </c>
      <c r="G910" s="5" t="s">
        <v>2822</v>
      </c>
      <c r="H910" s="5" t="s">
        <v>2823</v>
      </c>
      <c r="I910" s="5" t="s">
        <v>234</v>
      </c>
      <c r="N910" s="5" t="s">
        <v>2824</v>
      </c>
      <c r="O910" s="5">
        <v>54.91</v>
      </c>
      <c r="P910" s="5">
        <v>59.84</v>
      </c>
      <c r="Q910" s="5">
        <v>54.9</v>
      </c>
      <c r="R910" s="5">
        <v>59.84</v>
      </c>
      <c r="S910" s="5">
        <v>59.84</v>
      </c>
      <c r="T910" s="5">
        <v>57</v>
      </c>
      <c r="V910" s="5">
        <v>60.19</v>
      </c>
      <c r="Y910" s="5">
        <v>377</v>
      </c>
      <c r="Z910" s="5">
        <v>21073.74</v>
      </c>
      <c r="AA910" s="5">
        <v>7</v>
      </c>
      <c r="AB910" s="5" t="s">
        <v>85</v>
      </c>
      <c r="AC910" s="5">
        <v>1</v>
      </c>
    </row>
    <row r="911" spans="1:29" x14ac:dyDescent="0.3">
      <c r="A911" s="34">
        <v>46274</v>
      </c>
      <c r="B911" s="34">
        <v>46274</v>
      </c>
      <c r="C911" s="5" t="s">
        <v>78</v>
      </c>
      <c r="D911" s="5" t="s">
        <v>79</v>
      </c>
      <c r="E911" s="5" t="s">
        <v>80</v>
      </c>
      <c r="F911" s="5">
        <v>2792</v>
      </c>
      <c r="G911" s="5" t="s">
        <v>2825</v>
      </c>
      <c r="H911" s="5" t="s">
        <v>2826</v>
      </c>
      <c r="I911" s="5" t="s">
        <v>212</v>
      </c>
      <c r="N911" s="5" t="s">
        <v>2827</v>
      </c>
      <c r="O911" s="5">
        <v>5.9</v>
      </c>
      <c r="P911" s="5">
        <v>6.06</v>
      </c>
      <c r="Q911" s="5">
        <v>5.86</v>
      </c>
      <c r="R911" s="5">
        <v>5.97</v>
      </c>
      <c r="S911" s="5">
        <v>5.99</v>
      </c>
      <c r="T911" s="5">
        <v>5.94</v>
      </c>
      <c r="V911" s="5">
        <v>5.97</v>
      </c>
      <c r="Y911" s="5">
        <v>17088715</v>
      </c>
      <c r="Z911" s="5">
        <v>101820770.15000001</v>
      </c>
      <c r="AA911" s="5">
        <v>8752</v>
      </c>
      <c r="AB911" s="5" t="s">
        <v>85</v>
      </c>
      <c r="AC911" s="5">
        <v>1</v>
      </c>
    </row>
    <row r="912" spans="1:29" x14ac:dyDescent="0.3">
      <c r="A912" s="34">
        <v>46274</v>
      </c>
      <c r="B912" s="34">
        <v>46274</v>
      </c>
      <c r="C912" s="5" t="s">
        <v>78</v>
      </c>
      <c r="D912" s="5" t="s">
        <v>79</v>
      </c>
      <c r="E912" s="5" t="s">
        <v>80</v>
      </c>
      <c r="F912" s="5">
        <v>765073</v>
      </c>
      <c r="G912" s="5" t="s">
        <v>2828</v>
      </c>
      <c r="H912" s="5" t="s">
        <v>2829</v>
      </c>
      <c r="I912" s="5" t="s">
        <v>234</v>
      </c>
      <c r="N912" s="5" t="s">
        <v>2830</v>
      </c>
      <c r="O912" s="5">
        <v>20.05</v>
      </c>
      <c r="P912" s="5">
        <v>20.399999999999999</v>
      </c>
      <c r="Q912" s="5">
        <v>19.510000000000002</v>
      </c>
      <c r="R912" s="5">
        <v>19.809999999999999</v>
      </c>
      <c r="S912" s="5">
        <v>20</v>
      </c>
      <c r="T912" s="5">
        <v>19.77</v>
      </c>
      <c r="V912" s="5">
        <v>19.79</v>
      </c>
      <c r="Y912" s="5">
        <v>21547</v>
      </c>
      <c r="Z912" s="5">
        <v>432021.1</v>
      </c>
      <c r="AA912" s="5">
        <v>78</v>
      </c>
      <c r="AB912" s="5" t="s">
        <v>85</v>
      </c>
      <c r="AC912" s="5">
        <v>1</v>
      </c>
    </row>
    <row r="913" spans="1:29" x14ac:dyDescent="0.3">
      <c r="A913" s="34">
        <v>46274</v>
      </c>
      <c r="B913" s="34">
        <v>46274</v>
      </c>
      <c r="C913" s="5" t="s">
        <v>78</v>
      </c>
      <c r="D913" s="5" t="s">
        <v>79</v>
      </c>
      <c r="E913" s="5" t="s">
        <v>80</v>
      </c>
      <c r="F913" s="5">
        <v>759974</v>
      </c>
      <c r="G913" s="5" t="s">
        <v>2831</v>
      </c>
      <c r="H913" s="5" t="s">
        <v>2832</v>
      </c>
      <c r="I913" s="5" t="s">
        <v>2833</v>
      </c>
      <c r="N913" s="5" t="s">
        <v>2834</v>
      </c>
      <c r="O913" s="5">
        <v>993</v>
      </c>
      <c r="P913" s="5">
        <v>993</v>
      </c>
      <c r="Q913" s="5">
        <v>993</v>
      </c>
      <c r="R913" s="5">
        <v>993</v>
      </c>
      <c r="S913" s="5">
        <v>993</v>
      </c>
      <c r="T913" s="5">
        <v>982.1</v>
      </c>
      <c r="V913" s="5">
        <v>993</v>
      </c>
      <c r="Y913" s="5">
        <v>89</v>
      </c>
      <c r="Z913" s="5">
        <v>88377</v>
      </c>
      <c r="AA913" s="5">
        <v>1</v>
      </c>
      <c r="AB913" s="5" t="s">
        <v>85</v>
      </c>
      <c r="AC913" s="5">
        <v>1</v>
      </c>
    </row>
    <row r="914" spans="1:29" x14ac:dyDescent="0.3">
      <c r="A914" s="34">
        <v>46274</v>
      </c>
      <c r="B914" s="34">
        <v>46274</v>
      </c>
      <c r="C914" s="5" t="s">
        <v>78</v>
      </c>
      <c r="D914" s="5" t="s">
        <v>79</v>
      </c>
      <c r="E914" s="5" t="s">
        <v>80</v>
      </c>
      <c r="F914" s="5">
        <v>759975</v>
      </c>
      <c r="G914" s="5" t="s">
        <v>2835</v>
      </c>
      <c r="H914" s="5" t="s">
        <v>2836</v>
      </c>
      <c r="I914" s="5" t="s">
        <v>258</v>
      </c>
      <c r="N914" s="5" t="s">
        <v>2837</v>
      </c>
      <c r="O914" s="5">
        <v>1022</v>
      </c>
      <c r="P914" s="5">
        <v>1022</v>
      </c>
      <c r="Q914" s="5">
        <v>1015.12</v>
      </c>
      <c r="R914" s="5">
        <v>1015.12</v>
      </c>
      <c r="S914" s="5">
        <v>1015.12</v>
      </c>
      <c r="T914" s="5">
        <v>1021.8</v>
      </c>
      <c r="V914" s="5">
        <v>1015.12</v>
      </c>
      <c r="Y914" s="5">
        <v>60</v>
      </c>
      <c r="Z914" s="5">
        <v>61251.199999999997</v>
      </c>
      <c r="AA914" s="5">
        <v>2</v>
      </c>
      <c r="AB914" s="5" t="s">
        <v>85</v>
      </c>
      <c r="AC914" s="5">
        <v>1</v>
      </c>
    </row>
    <row r="915" spans="1:29" x14ac:dyDescent="0.3">
      <c r="A915" s="34">
        <v>46274</v>
      </c>
      <c r="B915" s="34">
        <v>46274</v>
      </c>
      <c r="C915" s="5" t="s">
        <v>78</v>
      </c>
      <c r="D915" s="5" t="s">
        <v>79</v>
      </c>
      <c r="E915" s="5" t="s">
        <v>80</v>
      </c>
      <c r="F915" s="5">
        <v>15179</v>
      </c>
      <c r="G915" s="5" t="s">
        <v>2838</v>
      </c>
      <c r="H915" s="5" t="s">
        <v>2839</v>
      </c>
      <c r="I915" s="5" t="s">
        <v>212</v>
      </c>
      <c r="N915" s="5" t="s">
        <v>2840</v>
      </c>
      <c r="O915" s="5">
        <v>1945.1</v>
      </c>
      <c r="P915" s="5">
        <v>1945.1</v>
      </c>
      <c r="Q915" s="5">
        <v>1900.2</v>
      </c>
      <c r="R915" s="5">
        <v>1922.6</v>
      </c>
      <c r="S915" s="5">
        <v>1930</v>
      </c>
      <c r="T915" s="5">
        <v>1945.1</v>
      </c>
      <c r="V915" s="5">
        <v>1922.45</v>
      </c>
      <c r="Y915" s="5">
        <v>89506</v>
      </c>
      <c r="Z915" s="5">
        <v>171800667</v>
      </c>
      <c r="AA915" s="5">
        <v>11418</v>
      </c>
      <c r="AB915" s="5" t="s">
        <v>85</v>
      </c>
      <c r="AC915" s="5">
        <v>1</v>
      </c>
    </row>
    <row r="916" spans="1:29" x14ac:dyDescent="0.3">
      <c r="A916" s="34">
        <v>46274</v>
      </c>
      <c r="B916" s="34">
        <v>46274</v>
      </c>
      <c r="C916" s="5" t="s">
        <v>78</v>
      </c>
      <c r="D916" s="5" t="s">
        <v>79</v>
      </c>
      <c r="E916" s="5" t="s">
        <v>80</v>
      </c>
      <c r="F916" s="5">
        <v>764663</v>
      </c>
      <c r="G916" s="5" t="s">
        <v>2841</v>
      </c>
      <c r="H916" s="5" t="s">
        <v>2842</v>
      </c>
      <c r="I916" s="5" t="s">
        <v>212</v>
      </c>
      <c r="N916" s="5" t="s">
        <v>2843</v>
      </c>
      <c r="O916" s="5">
        <v>450.4</v>
      </c>
      <c r="P916" s="5">
        <v>457.5</v>
      </c>
      <c r="Q916" s="5">
        <v>441.25</v>
      </c>
      <c r="R916" s="5">
        <v>444.45</v>
      </c>
      <c r="S916" s="5">
        <v>443</v>
      </c>
      <c r="T916" s="5">
        <v>450.4</v>
      </c>
      <c r="V916" s="5">
        <v>445.03</v>
      </c>
      <c r="Y916" s="5">
        <v>10030</v>
      </c>
      <c r="Z916" s="5">
        <v>4480609.25</v>
      </c>
      <c r="AA916" s="5">
        <v>1087</v>
      </c>
      <c r="AB916" s="5" t="s">
        <v>85</v>
      </c>
      <c r="AC916" s="5">
        <v>1</v>
      </c>
    </row>
    <row r="917" spans="1:29" x14ac:dyDescent="0.3">
      <c r="A917" s="34">
        <v>46274</v>
      </c>
      <c r="B917" s="34">
        <v>46274</v>
      </c>
      <c r="C917" s="5" t="s">
        <v>78</v>
      </c>
      <c r="D917" s="5" t="s">
        <v>79</v>
      </c>
      <c r="E917" s="5" t="s">
        <v>80</v>
      </c>
      <c r="F917" s="5">
        <v>759964</v>
      </c>
      <c r="G917" s="5" t="s">
        <v>2844</v>
      </c>
      <c r="H917" s="5" t="s">
        <v>2845</v>
      </c>
      <c r="I917" s="5" t="s">
        <v>392</v>
      </c>
      <c r="N917" s="5" t="s">
        <v>2846</v>
      </c>
      <c r="O917" s="5">
        <v>179.95</v>
      </c>
      <c r="P917" s="5">
        <v>179.95</v>
      </c>
      <c r="Q917" s="5">
        <v>169</v>
      </c>
      <c r="R917" s="5">
        <v>169</v>
      </c>
      <c r="S917" s="5">
        <v>169</v>
      </c>
      <c r="T917" s="5">
        <v>175</v>
      </c>
      <c r="V917" s="5">
        <v>169</v>
      </c>
      <c r="Y917" s="5">
        <v>32000</v>
      </c>
      <c r="Z917" s="5">
        <v>5553800</v>
      </c>
      <c r="AA917" s="5">
        <v>20</v>
      </c>
      <c r="AB917" s="5" t="s">
        <v>85</v>
      </c>
      <c r="AC917" s="5">
        <v>1000</v>
      </c>
    </row>
    <row r="918" spans="1:29" x14ac:dyDescent="0.3">
      <c r="A918" s="34">
        <v>46274</v>
      </c>
      <c r="B918" s="34">
        <v>46274</v>
      </c>
      <c r="C918" s="5" t="s">
        <v>78</v>
      </c>
      <c r="D918" s="5" t="s">
        <v>79</v>
      </c>
      <c r="E918" s="5" t="s">
        <v>80</v>
      </c>
      <c r="F918" s="5">
        <v>25060</v>
      </c>
      <c r="G918" s="5" t="s">
        <v>2847</v>
      </c>
      <c r="H918" s="5" t="s">
        <v>2848</v>
      </c>
      <c r="I918" s="5" t="s">
        <v>212</v>
      </c>
      <c r="N918" s="5" t="s">
        <v>2849</v>
      </c>
      <c r="O918" s="5">
        <v>111.87</v>
      </c>
      <c r="P918" s="5">
        <v>112.56</v>
      </c>
      <c r="Q918" s="5">
        <v>110.49</v>
      </c>
      <c r="R918" s="5">
        <v>111.44</v>
      </c>
      <c r="S918" s="5">
        <v>112</v>
      </c>
      <c r="T918" s="5">
        <v>111.87</v>
      </c>
      <c r="V918" s="5">
        <v>111.44</v>
      </c>
      <c r="Y918" s="5">
        <v>40648</v>
      </c>
      <c r="Z918" s="5">
        <v>4539252.57</v>
      </c>
      <c r="AA918" s="5">
        <v>996</v>
      </c>
      <c r="AB918" s="5" t="s">
        <v>85</v>
      </c>
      <c r="AC918" s="5">
        <v>1</v>
      </c>
    </row>
    <row r="919" spans="1:29" x14ac:dyDescent="0.3">
      <c r="A919" s="34">
        <v>46274</v>
      </c>
      <c r="B919" s="34">
        <v>46274</v>
      </c>
      <c r="C919" s="5" t="s">
        <v>78</v>
      </c>
      <c r="D919" s="5" t="s">
        <v>79</v>
      </c>
      <c r="E919" s="5" t="s">
        <v>80</v>
      </c>
      <c r="F919" s="5">
        <v>7196</v>
      </c>
      <c r="G919" s="5" t="s">
        <v>2850</v>
      </c>
      <c r="H919" s="5" t="s">
        <v>2851</v>
      </c>
      <c r="I919" s="5" t="s">
        <v>212</v>
      </c>
      <c r="N919" s="5" t="s">
        <v>2852</v>
      </c>
      <c r="O919" s="5">
        <v>1352.99</v>
      </c>
      <c r="P919" s="5">
        <v>1352.99</v>
      </c>
      <c r="Q919" s="5">
        <v>1342.15</v>
      </c>
      <c r="R919" s="5">
        <v>1345.64</v>
      </c>
      <c r="S919" s="5">
        <v>1345.06</v>
      </c>
      <c r="T919" s="5">
        <v>1345.75</v>
      </c>
      <c r="V919" s="5">
        <v>1346.01</v>
      </c>
      <c r="Y919" s="5">
        <v>259</v>
      </c>
      <c r="Z919" s="5">
        <v>348482.81</v>
      </c>
      <c r="AA919" s="5">
        <v>47</v>
      </c>
      <c r="AB919" s="5" t="s">
        <v>85</v>
      </c>
      <c r="AC919" s="5">
        <v>1</v>
      </c>
    </row>
    <row r="920" spans="1:29" x14ac:dyDescent="0.3">
      <c r="A920" s="34">
        <v>46274</v>
      </c>
      <c r="B920" s="34">
        <v>46274</v>
      </c>
      <c r="C920" s="5" t="s">
        <v>78</v>
      </c>
      <c r="D920" s="5" t="s">
        <v>79</v>
      </c>
      <c r="E920" s="5" t="s">
        <v>80</v>
      </c>
      <c r="F920" s="5">
        <v>764378</v>
      </c>
      <c r="G920" s="5" t="s">
        <v>2853</v>
      </c>
      <c r="H920" s="5" t="s">
        <v>2854</v>
      </c>
      <c r="I920" s="5" t="s">
        <v>212</v>
      </c>
      <c r="N920" s="5" t="s">
        <v>2855</v>
      </c>
      <c r="O920" s="5">
        <v>16.5</v>
      </c>
      <c r="P920" s="5">
        <v>16.93</v>
      </c>
      <c r="Q920" s="5">
        <v>16.37</v>
      </c>
      <c r="R920" s="5">
        <v>16.38</v>
      </c>
      <c r="S920" s="5">
        <v>16.38</v>
      </c>
      <c r="T920" s="5">
        <v>16.54</v>
      </c>
      <c r="V920" s="5">
        <v>16.47</v>
      </c>
      <c r="Y920" s="5">
        <v>2871</v>
      </c>
      <c r="Z920" s="5">
        <v>47069.87</v>
      </c>
      <c r="AA920" s="5">
        <v>23</v>
      </c>
      <c r="AB920" s="5" t="s">
        <v>85</v>
      </c>
      <c r="AC920" s="5">
        <v>1</v>
      </c>
    </row>
    <row r="921" spans="1:29" x14ac:dyDescent="0.3">
      <c r="A921" s="34">
        <v>46274</v>
      </c>
      <c r="B921" s="34">
        <v>46274</v>
      </c>
      <c r="C921" s="5" t="s">
        <v>78</v>
      </c>
      <c r="D921" s="5" t="s">
        <v>79</v>
      </c>
      <c r="E921" s="5" t="s">
        <v>80</v>
      </c>
      <c r="F921" s="5">
        <v>25258</v>
      </c>
      <c r="G921" s="5" t="s">
        <v>2856</v>
      </c>
      <c r="H921" s="5" t="s">
        <v>2857</v>
      </c>
      <c r="I921" s="5" t="s">
        <v>212</v>
      </c>
      <c r="N921" s="5" t="s">
        <v>2858</v>
      </c>
      <c r="O921" s="5">
        <v>57.23</v>
      </c>
      <c r="P921" s="5">
        <v>57.38</v>
      </c>
      <c r="Q921" s="5">
        <v>57</v>
      </c>
      <c r="R921" s="5">
        <v>57.15</v>
      </c>
      <c r="S921" s="5">
        <v>57.15</v>
      </c>
      <c r="T921" s="5">
        <v>57.48</v>
      </c>
      <c r="V921" s="5">
        <v>57.15</v>
      </c>
      <c r="Y921" s="5">
        <v>2020</v>
      </c>
      <c r="Z921" s="5">
        <v>115584.41</v>
      </c>
      <c r="AA921" s="5">
        <v>22</v>
      </c>
      <c r="AB921" s="5" t="s">
        <v>85</v>
      </c>
      <c r="AC921" s="5">
        <v>1</v>
      </c>
    </row>
    <row r="922" spans="1:29" x14ac:dyDescent="0.3">
      <c r="A922" s="34">
        <v>46274</v>
      </c>
      <c r="B922" s="34">
        <v>46274</v>
      </c>
      <c r="C922" s="5" t="s">
        <v>78</v>
      </c>
      <c r="D922" s="5" t="s">
        <v>79</v>
      </c>
      <c r="E922" s="5" t="s">
        <v>80</v>
      </c>
      <c r="F922" s="5">
        <v>16253</v>
      </c>
      <c r="G922" s="5" t="s">
        <v>2859</v>
      </c>
      <c r="H922" s="5" t="s">
        <v>2860</v>
      </c>
      <c r="I922" s="5" t="s">
        <v>212</v>
      </c>
      <c r="N922" s="5" t="s">
        <v>2861</v>
      </c>
      <c r="O922" s="5">
        <v>1617.9</v>
      </c>
      <c r="P922" s="5">
        <v>1617.9</v>
      </c>
      <c r="Q922" s="5">
        <v>1608.7</v>
      </c>
      <c r="R922" s="5">
        <v>1612.43</v>
      </c>
      <c r="S922" s="5">
        <v>1612.35</v>
      </c>
      <c r="T922" s="5">
        <v>1613.61</v>
      </c>
      <c r="V922" s="5">
        <v>1612.17</v>
      </c>
      <c r="Y922" s="5">
        <v>16604</v>
      </c>
      <c r="Z922" s="5">
        <v>26768913.989999998</v>
      </c>
      <c r="AA922" s="5">
        <v>352</v>
      </c>
      <c r="AB922" s="5" t="s">
        <v>85</v>
      </c>
      <c r="AC922" s="5">
        <v>1</v>
      </c>
    </row>
    <row r="923" spans="1:29" x14ac:dyDescent="0.3">
      <c r="A923" s="34">
        <v>46274</v>
      </c>
      <c r="B923" s="34">
        <v>46274</v>
      </c>
      <c r="C923" s="5" t="s">
        <v>78</v>
      </c>
      <c r="D923" s="5" t="s">
        <v>79</v>
      </c>
      <c r="E923" s="5" t="s">
        <v>80</v>
      </c>
      <c r="F923" s="5">
        <v>22239</v>
      </c>
      <c r="G923" s="5" t="s">
        <v>2862</v>
      </c>
      <c r="H923" s="5" t="s">
        <v>2863</v>
      </c>
      <c r="I923" s="5" t="s">
        <v>212</v>
      </c>
      <c r="N923" s="5" t="s">
        <v>2864</v>
      </c>
      <c r="O923" s="5">
        <v>1433</v>
      </c>
      <c r="P923" s="5">
        <v>1439.12</v>
      </c>
      <c r="Q923" s="5">
        <v>1433</v>
      </c>
      <c r="R923" s="5">
        <v>1435.07</v>
      </c>
      <c r="S923" s="5">
        <v>1433</v>
      </c>
      <c r="T923" s="5">
        <v>1435.18</v>
      </c>
      <c r="V923" s="5">
        <v>1432.31</v>
      </c>
      <c r="Y923" s="5">
        <v>6557</v>
      </c>
      <c r="Z923" s="5">
        <v>9403139.5</v>
      </c>
      <c r="AA923" s="5">
        <v>167</v>
      </c>
      <c r="AB923" s="5" t="s">
        <v>85</v>
      </c>
      <c r="AC923" s="5">
        <v>1</v>
      </c>
    </row>
    <row r="924" spans="1:29" x14ac:dyDescent="0.3">
      <c r="A924" s="34">
        <v>46274</v>
      </c>
      <c r="B924" s="34">
        <v>46274</v>
      </c>
      <c r="C924" s="5" t="s">
        <v>78</v>
      </c>
      <c r="D924" s="5" t="s">
        <v>79</v>
      </c>
      <c r="E924" s="5" t="s">
        <v>80</v>
      </c>
      <c r="F924" s="5">
        <v>13139</v>
      </c>
      <c r="G924" s="5" t="s">
        <v>2865</v>
      </c>
      <c r="H924" s="5" t="s">
        <v>2866</v>
      </c>
      <c r="I924" s="5" t="s">
        <v>212</v>
      </c>
      <c r="N924" s="5" t="s">
        <v>2867</v>
      </c>
      <c r="O924" s="5">
        <v>1306.94</v>
      </c>
      <c r="P924" s="5">
        <v>1313.98</v>
      </c>
      <c r="Q924" s="5">
        <v>1306.19</v>
      </c>
      <c r="R924" s="5">
        <v>1313.47</v>
      </c>
      <c r="S924" s="5">
        <v>1313.49</v>
      </c>
      <c r="T924" s="5">
        <v>1306.94</v>
      </c>
      <c r="V924" s="5">
        <v>1313.47</v>
      </c>
      <c r="Y924" s="5">
        <v>9974</v>
      </c>
      <c r="Z924" s="5">
        <v>13084744.970000001</v>
      </c>
      <c r="AA924" s="5">
        <v>123</v>
      </c>
      <c r="AB924" s="5" t="s">
        <v>85</v>
      </c>
      <c r="AC924" s="5">
        <v>1</v>
      </c>
    </row>
    <row r="925" spans="1:29" x14ac:dyDescent="0.3">
      <c r="A925" s="34">
        <v>46274</v>
      </c>
      <c r="B925" s="34">
        <v>46274</v>
      </c>
      <c r="C925" s="5" t="s">
        <v>78</v>
      </c>
      <c r="D925" s="5" t="s">
        <v>79</v>
      </c>
      <c r="E925" s="5" t="s">
        <v>80</v>
      </c>
      <c r="F925" s="5">
        <v>29019</v>
      </c>
      <c r="G925" s="5" t="s">
        <v>2868</v>
      </c>
      <c r="H925" s="5" t="s">
        <v>2869</v>
      </c>
      <c r="I925" s="5" t="s">
        <v>212</v>
      </c>
      <c r="N925" s="5" t="s">
        <v>2870</v>
      </c>
      <c r="O925" s="5">
        <v>23.65</v>
      </c>
      <c r="P925" s="5">
        <v>23.82</v>
      </c>
      <c r="Q925" s="5">
        <v>23.3</v>
      </c>
      <c r="R925" s="5">
        <v>23.47</v>
      </c>
      <c r="S925" s="5">
        <v>23.7</v>
      </c>
      <c r="T925" s="5">
        <v>23.73</v>
      </c>
      <c r="V925" s="5">
        <v>23.47</v>
      </c>
      <c r="Y925" s="5">
        <v>96564</v>
      </c>
      <c r="Z925" s="5">
        <v>2270328.9700000002</v>
      </c>
      <c r="AA925" s="5">
        <v>464</v>
      </c>
      <c r="AB925" s="5" t="s">
        <v>85</v>
      </c>
      <c r="AC925" s="5">
        <v>1</v>
      </c>
    </row>
    <row r="926" spans="1:29" x14ac:dyDescent="0.3">
      <c r="A926" s="34">
        <v>46274</v>
      </c>
      <c r="B926" s="34">
        <v>46274</v>
      </c>
      <c r="C926" s="5" t="s">
        <v>78</v>
      </c>
      <c r="D926" s="5" t="s">
        <v>79</v>
      </c>
      <c r="E926" s="5" t="s">
        <v>80</v>
      </c>
      <c r="F926" s="5">
        <v>19933</v>
      </c>
      <c r="G926" s="5" t="s">
        <v>2871</v>
      </c>
      <c r="H926" s="5" t="s">
        <v>2872</v>
      </c>
      <c r="I926" s="5" t="s">
        <v>212</v>
      </c>
      <c r="N926" s="5" t="s">
        <v>2873</v>
      </c>
      <c r="O926" s="5">
        <v>151.9</v>
      </c>
      <c r="P926" s="5">
        <v>152.9</v>
      </c>
      <c r="Q926" s="5">
        <v>151.35</v>
      </c>
      <c r="R926" s="5">
        <v>152.19999999999999</v>
      </c>
      <c r="S926" s="5">
        <v>152</v>
      </c>
      <c r="T926" s="5">
        <v>152.25</v>
      </c>
      <c r="V926" s="5">
        <v>152.19999999999999</v>
      </c>
      <c r="Y926" s="5">
        <v>410909</v>
      </c>
      <c r="Z926" s="5">
        <v>62373569.850000001</v>
      </c>
      <c r="AA926" s="5">
        <v>293</v>
      </c>
      <c r="AB926" s="5" t="s">
        <v>85</v>
      </c>
      <c r="AC926" s="5">
        <v>1</v>
      </c>
    </row>
    <row r="927" spans="1:29" x14ac:dyDescent="0.3">
      <c r="A927" s="34">
        <v>46274</v>
      </c>
      <c r="B927" s="34">
        <v>46274</v>
      </c>
      <c r="C927" s="5" t="s">
        <v>78</v>
      </c>
      <c r="D927" s="5" t="s">
        <v>79</v>
      </c>
      <c r="E927" s="5" t="s">
        <v>80</v>
      </c>
      <c r="F927" s="5">
        <v>759466</v>
      </c>
      <c r="G927" s="5" t="s">
        <v>2874</v>
      </c>
      <c r="H927" s="5" t="s">
        <v>2875</v>
      </c>
      <c r="I927" s="5" t="s">
        <v>212</v>
      </c>
      <c r="N927" s="5" t="s">
        <v>2876</v>
      </c>
      <c r="O927" s="5">
        <v>1047</v>
      </c>
      <c r="P927" s="5">
        <v>1050.75</v>
      </c>
      <c r="Q927" s="5">
        <v>1041.9100000000001</v>
      </c>
      <c r="R927" s="5">
        <v>1046.97</v>
      </c>
      <c r="S927" s="5">
        <v>1046.97</v>
      </c>
      <c r="T927" s="5">
        <v>1046.8399999999999</v>
      </c>
      <c r="V927" s="5">
        <v>1046.97</v>
      </c>
      <c r="Y927" s="5">
        <v>20826</v>
      </c>
      <c r="Z927" s="5">
        <v>21804848.809999999</v>
      </c>
      <c r="AA927" s="5">
        <v>29</v>
      </c>
      <c r="AB927" s="5" t="s">
        <v>85</v>
      </c>
      <c r="AC927" s="5">
        <v>1</v>
      </c>
    </row>
    <row r="928" spans="1:29" x14ac:dyDescent="0.3">
      <c r="A928" s="34">
        <v>46274</v>
      </c>
      <c r="B928" s="34">
        <v>46274</v>
      </c>
      <c r="C928" s="5" t="s">
        <v>78</v>
      </c>
      <c r="D928" s="5" t="s">
        <v>79</v>
      </c>
      <c r="E928" s="5" t="s">
        <v>80</v>
      </c>
      <c r="F928" s="5">
        <v>758952</v>
      </c>
      <c r="G928" s="5" t="s">
        <v>2877</v>
      </c>
      <c r="H928" s="5" t="s">
        <v>2878</v>
      </c>
      <c r="I928" s="5" t="s">
        <v>212</v>
      </c>
      <c r="N928" s="5" t="s">
        <v>2879</v>
      </c>
      <c r="O928" s="5">
        <v>16.55</v>
      </c>
      <c r="P928" s="5">
        <v>16.75</v>
      </c>
      <c r="Q928" s="5">
        <v>16.41</v>
      </c>
      <c r="R928" s="5">
        <v>16.52</v>
      </c>
      <c r="S928" s="5">
        <v>16.45</v>
      </c>
      <c r="T928" s="5">
        <v>16.47</v>
      </c>
      <c r="V928" s="5">
        <v>16.52</v>
      </c>
      <c r="Y928" s="5">
        <v>501245</v>
      </c>
      <c r="Z928" s="5">
        <v>8272539.1500000004</v>
      </c>
      <c r="AA928" s="5">
        <v>280</v>
      </c>
      <c r="AB928" s="5" t="s">
        <v>85</v>
      </c>
      <c r="AC928" s="5">
        <v>1</v>
      </c>
    </row>
    <row r="929" spans="1:29" x14ac:dyDescent="0.3">
      <c r="A929" s="34">
        <v>46274</v>
      </c>
      <c r="B929" s="34">
        <v>46274</v>
      </c>
      <c r="C929" s="5" t="s">
        <v>78</v>
      </c>
      <c r="D929" s="5" t="s">
        <v>79</v>
      </c>
      <c r="E929" s="5" t="s">
        <v>80</v>
      </c>
      <c r="F929" s="5">
        <v>764367</v>
      </c>
      <c r="G929" s="5" t="s">
        <v>2880</v>
      </c>
      <c r="H929" s="5" t="s">
        <v>2881</v>
      </c>
      <c r="I929" s="5" t="s">
        <v>212</v>
      </c>
      <c r="N929" s="5" t="s">
        <v>2882</v>
      </c>
      <c r="O929" s="5">
        <v>36.49</v>
      </c>
      <c r="P929" s="5">
        <v>36.49</v>
      </c>
      <c r="Q929" s="5">
        <v>35.43</v>
      </c>
      <c r="R929" s="5">
        <v>35.6</v>
      </c>
      <c r="S929" s="5">
        <v>35.43</v>
      </c>
      <c r="T929" s="5">
        <v>36.130000000000003</v>
      </c>
      <c r="V929" s="5">
        <v>35.6</v>
      </c>
      <c r="Y929" s="5">
        <v>2844</v>
      </c>
      <c r="Z929" s="5">
        <v>102417.95</v>
      </c>
      <c r="AA929" s="5">
        <v>29</v>
      </c>
      <c r="AB929" s="5" t="s">
        <v>85</v>
      </c>
      <c r="AC929" s="5">
        <v>1</v>
      </c>
    </row>
    <row r="930" spans="1:29" x14ac:dyDescent="0.3">
      <c r="A930" s="34">
        <v>46274</v>
      </c>
      <c r="B930" s="34">
        <v>46274</v>
      </c>
      <c r="C930" s="5" t="s">
        <v>78</v>
      </c>
      <c r="D930" s="5" t="s">
        <v>79</v>
      </c>
      <c r="E930" s="5" t="s">
        <v>80</v>
      </c>
      <c r="F930" s="5">
        <v>764288</v>
      </c>
      <c r="G930" s="5" t="s">
        <v>2883</v>
      </c>
      <c r="H930" s="5" t="s">
        <v>2884</v>
      </c>
      <c r="I930" s="5" t="s">
        <v>212</v>
      </c>
      <c r="N930" s="5" t="s">
        <v>2885</v>
      </c>
      <c r="O930" s="5">
        <v>13.49</v>
      </c>
      <c r="P930" s="5">
        <v>13.49</v>
      </c>
      <c r="Q930" s="5">
        <v>13.15</v>
      </c>
      <c r="R930" s="5">
        <v>13.4</v>
      </c>
      <c r="S930" s="5">
        <v>13.4</v>
      </c>
      <c r="T930" s="5">
        <v>13.2</v>
      </c>
      <c r="V930" s="5">
        <v>13.4</v>
      </c>
      <c r="Y930" s="5">
        <v>8228</v>
      </c>
      <c r="Z930" s="5">
        <v>109329.83</v>
      </c>
      <c r="AA930" s="5">
        <v>32</v>
      </c>
      <c r="AB930" s="5" t="s">
        <v>85</v>
      </c>
      <c r="AC930" s="5">
        <v>1</v>
      </c>
    </row>
    <row r="931" spans="1:29" x14ac:dyDescent="0.3">
      <c r="A931" s="34">
        <v>46274</v>
      </c>
      <c r="B931" s="34">
        <v>46274</v>
      </c>
      <c r="C931" s="5" t="s">
        <v>78</v>
      </c>
      <c r="D931" s="5" t="s">
        <v>79</v>
      </c>
      <c r="E931" s="5" t="s">
        <v>80</v>
      </c>
      <c r="F931" s="5">
        <v>25996</v>
      </c>
      <c r="G931" s="5" t="s">
        <v>2886</v>
      </c>
      <c r="H931" s="5" t="s">
        <v>2887</v>
      </c>
      <c r="I931" s="5" t="s">
        <v>212</v>
      </c>
      <c r="N931" s="5" t="s">
        <v>2888</v>
      </c>
      <c r="O931" s="5">
        <v>42.09</v>
      </c>
      <c r="P931" s="5">
        <v>42.35</v>
      </c>
      <c r="Q931" s="5">
        <v>41.87</v>
      </c>
      <c r="R931" s="5">
        <v>42.19</v>
      </c>
      <c r="S931" s="5">
        <v>42.24</v>
      </c>
      <c r="T931" s="5">
        <v>42.09</v>
      </c>
      <c r="V931" s="5">
        <v>42.19</v>
      </c>
      <c r="Y931" s="5">
        <v>12855</v>
      </c>
      <c r="Z931" s="5">
        <v>540484.88</v>
      </c>
      <c r="AA931" s="5">
        <v>127</v>
      </c>
      <c r="AB931" s="5" t="s">
        <v>85</v>
      </c>
      <c r="AC931" s="5">
        <v>1</v>
      </c>
    </row>
    <row r="932" spans="1:29" x14ac:dyDescent="0.3">
      <c r="A932" s="34">
        <v>46274</v>
      </c>
      <c r="B932" s="34">
        <v>46274</v>
      </c>
      <c r="C932" s="5" t="s">
        <v>78</v>
      </c>
      <c r="D932" s="5" t="s">
        <v>79</v>
      </c>
      <c r="E932" s="5" t="s">
        <v>80</v>
      </c>
      <c r="F932" s="5">
        <v>763540</v>
      </c>
      <c r="G932" s="5" t="s">
        <v>2889</v>
      </c>
      <c r="H932" s="5" t="s">
        <v>2890</v>
      </c>
      <c r="I932" s="5" t="s">
        <v>212</v>
      </c>
      <c r="N932" s="5" t="s">
        <v>2891</v>
      </c>
      <c r="O932" s="5">
        <v>72.849999999999994</v>
      </c>
      <c r="P932" s="5">
        <v>72.89</v>
      </c>
      <c r="Q932" s="5">
        <v>72.260000000000005</v>
      </c>
      <c r="R932" s="5">
        <v>72.599999999999994</v>
      </c>
      <c r="S932" s="5">
        <v>72.599999999999994</v>
      </c>
      <c r="T932" s="5">
        <v>72.849999999999994</v>
      </c>
      <c r="V932" s="5">
        <v>72.599999999999994</v>
      </c>
      <c r="Y932" s="5">
        <v>10396</v>
      </c>
      <c r="Z932" s="5">
        <v>757540.49</v>
      </c>
      <c r="AA932" s="5">
        <v>10</v>
      </c>
      <c r="AB932" s="5" t="s">
        <v>85</v>
      </c>
      <c r="AC932" s="5">
        <v>1</v>
      </c>
    </row>
    <row r="933" spans="1:29" x14ac:dyDescent="0.3">
      <c r="A933" s="34">
        <v>46274</v>
      </c>
      <c r="B933" s="34">
        <v>46274</v>
      </c>
      <c r="C933" s="5" t="s">
        <v>78</v>
      </c>
      <c r="D933" s="5" t="s">
        <v>79</v>
      </c>
      <c r="E933" s="5" t="s">
        <v>80</v>
      </c>
      <c r="F933" s="5">
        <v>759998</v>
      </c>
      <c r="G933" s="5" t="s">
        <v>2892</v>
      </c>
      <c r="H933" s="5" t="s">
        <v>2893</v>
      </c>
      <c r="I933" s="5" t="s">
        <v>212</v>
      </c>
      <c r="N933" s="5" t="s">
        <v>2894</v>
      </c>
      <c r="O933" s="5">
        <v>24.48</v>
      </c>
      <c r="P933" s="5">
        <v>24.48</v>
      </c>
      <c r="Q933" s="5">
        <v>23.68</v>
      </c>
      <c r="R933" s="5">
        <v>23.7</v>
      </c>
      <c r="S933" s="5">
        <v>23.7</v>
      </c>
      <c r="T933" s="5">
        <v>23.89</v>
      </c>
      <c r="V933" s="5">
        <v>23.7</v>
      </c>
      <c r="Y933" s="5">
        <v>11449</v>
      </c>
      <c r="Z933" s="5">
        <v>271819.84000000003</v>
      </c>
      <c r="AA933" s="5">
        <v>49</v>
      </c>
      <c r="AB933" s="5" t="s">
        <v>85</v>
      </c>
      <c r="AC933" s="5">
        <v>1</v>
      </c>
    </row>
    <row r="934" spans="1:29" x14ac:dyDescent="0.3">
      <c r="A934" s="34">
        <v>46274</v>
      </c>
      <c r="B934" s="34">
        <v>46274</v>
      </c>
      <c r="C934" s="5" t="s">
        <v>78</v>
      </c>
      <c r="D934" s="5" t="s">
        <v>79</v>
      </c>
      <c r="E934" s="5" t="s">
        <v>80</v>
      </c>
      <c r="F934" s="5">
        <v>759995</v>
      </c>
      <c r="G934" s="5" t="s">
        <v>2895</v>
      </c>
      <c r="H934" s="5" t="s">
        <v>2896</v>
      </c>
      <c r="I934" s="5" t="s">
        <v>212</v>
      </c>
      <c r="N934" s="5" t="s">
        <v>2897</v>
      </c>
      <c r="O934" s="5">
        <v>76</v>
      </c>
      <c r="P934" s="5">
        <v>76.02</v>
      </c>
      <c r="Q934" s="5">
        <v>75.489999999999995</v>
      </c>
      <c r="R934" s="5">
        <v>75.63</v>
      </c>
      <c r="S934" s="5">
        <v>75.650000000000006</v>
      </c>
      <c r="T934" s="5">
        <v>76.459999999999994</v>
      </c>
      <c r="V934" s="5">
        <v>75.63</v>
      </c>
      <c r="Y934" s="5">
        <v>972</v>
      </c>
      <c r="Z934" s="5">
        <v>73569.16</v>
      </c>
      <c r="AA934" s="5">
        <v>42</v>
      </c>
      <c r="AB934" s="5" t="s">
        <v>85</v>
      </c>
      <c r="AC934" s="5">
        <v>1</v>
      </c>
    </row>
    <row r="935" spans="1:29" x14ac:dyDescent="0.3">
      <c r="A935" s="34">
        <v>46274</v>
      </c>
      <c r="B935" s="34">
        <v>46274</v>
      </c>
      <c r="C935" s="5" t="s">
        <v>78</v>
      </c>
      <c r="D935" s="5" t="s">
        <v>79</v>
      </c>
      <c r="E935" s="5" t="s">
        <v>80</v>
      </c>
      <c r="F935" s="5">
        <v>20257</v>
      </c>
      <c r="G935" s="5" t="s">
        <v>2898</v>
      </c>
      <c r="H935" s="5" t="s">
        <v>2899</v>
      </c>
      <c r="I935" s="5" t="s">
        <v>212</v>
      </c>
      <c r="N935" s="5" t="s">
        <v>2900</v>
      </c>
      <c r="O935" s="5">
        <v>230.45</v>
      </c>
      <c r="P935" s="5">
        <v>233.5</v>
      </c>
      <c r="Q935" s="5">
        <v>230.45</v>
      </c>
      <c r="R935" s="5">
        <v>232.93</v>
      </c>
      <c r="S935" s="5">
        <v>231.2</v>
      </c>
      <c r="T935" s="5">
        <v>230.45</v>
      </c>
      <c r="V935" s="5">
        <v>232.93</v>
      </c>
      <c r="Y935" s="5">
        <v>237689</v>
      </c>
      <c r="Z935" s="5">
        <v>55360848.899999999</v>
      </c>
      <c r="AA935" s="5">
        <v>475</v>
      </c>
      <c r="AB935" s="5" t="s">
        <v>85</v>
      </c>
      <c r="AC935" s="5">
        <v>1</v>
      </c>
    </row>
    <row r="936" spans="1:29" x14ac:dyDescent="0.3">
      <c r="A936" s="34">
        <v>46274</v>
      </c>
      <c r="B936" s="34">
        <v>46274</v>
      </c>
      <c r="C936" s="5" t="s">
        <v>78</v>
      </c>
      <c r="D936" s="5" t="s">
        <v>79</v>
      </c>
      <c r="E936" s="5" t="s">
        <v>80</v>
      </c>
      <c r="F936" s="5">
        <v>15119</v>
      </c>
      <c r="G936" s="5" t="s">
        <v>2901</v>
      </c>
      <c r="H936" s="5" t="s">
        <v>2902</v>
      </c>
      <c r="I936" s="5" t="s">
        <v>212</v>
      </c>
      <c r="N936" s="5" t="s">
        <v>2903</v>
      </c>
      <c r="O936" s="5">
        <v>139.15</v>
      </c>
      <c r="P936" s="5">
        <v>139.15</v>
      </c>
      <c r="Q936" s="5">
        <v>131.4</v>
      </c>
      <c r="R936" s="5">
        <v>133.63</v>
      </c>
      <c r="S936" s="5">
        <v>132.80000000000001</v>
      </c>
      <c r="T936" s="5">
        <v>138.80000000000001</v>
      </c>
      <c r="V936" s="5">
        <v>133.63999999999999</v>
      </c>
      <c r="Y936" s="5">
        <v>7709484</v>
      </c>
      <c r="Z936" s="5">
        <v>1047137839.01</v>
      </c>
      <c r="AA936" s="5">
        <v>112991</v>
      </c>
      <c r="AB936" s="5" t="s">
        <v>85</v>
      </c>
      <c r="AC936" s="5">
        <v>1</v>
      </c>
    </row>
    <row r="937" spans="1:29" x14ac:dyDescent="0.3">
      <c r="A937" s="34">
        <v>46274</v>
      </c>
      <c r="B937" s="34">
        <v>46274</v>
      </c>
      <c r="C937" s="5" t="s">
        <v>78</v>
      </c>
      <c r="D937" s="5" t="s">
        <v>79</v>
      </c>
      <c r="E937" s="5" t="s">
        <v>80</v>
      </c>
      <c r="F937" s="5">
        <v>758675</v>
      </c>
      <c r="G937" s="5" t="s">
        <v>2904</v>
      </c>
      <c r="H937" s="5" t="s">
        <v>2905</v>
      </c>
      <c r="I937" s="5" t="s">
        <v>212</v>
      </c>
      <c r="N937" s="5" t="s">
        <v>2906</v>
      </c>
      <c r="O937" s="5">
        <v>185.11</v>
      </c>
      <c r="P937" s="5">
        <v>191.7</v>
      </c>
      <c r="Q937" s="5">
        <v>182.04</v>
      </c>
      <c r="R937" s="5">
        <v>189.52</v>
      </c>
      <c r="S937" s="5">
        <v>187.52</v>
      </c>
      <c r="T937" s="5">
        <v>186.53</v>
      </c>
      <c r="V937" s="5">
        <v>189.51</v>
      </c>
      <c r="Y937" s="5">
        <v>350498</v>
      </c>
      <c r="Z937" s="5">
        <v>65980012.899999999</v>
      </c>
      <c r="AA937" s="5">
        <v>5621</v>
      </c>
      <c r="AB937" s="5" t="s">
        <v>85</v>
      </c>
      <c r="AC937" s="5">
        <v>1</v>
      </c>
    </row>
    <row r="938" spans="1:29" x14ac:dyDescent="0.3">
      <c r="A938" s="34">
        <v>46274</v>
      </c>
      <c r="B938" s="34">
        <v>46274</v>
      </c>
      <c r="C938" s="5" t="s">
        <v>78</v>
      </c>
      <c r="D938" s="5" t="s">
        <v>79</v>
      </c>
      <c r="E938" s="5" t="s">
        <v>80</v>
      </c>
      <c r="F938" s="5">
        <v>24435</v>
      </c>
      <c r="G938" s="5" t="s">
        <v>2907</v>
      </c>
      <c r="H938" s="5" t="s">
        <v>2908</v>
      </c>
      <c r="I938" s="5" t="s">
        <v>313</v>
      </c>
      <c r="N938" s="5" t="s">
        <v>2909</v>
      </c>
      <c r="O938" s="5">
        <v>360</v>
      </c>
      <c r="P938" s="5">
        <v>379</v>
      </c>
      <c r="Q938" s="5">
        <v>360</v>
      </c>
      <c r="R938" s="5">
        <v>372</v>
      </c>
      <c r="S938" s="5">
        <v>374</v>
      </c>
      <c r="T938" s="5">
        <v>360.5</v>
      </c>
      <c r="V938" s="5">
        <v>372</v>
      </c>
      <c r="Y938" s="5">
        <v>15600</v>
      </c>
      <c r="Z938" s="5">
        <v>5817360</v>
      </c>
      <c r="AA938" s="5">
        <v>32</v>
      </c>
      <c r="AB938" s="5" t="s">
        <v>85</v>
      </c>
      <c r="AC938" s="5">
        <v>400</v>
      </c>
    </row>
    <row r="939" spans="1:29" x14ac:dyDescent="0.3">
      <c r="A939" s="34">
        <v>46274</v>
      </c>
      <c r="B939" s="34">
        <v>46274</v>
      </c>
      <c r="C939" s="5" t="s">
        <v>78</v>
      </c>
      <c r="D939" s="5" t="s">
        <v>79</v>
      </c>
      <c r="E939" s="5" t="s">
        <v>80</v>
      </c>
      <c r="F939" s="5">
        <v>910</v>
      </c>
      <c r="G939" s="5" t="s">
        <v>2910</v>
      </c>
      <c r="H939" s="5" t="s">
        <v>2911</v>
      </c>
      <c r="I939" s="5" t="s">
        <v>212</v>
      </c>
      <c r="N939" s="5" t="s">
        <v>2912</v>
      </c>
      <c r="O939" s="5">
        <v>7687</v>
      </c>
      <c r="P939" s="5">
        <v>7784.5</v>
      </c>
      <c r="Q939" s="5">
        <v>7664.5</v>
      </c>
      <c r="R939" s="5">
        <v>7734.5</v>
      </c>
      <c r="S939" s="5">
        <v>7734.5</v>
      </c>
      <c r="T939" s="5">
        <v>7747.5</v>
      </c>
      <c r="V939" s="5">
        <v>7734.53</v>
      </c>
      <c r="Y939" s="5">
        <v>318638</v>
      </c>
      <c r="Z939" s="5">
        <v>2459785716.5</v>
      </c>
      <c r="AA939" s="5">
        <v>37360</v>
      </c>
      <c r="AB939" s="5" t="s">
        <v>85</v>
      </c>
      <c r="AC939" s="5">
        <v>1</v>
      </c>
    </row>
    <row r="940" spans="1:29" x14ac:dyDescent="0.3">
      <c r="A940" s="34">
        <v>46274</v>
      </c>
      <c r="B940" s="34">
        <v>46274</v>
      </c>
      <c r="C940" s="5" t="s">
        <v>78</v>
      </c>
      <c r="D940" s="5" t="s">
        <v>79</v>
      </c>
      <c r="E940" s="5" t="s">
        <v>80</v>
      </c>
      <c r="F940" s="5">
        <v>916</v>
      </c>
      <c r="G940" s="5" t="s">
        <v>2913</v>
      </c>
      <c r="H940" s="5" t="s">
        <v>2914</v>
      </c>
      <c r="I940" s="5" t="s">
        <v>212</v>
      </c>
      <c r="N940" s="5" t="s">
        <v>2915</v>
      </c>
      <c r="O940" s="5">
        <v>765</v>
      </c>
      <c r="P940" s="5">
        <v>767</v>
      </c>
      <c r="Q940" s="5">
        <v>746.1</v>
      </c>
      <c r="R940" s="5">
        <v>756.7</v>
      </c>
      <c r="S940" s="5">
        <v>756</v>
      </c>
      <c r="T940" s="5">
        <v>763.7</v>
      </c>
      <c r="V940" s="5">
        <v>756.67</v>
      </c>
      <c r="Y940" s="5">
        <v>361348</v>
      </c>
      <c r="Z940" s="5">
        <v>273076975.25</v>
      </c>
      <c r="AA940" s="5">
        <v>17685</v>
      </c>
      <c r="AB940" s="5" t="s">
        <v>85</v>
      </c>
      <c r="AC940" s="5">
        <v>1</v>
      </c>
    </row>
    <row r="941" spans="1:29" x14ac:dyDescent="0.3">
      <c r="A941" s="34">
        <v>46274</v>
      </c>
      <c r="B941" s="34">
        <v>46274</v>
      </c>
      <c r="C941" s="5" t="s">
        <v>78</v>
      </c>
      <c r="D941" s="5" t="s">
        <v>79</v>
      </c>
      <c r="E941" s="5" t="s">
        <v>80</v>
      </c>
      <c r="F941" s="5">
        <v>15399</v>
      </c>
      <c r="G941" s="5" t="s">
        <v>2916</v>
      </c>
      <c r="H941" s="5" t="s">
        <v>2917</v>
      </c>
      <c r="I941" s="5" t="s">
        <v>212</v>
      </c>
      <c r="N941" s="5" t="s">
        <v>2918</v>
      </c>
      <c r="O941" s="5">
        <v>295.7</v>
      </c>
      <c r="P941" s="5">
        <v>300.60000000000002</v>
      </c>
      <c r="Q941" s="5">
        <v>292</v>
      </c>
      <c r="R941" s="5">
        <v>293.3</v>
      </c>
      <c r="S941" s="5">
        <v>292</v>
      </c>
      <c r="T941" s="5">
        <v>295.7</v>
      </c>
      <c r="V941" s="5">
        <v>293.38</v>
      </c>
      <c r="Y941" s="5">
        <v>13571</v>
      </c>
      <c r="Z941" s="5">
        <v>4010369.55</v>
      </c>
      <c r="AA941" s="5">
        <v>971</v>
      </c>
      <c r="AB941" s="5" t="s">
        <v>85</v>
      </c>
      <c r="AC941" s="5">
        <v>1</v>
      </c>
    </row>
    <row r="942" spans="1:29" x14ac:dyDescent="0.3">
      <c r="A942" s="34">
        <v>46274</v>
      </c>
      <c r="B942" s="34">
        <v>46274</v>
      </c>
      <c r="C942" s="5" t="s">
        <v>78</v>
      </c>
      <c r="D942" s="5" t="s">
        <v>79</v>
      </c>
      <c r="E942" s="5" t="s">
        <v>80</v>
      </c>
      <c r="F942" s="5">
        <v>919</v>
      </c>
      <c r="G942" s="5" t="s">
        <v>2919</v>
      </c>
      <c r="H942" s="5" t="s">
        <v>2920</v>
      </c>
      <c r="I942" s="5" t="s">
        <v>212</v>
      </c>
      <c r="N942" s="5" t="s">
        <v>2921</v>
      </c>
      <c r="O942" s="5">
        <v>295.25</v>
      </c>
      <c r="P942" s="5">
        <v>295.75</v>
      </c>
      <c r="Q942" s="5">
        <v>288.3</v>
      </c>
      <c r="R942" s="5">
        <v>289.35000000000002</v>
      </c>
      <c r="S942" s="5">
        <v>288.3</v>
      </c>
      <c r="T942" s="5">
        <v>295.75</v>
      </c>
      <c r="V942" s="5">
        <v>289.36</v>
      </c>
      <c r="Y942" s="5">
        <v>133319</v>
      </c>
      <c r="Z942" s="5">
        <v>38820477.5</v>
      </c>
      <c r="AA942" s="5">
        <v>6143</v>
      </c>
      <c r="AB942" s="5" t="s">
        <v>85</v>
      </c>
      <c r="AC942" s="5">
        <v>1</v>
      </c>
    </row>
    <row r="943" spans="1:29" x14ac:dyDescent="0.3">
      <c r="A943" s="34">
        <v>46274</v>
      </c>
      <c r="B943" s="34">
        <v>46274</v>
      </c>
      <c r="C943" s="5" t="s">
        <v>78</v>
      </c>
      <c r="D943" s="5" t="s">
        <v>79</v>
      </c>
      <c r="E943" s="5" t="s">
        <v>80</v>
      </c>
      <c r="F943" s="5">
        <v>4040</v>
      </c>
      <c r="G943" s="5" t="s">
        <v>2922</v>
      </c>
      <c r="H943" s="5" t="s">
        <v>2923</v>
      </c>
      <c r="I943" s="5" t="s">
        <v>212</v>
      </c>
      <c r="N943" s="5" t="s">
        <v>2924</v>
      </c>
      <c r="O943" s="5">
        <v>2272.9</v>
      </c>
      <c r="P943" s="5">
        <v>2297.6</v>
      </c>
      <c r="Q943" s="5">
        <v>2205</v>
      </c>
      <c r="R943" s="5">
        <v>2221.6</v>
      </c>
      <c r="S943" s="5">
        <v>2205.1999999999998</v>
      </c>
      <c r="T943" s="5">
        <v>2258.1999999999998</v>
      </c>
      <c r="V943" s="5">
        <v>2221.0700000000002</v>
      </c>
      <c r="Y943" s="5">
        <v>14430</v>
      </c>
      <c r="Z943" s="5">
        <v>32316458.399999999</v>
      </c>
      <c r="AA943" s="5">
        <v>1923</v>
      </c>
      <c r="AB943" s="5" t="s">
        <v>85</v>
      </c>
      <c r="AC943" s="5">
        <v>1</v>
      </c>
    </row>
    <row r="944" spans="1:29" x14ac:dyDescent="0.3">
      <c r="A944" s="34">
        <v>46274</v>
      </c>
      <c r="B944" s="34">
        <v>46274</v>
      </c>
      <c r="C944" s="5" t="s">
        <v>78</v>
      </c>
      <c r="D944" s="5" t="s">
        <v>79</v>
      </c>
      <c r="E944" s="5" t="s">
        <v>80</v>
      </c>
      <c r="F944" s="5">
        <v>764668</v>
      </c>
      <c r="G944" s="5" t="s">
        <v>2925</v>
      </c>
      <c r="H944" s="5" t="s">
        <v>2926</v>
      </c>
      <c r="I944" s="5" t="s">
        <v>212</v>
      </c>
      <c r="N944" s="5" t="s">
        <v>2927</v>
      </c>
      <c r="O944" s="5">
        <v>73</v>
      </c>
      <c r="P944" s="5">
        <v>73</v>
      </c>
      <c r="Q944" s="5">
        <v>70.3</v>
      </c>
      <c r="R944" s="5">
        <v>71.38</v>
      </c>
      <c r="S944" s="5">
        <v>71.489999999999995</v>
      </c>
      <c r="T944" s="5">
        <v>70.81</v>
      </c>
      <c r="V944" s="5">
        <v>71.47</v>
      </c>
      <c r="Y944" s="5">
        <v>7555</v>
      </c>
      <c r="Z944" s="5">
        <v>542986.61</v>
      </c>
      <c r="AA944" s="5">
        <v>253</v>
      </c>
      <c r="AB944" s="5" t="s">
        <v>85</v>
      </c>
      <c r="AC944" s="5">
        <v>1</v>
      </c>
    </row>
    <row r="945" spans="1:29" x14ac:dyDescent="0.3">
      <c r="A945" s="34">
        <v>46274</v>
      </c>
      <c r="B945" s="34">
        <v>46274</v>
      </c>
      <c r="C945" s="5" t="s">
        <v>78</v>
      </c>
      <c r="D945" s="5" t="s">
        <v>79</v>
      </c>
      <c r="E945" s="5" t="s">
        <v>80</v>
      </c>
      <c r="F945" s="5">
        <v>762653</v>
      </c>
      <c r="G945" s="5" t="s">
        <v>2928</v>
      </c>
      <c r="H945" s="5" t="s">
        <v>2929</v>
      </c>
      <c r="I945" s="5" t="s">
        <v>212</v>
      </c>
      <c r="N945" s="5" t="s">
        <v>2930</v>
      </c>
      <c r="O945" s="5">
        <v>13849</v>
      </c>
      <c r="P945" s="5">
        <v>13850</v>
      </c>
      <c r="Q945" s="5">
        <v>13510</v>
      </c>
      <c r="R945" s="5">
        <v>13618</v>
      </c>
      <c r="S945" s="5">
        <v>13547</v>
      </c>
      <c r="T945" s="5">
        <v>13891</v>
      </c>
      <c r="V945" s="5">
        <v>13617.71</v>
      </c>
      <c r="Y945" s="5">
        <v>1998</v>
      </c>
      <c r="Z945" s="5">
        <v>27430720</v>
      </c>
      <c r="AA945" s="5">
        <v>1160</v>
      </c>
      <c r="AB945" s="5" t="s">
        <v>85</v>
      </c>
      <c r="AC945" s="5">
        <v>1</v>
      </c>
    </row>
    <row r="946" spans="1:29" x14ac:dyDescent="0.3">
      <c r="A946" s="34">
        <v>46274</v>
      </c>
      <c r="B946" s="34">
        <v>46274</v>
      </c>
      <c r="C946" s="5" t="s">
        <v>78</v>
      </c>
      <c r="D946" s="5" t="s">
        <v>79</v>
      </c>
      <c r="E946" s="5" t="s">
        <v>80</v>
      </c>
      <c r="F946" s="5">
        <v>762658</v>
      </c>
      <c r="G946" s="5" t="s">
        <v>2931</v>
      </c>
      <c r="H946" s="5" t="s">
        <v>2932</v>
      </c>
      <c r="I946" s="5" t="s">
        <v>212</v>
      </c>
      <c r="N946" s="5" t="s">
        <v>2933</v>
      </c>
      <c r="O946" s="5">
        <v>107500</v>
      </c>
      <c r="P946" s="5">
        <v>108495</v>
      </c>
      <c r="Q946" s="5">
        <v>105340</v>
      </c>
      <c r="R946" s="5">
        <v>108000</v>
      </c>
      <c r="S946" s="5">
        <v>108000</v>
      </c>
      <c r="T946" s="5">
        <v>106500</v>
      </c>
      <c r="V946" s="5">
        <v>107281</v>
      </c>
      <c r="Y946" s="5">
        <v>21</v>
      </c>
      <c r="Z946" s="5">
        <v>2246995</v>
      </c>
      <c r="AA946" s="5">
        <v>15</v>
      </c>
      <c r="AB946" s="5" t="s">
        <v>85</v>
      </c>
      <c r="AC946" s="5">
        <v>1</v>
      </c>
    </row>
    <row r="947" spans="1:29" x14ac:dyDescent="0.3">
      <c r="A947" s="34">
        <v>46274</v>
      </c>
      <c r="B947" s="34">
        <v>46274</v>
      </c>
      <c r="C947" s="5" t="s">
        <v>78</v>
      </c>
      <c r="D947" s="5" t="s">
        <v>79</v>
      </c>
      <c r="E947" s="5" t="s">
        <v>80</v>
      </c>
      <c r="F947" s="5">
        <v>8953</v>
      </c>
      <c r="G947" s="5" t="s">
        <v>2934</v>
      </c>
      <c r="H947" s="5" t="s">
        <v>2935</v>
      </c>
      <c r="I947" s="5" t="s">
        <v>212</v>
      </c>
      <c r="N947" s="5" t="s">
        <v>2936</v>
      </c>
      <c r="O947" s="5">
        <v>795.7</v>
      </c>
      <c r="P947" s="5">
        <v>796.75</v>
      </c>
      <c r="Q947" s="5">
        <v>775</v>
      </c>
      <c r="R947" s="5">
        <v>775.4</v>
      </c>
      <c r="S947" s="5">
        <v>775</v>
      </c>
      <c r="T947" s="5">
        <v>795.7</v>
      </c>
      <c r="V947" s="5">
        <v>775.4</v>
      </c>
      <c r="Y947" s="5">
        <v>951</v>
      </c>
      <c r="Z947" s="5">
        <v>739221.35</v>
      </c>
      <c r="AA947" s="5">
        <v>70</v>
      </c>
      <c r="AB947" s="5" t="s">
        <v>85</v>
      </c>
      <c r="AC947" s="5">
        <v>1</v>
      </c>
    </row>
    <row r="948" spans="1:29" x14ac:dyDescent="0.3">
      <c r="A948" s="34">
        <v>46274</v>
      </c>
      <c r="B948" s="34">
        <v>46274</v>
      </c>
      <c r="C948" s="5" t="s">
        <v>78</v>
      </c>
      <c r="D948" s="5" t="s">
        <v>79</v>
      </c>
      <c r="E948" s="5" t="s">
        <v>80</v>
      </c>
      <c r="F948" s="5">
        <v>13643</v>
      </c>
      <c r="G948" s="5" t="s">
        <v>2937</v>
      </c>
      <c r="H948" s="5" t="s">
        <v>2938</v>
      </c>
      <c r="I948" s="5" t="s">
        <v>212</v>
      </c>
      <c r="N948" s="5" t="s">
        <v>2939</v>
      </c>
      <c r="O948" s="5">
        <v>421.95</v>
      </c>
      <c r="P948" s="5">
        <v>427.35</v>
      </c>
      <c r="Q948" s="5">
        <v>416.8</v>
      </c>
      <c r="R948" s="5">
        <v>419.4</v>
      </c>
      <c r="S948" s="5">
        <v>420</v>
      </c>
      <c r="T948" s="5">
        <v>421.15</v>
      </c>
      <c r="V948" s="5">
        <v>419.58</v>
      </c>
      <c r="Y948" s="5">
        <v>286939</v>
      </c>
      <c r="Z948" s="5">
        <v>120881349.3</v>
      </c>
      <c r="AA948" s="5">
        <v>10539</v>
      </c>
      <c r="AB948" s="5" t="s">
        <v>85</v>
      </c>
      <c r="AC948" s="5">
        <v>1</v>
      </c>
    </row>
    <row r="949" spans="1:29" x14ac:dyDescent="0.3">
      <c r="A949" s="34">
        <v>46274</v>
      </c>
      <c r="B949" s="34">
        <v>46274</v>
      </c>
      <c r="C949" s="5" t="s">
        <v>78</v>
      </c>
      <c r="D949" s="5" t="s">
        <v>79</v>
      </c>
      <c r="E949" s="5" t="s">
        <v>80</v>
      </c>
      <c r="F949" s="5">
        <v>20899</v>
      </c>
      <c r="G949" s="5" t="s">
        <v>2940</v>
      </c>
      <c r="H949" s="5" t="s">
        <v>2941</v>
      </c>
      <c r="I949" s="5" t="s">
        <v>313</v>
      </c>
      <c r="N949" s="5" t="s">
        <v>2942</v>
      </c>
      <c r="O949" s="5">
        <v>19.5</v>
      </c>
      <c r="P949" s="5">
        <v>19.95</v>
      </c>
      <c r="Q949" s="5">
        <v>19.05</v>
      </c>
      <c r="R949" s="5">
        <v>19.600000000000001</v>
      </c>
      <c r="S949" s="5">
        <v>19.600000000000001</v>
      </c>
      <c r="T949" s="5">
        <v>19.5</v>
      </c>
      <c r="V949" s="5">
        <v>19.600000000000001</v>
      </c>
      <c r="Y949" s="5">
        <v>8400</v>
      </c>
      <c r="Z949" s="5">
        <v>164400</v>
      </c>
      <c r="AA949" s="5">
        <v>7</v>
      </c>
      <c r="AB949" s="5" t="s">
        <v>85</v>
      </c>
      <c r="AC949" s="5">
        <v>1200</v>
      </c>
    </row>
    <row r="950" spans="1:29" x14ac:dyDescent="0.3">
      <c r="A950" s="34">
        <v>46274</v>
      </c>
      <c r="B950" s="34">
        <v>46274</v>
      </c>
      <c r="C950" s="5" t="s">
        <v>78</v>
      </c>
      <c r="D950" s="5" t="s">
        <v>79</v>
      </c>
      <c r="E950" s="5" t="s">
        <v>80</v>
      </c>
      <c r="F950" s="5">
        <v>11530</v>
      </c>
      <c r="G950" s="5" t="s">
        <v>2943</v>
      </c>
      <c r="H950" s="5" t="s">
        <v>2944</v>
      </c>
      <c r="I950" s="5" t="s">
        <v>212</v>
      </c>
      <c r="N950" s="5" t="s">
        <v>2945</v>
      </c>
      <c r="O950" s="5">
        <v>186.4</v>
      </c>
      <c r="P950" s="5">
        <v>188.4</v>
      </c>
      <c r="Q950" s="5">
        <v>181.05</v>
      </c>
      <c r="R950" s="5">
        <v>182.65</v>
      </c>
      <c r="S950" s="5">
        <v>181.41</v>
      </c>
      <c r="T950" s="5">
        <v>186.02</v>
      </c>
      <c r="V950" s="5">
        <v>182.65</v>
      </c>
      <c r="Y950" s="5">
        <v>1903526</v>
      </c>
      <c r="Z950" s="5">
        <v>349260909.63</v>
      </c>
      <c r="AA950" s="5">
        <v>19090</v>
      </c>
      <c r="AB950" s="5" t="s">
        <v>85</v>
      </c>
      <c r="AC950" s="5">
        <v>1</v>
      </c>
    </row>
    <row r="951" spans="1:29" x14ac:dyDescent="0.3">
      <c r="A951" s="34">
        <v>46274</v>
      </c>
      <c r="B951" s="34">
        <v>46274</v>
      </c>
      <c r="C951" s="5" t="s">
        <v>78</v>
      </c>
      <c r="D951" s="5" t="s">
        <v>79</v>
      </c>
      <c r="E951" s="5" t="s">
        <v>80</v>
      </c>
      <c r="F951" s="5">
        <v>928</v>
      </c>
      <c r="G951" s="5" t="s">
        <v>2946</v>
      </c>
      <c r="H951" s="5" t="s">
        <v>2947</v>
      </c>
      <c r="I951" s="5" t="s">
        <v>212</v>
      </c>
      <c r="N951" s="5" t="s">
        <v>2948</v>
      </c>
      <c r="O951" s="5">
        <v>79.53</v>
      </c>
      <c r="P951" s="5">
        <v>80.53</v>
      </c>
      <c r="Q951" s="5">
        <v>77.95</v>
      </c>
      <c r="R951" s="5">
        <v>78.239999999999995</v>
      </c>
      <c r="S951" s="5">
        <v>78.44</v>
      </c>
      <c r="T951" s="5">
        <v>79.900000000000006</v>
      </c>
      <c r="V951" s="5">
        <v>78.239999999999995</v>
      </c>
      <c r="Y951" s="5">
        <v>1148373</v>
      </c>
      <c r="Z951" s="5">
        <v>90355930.090000004</v>
      </c>
      <c r="AA951" s="5">
        <v>12689</v>
      </c>
      <c r="AB951" s="5" t="s">
        <v>85</v>
      </c>
      <c r="AC951" s="5">
        <v>1</v>
      </c>
    </row>
    <row r="952" spans="1:29" x14ac:dyDescent="0.3">
      <c r="A952" s="34">
        <v>46274</v>
      </c>
      <c r="B952" s="34">
        <v>46274</v>
      </c>
      <c r="C952" s="5" t="s">
        <v>78</v>
      </c>
      <c r="D952" s="5" t="s">
        <v>79</v>
      </c>
      <c r="E952" s="5" t="s">
        <v>80</v>
      </c>
      <c r="F952" s="5">
        <v>4469</v>
      </c>
      <c r="G952" s="5" t="s">
        <v>2949</v>
      </c>
      <c r="H952" s="5" t="s">
        <v>2950</v>
      </c>
      <c r="I952" s="5" t="s">
        <v>212</v>
      </c>
      <c r="N952" s="5" t="s">
        <v>2951</v>
      </c>
      <c r="O952" s="5">
        <v>956</v>
      </c>
      <c r="P952" s="5">
        <v>971.9</v>
      </c>
      <c r="Q952" s="5">
        <v>950</v>
      </c>
      <c r="R952" s="5">
        <v>965</v>
      </c>
      <c r="S952" s="5">
        <v>965</v>
      </c>
      <c r="T952" s="5">
        <v>964.6</v>
      </c>
      <c r="V952" s="5">
        <v>964.92</v>
      </c>
      <c r="Y952" s="5">
        <v>10148</v>
      </c>
      <c r="Z952" s="5">
        <v>9777278.4499999993</v>
      </c>
      <c r="AA952" s="5">
        <v>512</v>
      </c>
      <c r="AB952" s="5" t="s">
        <v>85</v>
      </c>
      <c r="AC952" s="5">
        <v>1</v>
      </c>
    </row>
    <row r="953" spans="1:29" x14ac:dyDescent="0.3">
      <c r="A953" s="34">
        <v>46274</v>
      </c>
      <c r="B953" s="34">
        <v>46274</v>
      </c>
      <c r="C953" s="5" t="s">
        <v>78</v>
      </c>
      <c r="D953" s="5" t="s">
        <v>79</v>
      </c>
      <c r="E953" s="5" t="s">
        <v>80</v>
      </c>
      <c r="F953" s="5">
        <v>29595</v>
      </c>
      <c r="G953" s="5" t="s">
        <v>2952</v>
      </c>
      <c r="H953" s="5" t="s">
        <v>2953</v>
      </c>
      <c r="I953" s="5" t="s">
        <v>313</v>
      </c>
      <c r="N953" s="5" t="s">
        <v>2954</v>
      </c>
      <c r="O953" s="5">
        <v>88</v>
      </c>
      <c r="P953" s="5">
        <v>88</v>
      </c>
      <c r="Q953" s="5">
        <v>88</v>
      </c>
      <c r="R953" s="5">
        <v>88</v>
      </c>
      <c r="S953" s="5">
        <v>88</v>
      </c>
      <c r="T953" s="5">
        <v>88.95</v>
      </c>
      <c r="V953" s="5">
        <v>88</v>
      </c>
      <c r="Y953" s="5">
        <v>1000</v>
      </c>
      <c r="Z953" s="5">
        <v>88000</v>
      </c>
      <c r="AA953" s="5">
        <v>1</v>
      </c>
      <c r="AB953" s="5" t="s">
        <v>85</v>
      </c>
      <c r="AC953" s="5">
        <v>1000</v>
      </c>
    </row>
    <row r="954" spans="1:29" x14ac:dyDescent="0.3">
      <c r="A954" s="34">
        <v>46274</v>
      </c>
      <c r="B954" s="34">
        <v>46274</v>
      </c>
      <c r="C954" s="5" t="s">
        <v>78</v>
      </c>
      <c r="D954" s="5" t="s">
        <v>79</v>
      </c>
      <c r="E954" s="5" t="s">
        <v>80</v>
      </c>
      <c r="F954" s="5">
        <v>937</v>
      </c>
      <c r="G954" s="5" t="s">
        <v>2955</v>
      </c>
      <c r="H954" s="5" t="s">
        <v>2956</v>
      </c>
      <c r="I954" s="5" t="s">
        <v>212</v>
      </c>
      <c r="N954" s="5" t="s">
        <v>2957</v>
      </c>
      <c r="O954" s="5">
        <v>640</v>
      </c>
      <c r="P954" s="5">
        <v>645.9</v>
      </c>
      <c r="Q954" s="5">
        <v>617.5</v>
      </c>
      <c r="R954" s="5">
        <v>618.85</v>
      </c>
      <c r="S954" s="5">
        <v>619</v>
      </c>
      <c r="T954" s="5">
        <v>638.20000000000005</v>
      </c>
      <c r="V954" s="5">
        <v>618.85</v>
      </c>
      <c r="Y954" s="5">
        <v>367633</v>
      </c>
      <c r="Z954" s="5">
        <v>231827704.40000001</v>
      </c>
      <c r="AA954" s="5">
        <v>21328</v>
      </c>
      <c r="AB954" s="5" t="s">
        <v>85</v>
      </c>
      <c r="AC954" s="5">
        <v>1</v>
      </c>
    </row>
    <row r="955" spans="1:29" x14ac:dyDescent="0.3">
      <c r="A955" s="34">
        <v>46274</v>
      </c>
      <c r="B955" s="34">
        <v>46274</v>
      </c>
      <c r="C955" s="5" t="s">
        <v>78</v>
      </c>
      <c r="D955" s="5" t="s">
        <v>79</v>
      </c>
      <c r="E955" s="5" t="s">
        <v>80</v>
      </c>
      <c r="F955" s="5">
        <v>24924</v>
      </c>
      <c r="G955" s="5" t="s">
        <v>2958</v>
      </c>
      <c r="H955" s="5" t="s">
        <v>2959</v>
      </c>
      <c r="I955" s="5" t="s">
        <v>212</v>
      </c>
      <c r="N955" s="5" t="s">
        <v>2960</v>
      </c>
      <c r="O955" s="5">
        <v>57.94</v>
      </c>
      <c r="P955" s="5">
        <v>64.66</v>
      </c>
      <c r="Q955" s="5">
        <v>57.64</v>
      </c>
      <c r="R955" s="5">
        <v>62.82</v>
      </c>
      <c r="S955" s="5">
        <v>62.85</v>
      </c>
      <c r="T955" s="5">
        <v>59.12</v>
      </c>
      <c r="V955" s="5">
        <v>62.82</v>
      </c>
      <c r="Y955" s="5">
        <v>308072</v>
      </c>
      <c r="Z955" s="5">
        <v>19270551.420000002</v>
      </c>
      <c r="AA955" s="5">
        <v>2398</v>
      </c>
      <c r="AB955" s="5" t="s">
        <v>85</v>
      </c>
      <c r="AC955" s="5">
        <v>1</v>
      </c>
    </row>
    <row r="956" spans="1:29" x14ac:dyDescent="0.3">
      <c r="A956" s="34">
        <v>46274</v>
      </c>
      <c r="B956" s="34">
        <v>46274</v>
      </c>
      <c r="C956" s="5" t="s">
        <v>78</v>
      </c>
      <c r="D956" s="5" t="s">
        <v>79</v>
      </c>
      <c r="E956" s="5" t="s">
        <v>80</v>
      </c>
      <c r="F956" s="5">
        <v>13423</v>
      </c>
      <c r="G956" s="5" t="s">
        <v>2961</v>
      </c>
      <c r="H956" s="5" t="s">
        <v>2962</v>
      </c>
      <c r="I956" s="5" t="s">
        <v>212</v>
      </c>
      <c r="N956" s="5" t="s">
        <v>2963</v>
      </c>
      <c r="O956" s="5">
        <v>97.32</v>
      </c>
      <c r="P956" s="5">
        <v>97.88</v>
      </c>
      <c r="Q956" s="5">
        <v>95.6</v>
      </c>
      <c r="R956" s="5">
        <v>96.29</v>
      </c>
      <c r="S956" s="5">
        <v>96.44</v>
      </c>
      <c r="T956" s="5">
        <v>98.42</v>
      </c>
      <c r="V956" s="5">
        <v>96.29</v>
      </c>
      <c r="Y956" s="5">
        <v>112960</v>
      </c>
      <c r="Z956" s="5">
        <v>10891936.609999999</v>
      </c>
      <c r="AA956" s="5">
        <v>1453</v>
      </c>
      <c r="AB956" s="5" t="s">
        <v>85</v>
      </c>
      <c r="AC956" s="5">
        <v>1</v>
      </c>
    </row>
    <row r="957" spans="1:29" x14ac:dyDescent="0.3">
      <c r="A957" s="34">
        <v>46274</v>
      </c>
      <c r="B957" s="34">
        <v>46274</v>
      </c>
      <c r="C957" s="5" t="s">
        <v>78</v>
      </c>
      <c r="D957" s="5" t="s">
        <v>79</v>
      </c>
      <c r="E957" s="5" t="s">
        <v>80</v>
      </c>
      <c r="F957" s="5">
        <v>762663</v>
      </c>
      <c r="G957" s="5" t="s">
        <v>2964</v>
      </c>
      <c r="H957" s="5" t="s">
        <v>2965</v>
      </c>
      <c r="I957" s="5" t="s">
        <v>212</v>
      </c>
      <c r="N957" s="5" t="s">
        <v>2966</v>
      </c>
      <c r="O957" s="5">
        <v>7.45</v>
      </c>
      <c r="P957" s="5">
        <v>7.45</v>
      </c>
      <c r="Q957" s="5">
        <v>7.45</v>
      </c>
      <c r="R957" s="5">
        <v>7.45</v>
      </c>
      <c r="S957" s="5">
        <v>7.45</v>
      </c>
      <c r="T957" s="5">
        <v>7.84</v>
      </c>
      <c r="V957" s="5">
        <v>7.45</v>
      </c>
      <c r="Y957" s="5">
        <v>660044</v>
      </c>
      <c r="Z957" s="5">
        <v>4917327.8</v>
      </c>
      <c r="AA957" s="5">
        <v>2692</v>
      </c>
      <c r="AB957" s="5" t="s">
        <v>85</v>
      </c>
      <c r="AC957" s="5">
        <v>1</v>
      </c>
    </row>
    <row r="958" spans="1:29" x14ac:dyDescent="0.3">
      <c r="A958" s="34">
        <v>46274</v>
      </c>
      <c r="B958" s="34">
        <v>46274</v>
      </c>
      <c r="C958" s="5" t="s">
        <v>78</v>
      </c>
      <c r="D958" s="5" t="s">
        <v>79</v>
      </c>
      <c r="E958" s="5" t="s">
        <v>80</v>
      </c>
      <c r="F958" s="5">
        <v>758563</v>
      </c>
      <c r="G958" s="5" t="s">
        <v>2967</v>
      </c>
      <c r="H958" s="5" t="s">
        <v>2968</v>
      </c>
      <c r="I958" s="5" t="s">
        <v>212</v>
      </c>
      <c r="N958" s="5" t="s">
        <v>2969</v>
      </c>
      <c r="O958" s="5">
        <v>326</v>
      </c>
      <c r="P958" s="5">
        <v>355.05</v>
      </c>
      <c r="Q958" s="5">
        <v>324.2</v>
      </c>
      <c r="R958" s="5">
        <v>355.05</v>
      </c>
      <c r="S958" s="5">
        <v>355.05</v>
      </c>
      <c r="T958" s="5">
        <v>322.8</v>
      </c>
      <c r="V958" s="5">
        <v>355.64</v>
      </c>
      <c r="Y958" s="5">
        <v>2993680</v>
      </c>
      <c r="Z958" s="5">
        <v>1036870006.9</v>
      </c>
      <c r="AA958" s="5">
        <v>48688</v>
      </c>
      <c r="AB958" s="5" t="s">
        <v>85</v>
      </c>
      <c r="AC958" s="5">
        <v>1</v>
      </c>
    </row>
    <row r="959" spans="1:29" x14ac:dyDescent="0.3">
      <c r="A959" s="34">
        <v>46274</v>
      </c>
      <c r="B959" s="34">
        <v>46274</v>
      </c>
      <c r="C959" s="5" t="s">
        <v>78</v>
      </c>
      <c r="D959" s="5" t="s">
        <v>79</v>
      </c>
      <c r="E959" s="5" t="s">
        <v>80</v>
      </c>
      <c r="F959" s="5">
        <v>4471</v>
      </c>
      <c r="G959" s="5" t="s">
        <v>2970</v>
      </c>
      <c r="H959" s="5" t="s">
        <v>2971</v>
      </c>
      <c r="I959" s="5" t="s">
        <v>212</v>
      </c>
      <c r="N959" s="5" t="s">
        <v>2972</v>
      </c>
      <c r="O959" s="5">
        <v>176</v>
      </c>
      <c r="P959" s="5">
        <v>176</v>
      </c>
      <c r="Q959" s="5">
        <v>174.17</v>
      </c>
      <c r="R959" s="5">
        <v>174.87</v>
      </c>
      <c r="S959" s="5">
        <v>175</v>
      </c>
      <c r="T959" s="5">
        <v>174.17</v>
      </c>
      <c r="V959" s="5">
        <v>174.87</v>
      </c>
      <c r="Y959" s="5">
        <v>5075</v>
      </c>
      <c r="Z959" s="5">
        <v>888741.45</v>
      </c>
      <c r="AA959" s="5">
        <v>131</v>
      </c>
      <c r="AB959" s="5" t="s">
        <v>85</v>
      </c>
      <c r="AC959" s="5">
        <v>1</v>
      </c>
    </row>
    <row r="960" spans="1:29" x14ac:dyDescent="0.3">
      <c r="A960" s="34">
        <v>46274</v>
      </c>
      <c r="B960" s="34">
        <v>46274</v>
      </c>
      <c r="C960" s="5" t="s">
        <v>78</v>
      </c>
      <c r="D960" s="5" t="s">
        <v>79</v>
      </c>
      <c r="E960" s="5" t="s">
        <v>80</v>
      </c>
      <c r="F960" s="5">
        <v>29229</v>
      </c>
      <c r="G960" s="5" t="s">
        <v>2973</v>
      </c>
      <c r="H960" s="5" t="s">
        <v>2974</v>
      </c>
      <c r="I960" s="5" t="s">
        <v>313</v>
      </c>
      <c r="N960" s="5" t="s">
        <v>2975</v>
      </c>
      <c r="O960" s="5">
        <v>85.9</v>
      </c>
      <c r="P960" s="5">
        <v>86.95</v>
      </c>
      <c r="Q960" s="5">
        <v>83</v>
      </c>
      <c r="R960" s="5">
        <v>83</v>
      </c>
      <c r="S960" s="5">
        <v>83</v>
      </c>
      <c r="T960" s="5">
        <v>85.65</v>
      </c>
      <c r="V960" s="5">
        <v>83</v>
      </c>
      <c r="Y960" s="5">
        <v>8000</v>
      </c>
      <c r="Z960" s="5">
        <v>676050</v>
      </c>
      <c r="AA960" s="5">
        <v>8</v>
      </c>
      <c r="AB960" s="5" t="s">
        <v>85</v>
      </c>
      <c r="AC960" s="5">
        <v>1000</v>
      </c>
    </row>
    <row r="961" spans="1:29" x14ac:dyDescent="0.3">
      <c r="A961" s="34">
        <v>46274</v>
      </c>
      <c r="B961" s="34">
        <v>46274</v>
      </c>
      <c r="C961" s="5" t="s">
        <v>78</v>
      </c>
      <c r="D961" s="5" t="s">
        <v>79</v>
      </c>
      <c r="E961" s="5" t="s">
        <v>80</v>
      </c>
      <c r="F961" s="5">
        <v>13517</v>
      </c>
      <c r="G961" s="5" t="s">
        <v>2976</v>
      </c>
      <c r="H961" s="5" t="s">
        <v>2977</v>
      </c>
      <c r="I961" s="5" t="s">
        <v>212</v>
      </c>
      <c r="N961" s="5" t="s">
        <v>2978</v>
      </c>
      <c r="O961" s="5">
        <v>363.2</v>
      </c>
      <c r="P961" s="5">
        <v>377.65</v>
      </c>
      <c r="Q961" s="5">
        <v>363.2</v>
      </c>
      <c r="R961" s="5">
        <v>369.1</v>
      </c>
      <c r="S961" s="5">
        <v>369.5</v>
      </c>
      <c r="T961" s="5">
        <v>363.65</v>
      </c>
      <c r="V961" s="5">
        <v>369.1</v>
      </c>
      <c r="Y961" s="5">
        <v>8039529</v>
      </c>
      <c r="Z961" s="5">
        <v>2981474849.9000001</v>
      </c>
      <c r="AA961" s="5">
        <v>60947</v>
      </c>
      <c r="AB961" s="5" t="s">
        <v>85</v>
      </c>
      <c r="AC961" s="5">
        <v>1</v>
      </c>
    </row>
    <row r="962" spans="1:29" x14ac:dyDescent="0.3">
      <c r="A962" s="34">
        <v>46274</v>
      </c>
      <c r="B962" s="34">
        <v>46274</v>
      </c>
      <c r="C962" s="5" t="s">
        <v>78</v>
      </c>
      <c r="D962" s="5" t="s">
        <v>79</v>
      </c>
      <c r="E962" s="5" t="s">
        <v>80</v>
      </c>
      <c r="F962" s="5">
        <v>10084</v>
      </c>
      <c r="G962" s="5" t="s">
        <v>2979</v>
      </c>
      <c r="H962" s="5" t="s">
        <v>2980</v>
      </c>
      <c r="I962" s="5" t="s">
        <v>234</v>
      </c>
      <c r="N962" s="5" t="s">
        <v>2981</v>
      </c>
      <c r="O962" s="5">
        <v>121.09</v>
      </c>
      <c r="P962" s="5">
        <v>122.35</v>
      </c>
      <c r="Q962" s="5">
        <v>115</v>
      </c>
      <c r="R962" s="5">
        <v>116.67</v>
      </c>
      <c r="S962" s="5">
        <v>117</v>
      </c>
      <c r="T962" s="5">
        <v>119.68</v>
      </c>
      <c r="V962" s="5">
        <v>116.75</v>
      </c>
      <c r="Y962" s="5">
        <v>33133</v>
      </c>
      <c r="Z962" s="5">
        <v>3895846.61</v>
      </c>
      <c r="AA962" s="5">
        <v>242</v>
      </c>
      <c r="AB962" s="5" t="s">
        <v>85</v>
      </c>
      <c r="AC962" s="5">
        <v>1</v>
      </c>
    </row>
    <row r="963" spans="1:29" x14ac:dyDescent="0.3">
      <c r="A963" s="34">
        <v>46274</v>
      </c>
      <c r="B963" s="34">
        <v>46274</v>
      </c>
      <c r="C963" s="5" t="s">
        <v>78</v>
      </c>
      <c r="D963" s="5" t="s">
        <v>79</v>
      </c>
      <c r="E963" s="5" t="s">
        <v>80</v>
      </c>
      <c r="F963" s="5">
        <v>19277</v>
      </c>
      <c r="G963" s="5" t="s">
        <v>2982</v>
      </c>
      <c r="H963" s="5" t="s">
        <v>2983</v>
      </c>
      <c r="I963" s="5" t="s">
        <v>212</v>
      </c>
      <c r="N963" s="5" t="s">
        <v>2984</v>
      </c>
      <c r="O963" s="5">
        <v>65.3</v>
      </c>
      <c r="P963" s="5">
        <v>69.48</v>
      </c>
      <c r="Q963" s="5">
        <v>65.3</v>
      </c>
      <c r="R963" s="5">
        <v>69</v>
      </c>
      <c r="S963" s="5">
        <v>69.48</v>
      </c>
      <c r="T963" s="5">
        <v>66.180000000000007</v>
      </c>
      <c r="V963" s="5">
        <v>69</v>
      </c>
      <c r="Y963" s="5">
        <v>19551</v>
      </c>
      <c r="Z963" s="5">
        <v>1325746.3799999999</v>
      </c>
      <c r="AA963" s="5">
        <v>198</v>
      </c>
      <c r="AB963" s="5" t="s">
        <v>85</v>
      </c>
      <c r="AC963" s="5">
        <v>1</v>
      </c>
    </row>
    <row r="964" spans="1:29" x14ac:dyDescent="0.3">
      <c r="A964" s="34">
        <v>46274</v>
      </c>
      <c r="B964" s="34">
        <v>46274</v>
      </c>
      <c r="C964" s="5" t="s">
        <v>78</v>
      </c>
      <c r="D964" s="5" t="s">
        <v>79</v>
      </c>
      <c r="E964" s="5" t="s">
        <v>80</v>
      </c>
      <c r="F964" s="5">
        <v>14450</v>
      </c>
      <c r="G964" s="5" t="s">
        <v>2985</v>
      </c>
      <c r="H964" s="5" t="s">
        <v>2986</v>
      </c>
      <c r="I964" s="5" t="s">
        <v>212</v>
      </c>
      <c r="N964" s="5" t="s">
        <v>2987</v>
      </c>
      <c r="O964" s="5">
        <v>57.65</v>
      </c>
      <c r="P964" s="5">
        <v>58.11</v>
      </c>
      <c r="Q964" s="5">
        <v>57.1</v>
      </c>
      <c r="R964" s="5">
        <v>57.34</v>
      </c>
      <c r="S964" s="5">
        <v>57.32</v>
      </c>
      <c r="T964" s="5">
        <v>58.12</v>
      </c>
      <c r="V964" s="5">
        <v>57.34</v>
      </c>
      <c r="Y964" s="5">
        <v>3178307</v>
      </c>
      <c r="Z964" s="5">
        <v>183294267.36000001</v>
      </c>
      <c r="AA964" s="5">
        <v>9942</v>
      </c>
      <c r="AB964" s="5" t="s">
        <v>85</v>
      </c>
      <c r="AC964" s="5">
        <v>1</v>
      </c>
    </row>
    <row r="965" spans="1:29" x14ac:dyDescent="0.3">
      <c r="A965" s="34">
        <v>46274</v>
      </c>
      <c r="B965" s="34">
        <v>46274</v>
      </c>
      <c r="C965" s="5" t="s">
        <v>78</v>
      </c>
      <c r="D965" s="5" t="s">
        <v>79</v>
      </c>
      <c r="E965" s="5" t="s">
        <v>80</v>
      </c>
      <c r="F965" s="5">
        <v>9383</v>
      </c>
      <c r="G965" s="5" t="s">
        <v>2988</v>
      </c>
      <c r="H965" s="5" t="s">
        <v>2989</v>
      </c>
      <c r="I965" s="5" t="s">
        <v>1362</v>
      </c>
      <c r="N965" s="5" t="s">
        <v>2990</v>
      </c>
      <c r="O965" s="5">
        <v>438</v>
      </c>
      <c r="P965" s="5">
        <v>440.89</v>
      </c>
      <c r="Q965" s="5">
        <v>438</v>
      </c>
      <c r="R965" s="5">
        <v>439.63</v>
      </c>
      <c r="S965" s="5">
        <v>439.92</v>
      </c>
      <c r="T965" s="5">
        <v>439.87</v>
      </c>
      <c r="V965" s="5">
        <v>439.62</v>
      </c>
      <c r="Y965" s="5">
        <v>215948</v>
      </c>
      <c r="Z965" s="5">
        <v>94980357.459999993</v>
      </c>
      <c r="AA965" s="5">
        <v>5983</v>
      </c>
      <c r="AB965" s="5" t="s">
        <v>85</v>
      </c>
      <c r="AC965" s="5">
        <v>1</v>
      </c>
    </row>
    <row r="966" spans="1:29" x14ac:dyDescent="0.3">
      <c r="A966" s="34">
        <v>46274</v>
      </c>
      <c r="B966" s="34">
        <v>46274</v>
      </c>
      <c r="C966" s="5" t="s">
        <v>78</v>
      </c>
      <c r="D966" s="5" t="s">
        <v>79</v>
      </c>
      <c r="E966" s="5" t="s">
        <v>80</v>
      </c>
      <c r="F966" s="5">
        <v>24398</v>
      </c>
      <c r="G966" s="5" t="s">
        <v>2991</v>
      </c>
      <c r="H966" s="5" t="s">
        <v>2992</v>
      </c>
      <c r="I966" s="5" t="s">
        <v>212</v>
      </c>
      <c r="N966" s="5" t="s">
        <v>2993</v>
      </c>
      <c r="O966" s="5">
        <v>1938.1</v>
      </c>
      <c r="P966" s="5">
        <v>1938.9</v>
      </c>
      <c r="Q966" s="5">
        <v>1889.9</v>
      </c>
      <c r="R966" s="5">
        <v>1914.4</v>
      </c>
      <c r="S966" s="5">
        <v>1911.1</v>
      </c>
      <c r="T966" s="5">
        <v>1925.8</v>
      </c>
      <c r="V966" s="5">
        <v>1914.43</v>
      </c>
      <c r="Y966" s="5">
        <v>74957</v>
      </c>
      <c r="Z966" s="5">
        <v>143236627</v>
      </c>
      <c r="AA966" s="5">
        <v>15553</v>
      </c>
      <c r="AB966" s="5" t="s">
        <v>85</v>
      </c>
      <c r="AC966" s="5">
        <v>1</v>
      </c>
    </row>
    <row r="967" spans="1:29" x14ac:dyDescent="0.3">
      <c r="A967" s="34">
        <v>46274</v>
      </c>
      <c r="B967" s="34">
        <v>46274</v>
      </c>
      <c r="C967" s="5" t="s">
        <v>78</v>
      </c>
      <c r="D967" s="5" t="s">
        <v>79</v>
      </c>
      <c r="E967" s="5" t="s">
        <v>80</v>
      </c>
      <c r="F967" s="5">
        <v>27629</v>
      </c>
      <c r="G967" s="5" t="s">
        <v>2994</v>
      </c>
      <c r="H967" s="5" t="s">
        <v>2995</v>
      </c>
      <c r="I967" s="5" t="s">
        <v>313</v>
      </c>
      <c r="N967" s="5" t="s">
        <v>2996</v>
      </c>
      <c r="O967" s="5">
        <v>80.05</v>
      </c>
      <c r="P967" s="5">
        <v>81.8</v>
      </c>
      <c r="Q967" s="5">
        <v>80.05</v>
      </c>
      <c r="R967" s="5">
        <v>80.55</v>
      </c>
      <c r="S967" s="5">
        <v>80.55</v>
      </c>
      <c r="T967" s="5">
        <v>81.599999999999994</v>
      </c>
      <c r="V967" s="5">
        <v>80.55</v>
      </c>
      <c r="Y967" s="5">
        <v>4800</v>
      </c>
      <c r="Z967" s="5">
        <v>386940</v>
      </c>
      <c r="AA967" s="5">
        <v>4</v>
      </c>
      <c r="AB967" s="5" t="s">
        <v>85</v>
      </c>
      <c r="AC967" s="5">
        <v>1200</v>
      </c>
    </row>
    <row r="968" spans="1:29" x14ac:dyDescent="0.3">
      <c r="A968" s="34">
        <v>46274</v>
      </c>
      <c r="B968" s="34">
        <v>46274</v>
      </c>
      <c r="C968" s="5" t="s">
        <v>78</v>
      </c>
      <c r="D968" s="5" t="s">
        <v>79</v>
      </c>
      <c r="E968" s="5" t="s">
        <v>80</v>
      </c>
      <c r="F968" s="5">
        <v>13421</v>
      </c>
      <c r="G968" s="5" t="s">
        <v>2997</v>
      </c>
      <c r="H968" s="5" t="s">
        <v>2998</v>
      </c>
      <c r="I968" s="5" t="s">
        <v>212</v>
      </c>
      <c r="N968" s="5" t="s">
        <v>2999</v>
      </c>
      <c r="O968" s="5">
        <v>260</v>
      </c>
      <c r="P968" s="5">
        <v>264.7</v>
      </c>
      <c r="Q968" s="5">
        <v>248</v>
      </c>
      <c r="R968" s="5">
        <v>250.75</v>
      </c>
      <c r="S968" s="5">
        <v>250</v>
      </c>
      <c r="T968" s="5">
        <v>260.7</v>
      </c>
      <c r="V968" s="5">
        <v>250.76</v>
      </c>
      <c r="Y968" s="5">
        <v>109423</v>
      </c>
      <c r="Z968" s="5">
        <v>27894464.949999999</v>
      </c>
      <c r="AA968" s="5">
        <v>1533</v>
      </c>
      <c r="AB968" s="5" t="s">
        <v>85</v>
      </c>
      <c r="AC968" s="5">
        <v>1</v>
      </c>
    </row>
    <row r="969" spans="1:29" x14ac:dyDescent="0.3">
      <c r="A969" s="34">
        <v>46274</v>
      </c>
      <c r="B969" s="34">
        <v>46274</v>
      </c>
      <c r="C969" s="5" t="s">
        <v>78</v>
      </c>
      <c r="D969" s="5" t="s">
        <v>79</v>
      </c>
      <c r="E969" s="5" t="s">
        <v>80</v>
      </c>
      <c r="F969" s="5">
        <v>10253</v>
      </c>
      <c r="G969" s="5" t="s">
        <v>3000</v>
      </c>
      <c r="H969" s="5" t="s">
        <v>3001</v>
      </c>
      <c r="I969" s="5" t="s">
        <v>313</v>
      </c>
      <c r="N969" s="5" t="s">
        <v>3002</v>
      </c>
      <c r="O969" s="5">
        <v>92</v>
      </c>
      <c r="P969" s="5">
        <v>96.8</v>
      </c>
      <c r="Q969" s="5">
        <v>92</v>
      </c>
      <c r="R969" s="5">
        <v>94.95</v>
      </c>
      <c r="S969" s="5">
        <v>94.95</v>
      </c>
      <c r="T969" s="5">
        <v>94.05</v>
      </c>
      <c r="V969" s="5">
        <v>94.95</v>
      </c>
      <c r="Y969" s="5">
        <v>2550</v>
      </c>
      <c r="Z969" s="5">
        <v>241597.5</v>
      </c>
      <c r="AA969" s="5">
        <v>17</v>
      </c>
      <c r="AB969" s="5" t="s">
        <v>85</v>
      </c>
      <c r="AC969" s="5">
        <v>150</v>
      </c>
    </row>
    <row r="970" spans="1:29" x14ac:dyDescent="0.3">
      <c r="A970" s="34">
        <v>46274</v>
      </c>
      <c r="B970" s="34">
        <v>46274</v>
      </c>
      <c r="C970" s="5" t="s">
        <v>78</v>
      </c>
      <c r="D970" s="5" t="s">
        <v>79</v>
      </c>
      <c r="E970" s="5" t="s">
        <v>80</v>
      </c>
      <c r="F970" s="5">
        <v>758591</v>
      </c>
      <c r="G970" s="5" t="s">
        <v>3003</v>
      </c>
      <c r="H970" s="5" t="s">
        <v>3004</v>
      </c>
      <c r="I970" s="5" t="s">
        <v>313</v>
      </c>
      <c r="N970" s="5" t="s">
        <v>3005</v>
      </c>
      <c r="O970" s="5">
        <v>1079.9000000000001</v>
      </c>
      <c r="P970" s="5">
        <v>1079.9000000000001</v>
      </c>
      <c r="Q970" s="5">
        <v>1079.9000000000001</v>
      </c>
      <c r="R970" s="5">
        <v>1079.9000000000001</v>
      </c>
      <c r="S970" s="5">
        <v>1079.9000000000001</v>
      </c>
      <c r="T970" s="5">
        <v>1040</v>
      </c>
      <c r="V970" s="5">
        <v>1079.9000000000001</v>
      </c>
      <c r="Y970" s="5">
        <v>150</v>
      </c>
      <c r="Z970" s="5">
        <v>161985</v>
      </c>
      <c r="AA970" s="5">
        <v>1</v>
      </c>
      <c r="AB970" s="5" t="s">
        <v>85</v>
      </c>
      <c r="AC970" s="5">
        <v>150</v>
      </c>
    </row>
    <row r="971" spans="1:29" x14ac:dyDescent="0.3">
      <c r="A971" s="34">
        <v>46274</v>
      </c>
      <c r="B971" s="34">
        <v>46274</v>
      </c>
      <c r="C971" s="5" t="s">
        <v>78</v>
      </c>
      <c r="D971" s="5" t="s">
        <v>79</v>
      </c>
      <c r="E971" s="5" t="s">
        <v>80</v>
      </c>
      <c r="F971" s="5">
        <v>18146</v>
      </c>
      <c r="G971" s="5" t="s">
        <v>3006</v>
      </c>
      <c r="H971" s="5" t="s">
        <v>3007</v>
      </c>
      <c r="I971" s="5" t="s">
        <v>234</v>
      </c>
      <c r="N971" s="5" t="s">
        <v>3008</v>
      </c>
      <c r="O971" s="5">
        <v>89.89</v>
      </c>
      <c r="P971" s="5">
        <v>89.94</v>
      </c>
      <c r="Q971" s="5">
        <v>87.56</v>
      </c>
      <c r="R971" s="5">
        <v>89.88</v>
      </c>
      <c r="S971" s="5">
        <v>89.88</v>
      </c>
      <c r="T971" s="5">
        <v>89.94</v>
      </c>
      <c r="V971" s="5">
        <v>90.6</v>
      </c>
      <c r="Y971" s="5">
        <v>3875</v>
      </c>
      <c r="Z971" s="5">
        <v>343842.37</v>
      </c>
      <c r="AA971" s="5">
        <v>68</v>
      </c>
      <c r="AB971" s="5" t="s">
        <v>85</v>
      </c>
      <c r="AC971" s="5">
        <v>1</v>
      </c>
    </row>
    <row r="972" spans="1:29" x14ac:dyDescent="0.3">
      <c r="A972" s="34">
        <v>46274</v>
      </c>
      <c r="B972" s="34">
        <v>46274</v>
      </c>
      <c r="C972" s="5" t="s">
        <v>78</v>
      </c>
      <c r="D972" s="5" t="s">
        <v>79</v>
      </c>
      <c r="E972" s="5" t="s">
        <v>80</v>
      </c>
      <c r="F972" s="5">
        <v>759728</v>
      </c>
      <c r="G972" s="5" t="s">
        <v>3009</v>
      </c>
      <c r="H972" s="5" t="s">
        <v>3010</v>
      </c>
      <c r="I972" s="5" t="s">
        <v>212</v>
      </c>
      <c r="N972" s="5" t="s">
        <v>3011</v>
      </c>
      <c r="O972" s="5">
        <v>331</v>
      </c>
      <c r="P972" s="5">
        <v>338</v>
      </c>
      <c r="Q972" s="5">
        <v>327.95</v>
      </c>
      <c r="R972" s="5">
        <v>328.9</v>
      </c>
      <c r="S972" s="5">
        <v>330.2</v>
      </c>
      <c r="T972" s="5">
        <v>331.25</v>
      </c>
      <c r="V972" s="5">
        <v>328.91</v>
      </c>
      <c r="Y972" s="5">
        <v>1636507</v>
      </c>
      <c r="Z972" s="5">
        <v>544086494.70000005</v>
      </c>
      <c r="AA972" s="5">
        <v>34013</v>
      </c>
      <c r="AB972" s="5" t="s">
        <v>85</v>
      </c>
      <c r="AC972" s="5">
        <v>1</v>
      </c>
    </row>
    <row r="973" spans="1:29" x14ac:dyDescent="0.3">
      <c r="A973" s="34">
        <v>46274</v>
      </c>
      <c r="B973" s="34">
        <v>46274</v>
      </c>
      <c r="C973" s="5" t="s">
        <v>78</v>
      </c>
      <c r="D973" s="5" t="s">
        <v>79</v>
      </c>
      <c r="E973" s="5" t="s">
        <v>80</v>
      </c>
      <c r="F973" s="5">
        <v>764673</v>
      </c>
      <c r="G973" s="5" t="s">
        <v>3012</v>
      </c>
      <c r="H973" s="5" t="s">
        <v>3013</v>
      </c>
      <c r="I973" s="5" t="s">
        <v>212</v>
      </c>
      <c r="N973" s="5" t="s">
        <v>3014</v>
      </c>
      <c r="O973" s="5">
        <v>1107.2</v>
      </c>
      <c r="P973" s="5">
        <v>1120</v>
      </c>
      <c r="Q973" s="5">
        <v>1068.0999999999999</v>
      </c>
      <c r="R973" s="5">
        <v>1076.5999999999999</v>
      </c>
      <c r="S973" s="5">
        <v>1082</v>
      </c>
      <c r="T973" s="5">
        <v>1176.8</v>
      </c>
      <c r="V973" s="5">
        <v>1076.68</v>
      </c>
      <c r="Y973" s="5">
        <v>13226</v>
      </c>
      <c r="Z973" s="5">
        <v>14368227.4</v>
      </c>
      <c r="AA973" s="5">
        <v>1224</v>
      </c>
      <c r="AB973" s="5" t="s">
        <v>85</v>
      </c>
      <c r="AC973" s="5">
        <v>1</v>
      </c>
    </row>
    <row r="974" spans="1:29" x14ac:dyDescent="0.3">
      <c r="A974" s="34">
        <v>46274</v>
      </c>
      <c r="B974" s="34">
        <v>46274</v>
      </c>
      <c r="C974" s="5" t="s">
        <v>78</v>
      </c>
      <c r="D974" s="5" t="s">
        <v>79</v>
      </c>
      <c r="E974" s="5" t="s">
        <v>80</v>
      </c>
      <c r="F974" s="5">
        <v>762670</v>
      </c>
      <c r="G974" s="5" t="s">
        <v>3015</v>
      </c>
      <c r="H974" s="5" t="s">
        <v>3016</v>
      </c>
      <c r="I974" s="5" t="s">
        <v>212</v>
      </c>
      <c r="N974" s="5" t="s">
        <v>3017</v>
      </c>
      <c r="O974" s="5">
        <v>2.06</v>
      </c>
      <c r="P974" s="5">
        <v>2.11</v>
      </c>
      <c r="Q974" s="5">
        <v>2.0499999999999998</v>
      </c>
      <c r="R974" s="5">
        <v>2.1</v>
      </c>
      <c r="S974" s="5">
        <v>2.11</v>
      </c>
      <c r="T974" s="5">
        <v>2.0099999999999998</v>
      </c>
      <c r="V974" s="5">
        <v>2.1</v>
      </c>
      <c r="Y974" s="5">
        <v>14978502</v>
      </c>
      <c r="Z974" s="5">
        <v>31338345.219999999</v>
      </c>
      <c r="AA974" s="5">
        <v>3716</v>
      </c>
      <c r="AB974" s="5" t="s">
        <v>85</v>
      </c>
      <c r="AC974" s="5">
        <v>1</v>
      </c>
    </row>
    <row r="975" spans="1:29" x14ac:dyDescent="0.3">
      <c r="A975" s="34">
        <v>46274</v>
      </c>
      <c r="B975" s="34">
        <v>46274</v>
      </c>
      <c r="C975" s="5" t="s">
        <v>78</v>
      </c>
      <c r="D975" s="5" t="s">
        <v>79</v>
      </c>
      <c r="E975" s="5" t="s">
        <v>80</v>
      </c>
      <c r="F975" s="5">
        <v>18593</v>
      </c>
      <c r="G975" s="5" t="s">
        <v>3018</v>
      </c>
      <c r="H975" s="5" t="s">
        <v>3019</v>
      </c>
      <c r="I975" s="5" t="s">
        <v>212</v>
      </c>
      <c r="N975" s="5" t="s">
        <v>3020</v>
      </c>
      <c r="O975" s="5">
        <v>379.9</v>
      </c>
      <c r="P975" s="5">
        <v>398.95</v>
      </c>
      <c r="Q975" s="5">
        <v>379.9</v>
      </c>
      <c r="R975" s="5">
        <v>385.8</v>
      </c>
      <c r="S975" s="5">
        <v>386</v>
      </c>
      <c r="T975" s="5">
        <v>378.4</v>
      </c>
      <c r="V975" s="5">
        <v>385.81</v>
      </c>
      <c r="Y975" s="5">
        <v>885127</v>
      </c>
      <c r="Z975" s="5">
        <v>346126096.55000001</v>
      </c>
      <c r="AA975" s="5">
        <v>22634</v>
      </c>
      <c r="AB975" s="5" t="s">
        <v>85</v>
      </c>
      <c r="AC975" s="5">
        <v>1</v>
      </c>
    </row>
    <row r="976" spans="1:29" x14ac:dyDescent="0.3">
      <c r="A976" s="34">
        <v>46274</v>
      </c>
      <c r="B976" s="34">
        <v>46274</v>
      </c>
      <c r="C976" s="5" t="s">
        <v>78</v>
      </c>
      <c r="D976" s="5" t="s">
        <v>79</v>
      </c>
      <c r="E976" s="5" t="s">
        <v>80</v>
      </c>
      <c r="F976" s="5">
        <v>9756</v>
      </c>
      <c r="G976" s="5" t="s">
        <v>3021</v>
      </c>
      <c r="H976" s="5" t="s">
        <v>3022</v>
      </c>
      <c r="I976" s="5" t="s">
        <v>212</v>
      </c>
      <c r="N976" s="5" t="s">
        <v>3023</v>
      </c>
      <c r="O976" s="5">
        <v>509.1</v>
      </c>
      <c r="P976" s="5">
        <v>516</v>
      </c>
      <c r="Q976" s="5">
        <v>501.15</v>
      </c>
      <c r="R976" s="5">
        <v>511.5</v>
      </c>
      <c r="S976" s="5">
        <v>513</v>
      </c>
      <c r="T976" s="5">
        <v>509.1</v>
      </c>
      <c r="V976" s="5">
        <v>511.55</v>
      </c>
      <c r="Y976" s="5">
        <v>59716</v>
      </c>
      <c r="Z976" s="5">
        <v>30453052</v>
      </c>
      <c r="AA976" s="5">
        <v>2797</v>
      </c>
      <c r="AB976" s="5" t="s">
        <v>85</v>
      </c>
      <c r="AC976" s="5">
        <v>1</v>
      </c>
    </row>
    <row r="977" spans="1:29" x14ac:dyDescent="0.3">
      <c r="A977" s="34">
        <v>46274</v>
      </c>
      <c r="B977" s="34">
        <v>46274</v>
      </c>
      <c r="C977" s="5" t="s">
        <v>78</v>
      </c>
      <c r="D977" s="5" t="s">
        <v>79</v>
      </c>
      <c r="E977" s="5" t="s">
        <v>80</v>
      </c>
      <c r="F977" s="5">
        <v>760321</v>
      </c>
      <c r="G977" s="5" t="s">
        <v>3024</v>
      </c>
      <c r="H977" s="5" t="s">
        <v>3025</v>
      </c>
      <c r="I977" s="5" t="s">
        <v>313</v>
      </c>
      <c r="N977" s="5" t="s">
        <v>3026</v>
      </c>
      <c r="O977" s="5">
        <v>259.60000000000002</v>
      </c>
      <c r="P977" s="5">
        <v>264</v>
      </c>
      <c r="Q977" s="5">
        <v>258</v>
      </c>
      <c r="R977" s="5">
        <v>262</v>
      </c>
      <c r="S977" s="5">
        <v>262</v>
      </c>
      <c r="T977" s="5">
        <v>259.60000000000002</v>
      </c>
      <c r="V977" s="5">
        <v>262</v>
      </c>
      <c r="Y977" s="5">
        <v>4400</v>
      </c>
      <c r="Z977" s="5">
        <v>1144660</v>
      </c>
      <c r="AA977" s="5">
        <v>10</v>
      </c>
      <c r="AB977" s="5" t="s">
        <v>85</v>
      </c>
      <c r="AC977" s="5">
        <v>400</v>
      </c>
    </row>
    <row r="978" spans="1:29" x14ac:dyDescent="0.3">
      <c r="A978" s="34">
        <v>46274</v>
      </c>
      <c r="B978" s="34">
        <v>46274</v>
      </c>
      <c r="C978" s="5" t="s">
        <v>78</v>
      </c>
      <c r="D978" s="5" t="s">
        <v>79</v>
      </c>
      <c r="E978" s="5" t="s">
        <v>80</v>
      </c>
      <c r="F978" s="5">
        <v>18822</v>
      </c>
      <c r="G978" s="5" t="s">
        <v>3027</v>
      </c>
      <c r="H978" s="5" t="s">
        <v>3028</v>
      </c>
      <c r="I978" s="5" t="s">
        <v>212</v>
      </c>
      <c r="N978" s="5" t="s">
        <v>3029</v>
      </c>
      <c r="O978" s="5">
        <v>2738</v>
      </c>
      <c r="P978" s="5">
        <v>2823</v>
      </c>
      <c r="Q978" s="5">
        <v>2722.9</v>
      </c>
      <c r="R978" s="5">
        <v>2755.7</v>
      </c>
      <c r="S978" s="5">
        <v>2747.5</v>
      </c>
      <c r="T978" s="5">
        <v>2735.3</v>
      </c>
      <c r="V978" s="5">
        <v>2755.68</v>
      </c>
      <c r="Y978" s="5">
        <v>117170</v>
      </c>
      <c r="Z978" s="5">
        <v>326503410.10000002</v>
      </c>
      <c r="AA978" s="5">
        <v>22505</v>
      </c>
      <c r="AB978" s="5" t="s">
        <v>85</v>
      </c>
      <c r="AC978" s="5">
        <v>1</v>
      </c>
    </row>
    <row r="979" spans="1:29" x14ac:dyDescent="0.3">
      <c r="A979" s="34">
        <v>46274</v>
      </c>
      <c r="B979" s="34">
        <v>46274</v>
      </c>
      <c r="C979" s="5" t="s">
        <v>78</v>
      </c>
      <c r="D979" s="5" t="s">
        <v>79</v>
      </c>
      <c r="E979" s="5" t="s">
        <v>80</v>
      </c>
      <c r="F979" s="5">
        <v>15049</v>
      </c>
      <c r="G979" s="5" t="s">
        <v>3030</v>
      </c>
      <c r="H979" s="5" t="s">
        <v>3031</v>
      </c>
      <c r="I979" s="5" t="s">
        <v>212</v>
      </c>
      <c r="N979" s="5" t="s">
        <v>3032</v>
      </c>
      <c r="O979" s="5">
        <v>15.33</v>
      </c>
      <c r="P979" s="5">
        <v>15.33</v>
      </c>
      <c r="Q979" s="5">
        <v>14.7</v>
      </c>
      <c r="R979" s="5">
        <v>14.89</v>
      </c>
      <c r="S979" s="5">
        <v>15</v>
      </c>
      <c r="T979" s="5">
        <v>15.33</v>
      </c>
      <c r="V979" s="5">
        <v>14.92</v>
      </c>
      <c r="Y979" s="5">
        <v>63369</v>
      </c>
      <c r="Z979" s="5">
        <v>940850.44</v>
      </c>
      <c r="AA979" s="5">
        <v>593</v>
      </c>
      <c r="AB979" s="5" t="s">
        <v>85</v>
      </c>
      <c r="AC979" s="5">
        <v>1</v>
      </c>
    </row>
    <row r="980" spans="1:29" x14ac:dyDescent="0.3">
      <c r="A980" s="34">
        <v>46274</v>
      </c>
      <c r="B980" s="34">
        <v>46274</v>
      </c>
      <c r="C980" s="5" t="s">
        <v>78</v>
      </c>
      <c r="D980" s="5" t="s">
        <v>79</v>
      </c>
      <c r="E980" s="5" t="s">
        <v>80</v>
      </c>
      <c r="F980" s="5">
        <v>23745</v>
      </c>
      <c r="G980" s="5" t="s">
        <v>3033</v>
      </c>
      <c r="H980" s="5" t="s">
        <v>3034</v>
      </c>
      <c r="I980" s="5" t="s">
        <v>313</v>
      </c>
      <c r="N980" s="5" t="s">
        <v>3035</v>
      </c>
      <c r="O980" s="5">
        <v>117.05</v>
      </c>
      <c r="P980" s="5">
        <v>125</v>
      </c>
      <c r="Q980" s="5">
        <v>116</v>
      </c>
      <c r="R980" s="5">
        <v>125</v>
      </c>
      <c r="S980" s="5">
        <v>125</v>
      </c>
      <c r="T980" s="5">
        <v>117.1</v>
      </c>
      <c r="V980" s="5">
        <v>125</v>
      </c>
      <c r="Y980" s="5">
        <v>20250</v>
      </c>
      <c r="Z980" s="5">
        <v>2443837.5</v>
      </c>
      <c r="AA980" s="5">
        <v>42</v>
      </c>
      <c r="AB980" s="5" t="s">
        <v>85</v>
      </c>
      <c r="AC980" s="5">
        <v>250</v>
      </c>
    </row>
    <row r="981" spans="1:29" x14ac:dyDescent="0.3">
      <c r="A981" s="34">
        <v>46274</v>
      </c>
      <c r="B981" s="34">
        <v>46274</v>
      </c>
      <c r="C981" s="5" t="s">
        <v>78</v>
      </c>
      <c r="D981" s="5" t="s">
        <v>79</v>
      </c>
      <c r="E981" s="5" t="s">
        <v>80</v>
      </c>
      <c r="F981" s="5">
        <v>23224</v>
      </c>
      <c r="G981" s="5" t="s">
        <v>3036</v>
      </c>
      <c r="H981" s="5" t="s">
        <v>3037</v>
      </c>
      <c r="I981" s="5" t="s">
        <v>313</v>
      </c>
      <c r="N981" s="5" t="s">
        <v>3038</v>
      </c>
      <c r="O981" s="5">
        <v>158</v>
      </c>
      <c r="P981" s="5">
        <v>158</v>
      </c>
      <c r="Q981" s="5">
        <v>158</v>
      </c>
      <c r="R981" s="5">
        <v>158</v>
      </c>
      <c r="S981" s="5">
        <v>158</v>
      </c>
      <c r="T981" s="5">
        <v>158</v>
      </c>
      <c r="V981" s="5">
        <v>158</v>
      </c>
      <c r="Y981" s="5">
        <v>600</v>
      </c>
      <c r="Z981" s="5">
        <v>94800</v>
      </c>
      <c r="AA981" s="5">
        <v>1</v>
      </c>
      <c r="AB981" s="5" t="s">
        <v>85</v>
      </c>
      <c r="AC981" s="5">
        <v>600</v>
      </c>
    </row>
    <row r="982" spans="1:29" x14ac:dyDescent="0.3">
      <c r="A982" s="34">
        <v>46274</v>
      </c>
      <c r="B982" s="34">
        <v>46274</v>
      </c>
      <c r="C982" s="5" t="s">
        <v>78</v>
      </c>
      <c r="D982" s="5" t="s">
        <v>79</v>
      </c>
      <c r="E982" s="5" t="s">
        <v>80</v>
      </c>
      <c r="F982" s="5">
        <v>4907</v>
      </c>
      <c r="G982" s="5" t="s">
        <v>3039</v>
      </c>
      <c r="H982" s="5" t="s">
        <v>3040</v>
      </c>
      <c r="I982" s="5" t="s">
        <v>212</v>
      </c>
      <c r="N982" s="5" t="s">
        <v>3041</v>
      </c>
      <c r="O982" s="5">
        <v>279</v>
      </c>
      <c r="P982" s="5">
        <v>283.3</v>
      </c>
      <c r="Q982" s="5">
        <v>272</v>
      </c>
      <c r="R982" s="5">
        <v>273.10000000000002</v>
      </c>
      <c r="S982" s="5">
        <v>272.64999999999998</v>
      </c>
      <c r="T982" s="5">
        <v>279.2</v>
      </c>
      <c r="V982" s="5">
        <v>273.10000000000002</v>
      </c>
      <c r="Y982" s="5">
        <v>2222424</v>
      </c>
      <c r="Z982" s="5">
        <v>614911686.95000005</v>
      </c>
      <c r="AA982" s="5">
        <v>36591</v>
      </c>
      <c r="AB982" s="5" t="s">
        <v>85</v>
      </c>
      <c r="AC982" s="5">
        <v>1</v>
      </c>
    </row>
    <row r="983" spans="1:29" x14ac:dyDescent="0.3">
      <c r="A983" s="34">
        <v>46274</v>
      </c>
      <c r="B983" s="34">
        <v>46274</v>
      </c>
      <c r="C983" s="5" t="s">
        <v>78</v>
      </c>
      <c r="D983" s="5" t="s">
        <v>79</v>
      </c>
      <c r="E983" s="5" t="s">
        <v>80</v>
      </c>
      <c r="F983" s="5">
        <v>764678</v>
      </c>
      <c r="G983" s="5" t="s">
        <v>3042</v>
      </c>
      <c r="H983" s="5" t="s">
        <v>3043</v>
      </c>
      <c r="I983" s="5" t="s">
        <v>212</v>
      </c>
      <c r="N983" s="5" t="s">
        <v>3044</v>
      </c>
      <c r="O983" s="5">
        <v>410</v>
      </c>
      <c r="P983" s="5">
        <v>410</v>
      </c>
      <c r="Q983" s="5">
        <v>395.05</v>
      </c>
      <c r="R983" s="5">
        <v>402.9</v>
      </c>
      <c r="S983" s="5">
        <v>403</v>
      </c>
      <c r="T983" s="5">
        <v>396.6</v>
      </c>
      <c r="V983" s="5">
        <v>402.25</v>
      </c>
      <c r="Y983" s="5">
        <v>5075</v>
      </c>
      <c r="Z983" s="5">
        <v>2035591.6</v>
      </c>
      <c r="AA983" s="5">
        <v>111</v>
      </c>
      <c r="AB983" s="5" t="s">
        <v>85</v>
      </c>
      <c r="AC983" s="5">
        <v>1</v>
      </c>
    </row>
    <row r="984" spans="1:29" x14ac:dyDescent="0.3">
      <c r="A984" s="34">
        <v>46274</v>
      </c>
      <c r="B984" s="34">
        <v>46274</v>
      </c>
      <c r="C984" s="5" t="s">
        <v>78</v>
      </c>
      <c r="D984" s="5" t="s">
        <v>79</v>
      </c>
      <c r="E984" s="5" t="s">
        <v>80</v>
      </c>
      <c r="F984" s="5">
        <v>22717</v>
      </c>
      <c r="G984" s="5" t="s">
        <v>3045</v>
      </c>
      <c r="H984" s="5" t="s">
        <v>3046</v>
      </c>
      <c r="I984" s="5" t="s">
        <v>212</v>
      </c>
      <c r="N984" s="5" t="s">
        <v>3047</v>
      </c>
      <c r="O984" s="5">
        <v>1856</v>
      </c>
      <c r="P984" s="5">
        <v>1890.5</v>
      </c>
      <c r="Q984" s="5">
        <v>1812</v>
      </c>
      <c r="R984" s="5">
        <v>1828.3</v>
      </c>
      <c r="S984" s="5">
        <v>1833.4</v>
      </c>
      <c r="T984" s="5">
        <v>1851.8</v>
      </c>
      <c r="V984" s="5">
        <v>1827.88</v>
      </c>
      <c r="Y984" s="5">
        <v>90729</v>
      </c>
      <c r="Z984" s="5">
        <v>167451339.80000001</v>
      </c>
      <c r="AA984" s="5">
        <v>14493</v>
      </c>
      <c r="AB984" s="5" t="s">
        <v>85</v>
      </c>
      <c r="AC984" s="5">
        <v>1</v>
      </c>
    </row>
    <row r="985" spans="1:29" x14ac:dyDescent="0.3">
      <c r="A985" s="34">
        <v>46274</v>
      </c>
      <c r="B985" s="34">
        <v>46274</v>
      </c>
      <c r="C985" s="5" t="s">
        <v>78</v>
      </c>
      <c r="D985" s="5" t="s">
        <v>79</v>
      </c>
      <c r="E985" s="5" t="s">
        <v>80</v>
      </c>
      <c r="F985" s="5">
        <v>13192</v>
      </c>
      <c r="G985" s="5" t="s">
        <v>3048</v>
      </c>
      <c r="H985" s="5" t="s">
        <v>3049</v>
      </c>
      <c r="I985" s="5" t="s">
        <v>212</v>
      </c>
      <c r="N985" s="5" t="s">
        <v>3050</v>
      </c>
      <c r="O985" s="5">
        <v>101</v>
      </c>
      <c r="P985" s="5">
        <v>101.67</v>
      </c>
      <c r="Q985" s="5">
        <v>99</v>
      </c>
      <c r="R985" s="5">
        <v>100.72</v>
      </c>
      <c r="S985" s="5">
        <v>100</v>
      </c>
      <c r="T985" s="5">
        <v>100.21</v>
      </c>
      <c r="V985" s="5">
        <v>100.71</v>
      </c>
      <c r="Y985" s="5">
        <v>33254</v>
      </c>
      <c r="Z985" s="5">
        <v>3332075.8</v>
      </c>
      <c r="AA985" s="5">
        <v>863</v>
      </c>
      <c r="AB985" s="5" t="s">
        <v>85</v>
      </c>
      <c r="AC985" s="5">
        <v>1</v>
      </c>
    </row>
    <row r="986" spans="1:29" x14ac:dyDescent="0.3">
      <c r="A986" s="34">
        <v>46274</v>
      </c>
      <c r="B986" s="34">
        <v>46274</v>
      </c>
      <c r="C986" s="5" t="s">
        <v>78</v>
      </c>
      <c r="D986" s="5" t="s">
        <v>79</v>
      </c>
      <c r="E986" s="5" t="s">
        <v>80</v>
      </c>
      <c r="F986" s="5">
        <v>27213</v>
      </c>
      <c r="G986" s="5" t="s">
        <v>3051</v>
      </c>
      <c r="H986" s="5" t="s">
        <v>3052</v>
      </c>
      <c r="I986" s="5" t="s">
        <v>212</v>
      </c>
      <c r="N986" s="5" t="s">
        <v>3053</v>
      </c>
      <c r="O986" s="5">
        <v>204.75</v>
      </c>
      <c r="P986" s="5">
        <v>215</v>
      </c>
      <c r="Q986" s="5">
        <v>203.75</v>
      </c>
      <c r="R986" s="5">
        <v>206.06</v>
      </c>
      <c r="S986" s="5">
        <v>204.3</v>
      </c>
      <c r="T986" s="5">
        <v>196.2</v>
      </c>
      <c r="V986" s="5">
        <v>206.05</v>
      </c>
      <c r="Y986" s="5">
        <v>13186612</v>
      </c>
      <c r="Z986" s="5">
        <v>2756332592.46</v>
      </c>
      <c r="AA986" s="5">
        <v>137486</v>
      </c>
      <c r="AB986" s="5" t="s">
        <v>85</v>
      </c>
      <c r="AC986" s="5">
        <v>1</v>
      </c>
    </row>
    <row r="987" spans="1:29" x14ac:dyDescent="0.3">
      <c r="A987" s="34">
        <v>46274</v>
      </c>
      <c r="B987" s="34">
        <v>46274</v>
      </c>
      <c r="C987" s="5" t="s">
        <v>78</v>
      </c>
      <c r="D987" s="5" t="s">
        <v>79</v>
      </c>
      <c r="E987" s="5" t="s">
        <v>80</v>
      </c>
      <c r="F987" s="5">
        <v>25412</v>
      </c>
      <c r="G987" s="5" t="s">
        <v>3054</v>
      </c>
      <c r="H987" s="5" t="s">
        <v>3055</v>
      </c>
      <c r="I987" s="5" t="s">
        <v>313</v>
      </c>
      <c r="N987" s="5" t="s">
        <v>3056</v>
      </c>
      <c r="O987" s="5">
        <v>69.5</v>
      </c>
      <c r="P987" s="5">
        <v>70.900000000000006</v>
      </c>
      <c r="Q987" s="5">
        <v>69.5</v>
      </c>
      <c r="R987" s="5">
        <v>69.5</v>
      </c>
      <c r="S987" s="5">
        <v>69.5</v>
      </c>
      <c r="T987" s="5">
        <v>69.95</v>
      </c>
      <c r="V987" s="5">
        <v>69.5</v>
      </c>
      <c r="Y987" s="5">
        <v>8000</v>
      </c>
      <c r="Z987" s="5">
        <v>559450</v>
      </c>
      <c r="AA987" s="5">
        <v>8</v>
      </c>
      <c r="AB987" s="5" t="s">
        <v>85</v>
      </c>
      <c r="AC987" s="5">
        <v>1000</v>
      </c>
    </row>
    <row r="988" spans="1:29" x14ac:dyDescent="0.3">
      <c r="A988" s="34">
        <v>46274</v>
      </c>
      <c r="B988" s="34">
        <v>46274</v>
      </c>
      <c r="C988" s="5" t="s">
        <v>78</v>
      </c>
      <c r="D988" s="5" t="s">
        <v>79</v>
      </c>
      <c r="E988" s="5" t="s">
        <v>80</v>
      </c>
      <c r="F988" s="5">
        <v>22463</v>
      </c>
      <c r="G988" s="5" t="s">
        <v>3057</v>
      </c>
      <c r="H988" s="5" t="s">
        <v>3058</v>
      </c>
      <c r="I988" s="5" t="s">
        <v>212</v>
      </c>
      <c r="N988" s="5" t="s">
        <v>3059</v>
      </c>
      <c r="O988" s="5">
        <v>187.38</v>
      </c>
      <c r="P988" s="5">
        <v>192.95</v>
      </c>
      <c r="Q988" s="5">
        <v>185.41</v>
      </c>
      <c r="R988" s="5">
        <v>188.15</v>
      </c>
      <c r="S988" s="5">
        <v>187.5</v>
      </c>
      <c r="T988" s="5">
        <v>187.38</v>
      </c>
      <c r="V988" s="5">
        <v>188.16</v>
      </c>
      <c r="Y988" s="5">
        <v>491145</v>
      </c>
      <c r="Z988" s="5">
        <v>92884214.510000005</v>
      </c>
      <c r="AA988" s="5">
        <v>8443</v>
      </c>
      <c r="AB988" s="5" t="s">
        <v>85</v>
      </c>
      <c r="AC988" s="5">
        <v>1</v>
      </c>
    </row>
    <row r="989" spans="1:29" x14ac:dyDescent="0.3">
      <c r="A989" s="34">
        <v>46274</v>
      </c>
      <c r="B989" s="34">
        <v>46274</v>
      </c>
      <c r="C989" s="5" t="s">
        <v>78</v>
      </c>
      <c r="D989" s="5" t="s">
        <v>79</v>
      </c>
      <c r="E989" s="5" t="s">
        <v>80</v>
      </c>
      <c r="F989" s="5">
        <v>759251</v>
      </c>
      <c r="G989" s="5" t="s">
        <v>3060</v>
      </c>
      <c r="H989" s="5" t="s">
        <v>3061</v>
      </c>
      <c r="I989" s="5" t="s">
        <v>212</v>
      </c>
      <c r="N989" s="5" t="s">
        <v>3062</v>
      </c>
      <c r="O989" s="5">
        <v>234</v>
      </c>
      <c r="P989" s="5">
        <v>250.9</v>
      </c>
      <c r="Q989" s="5">
        <v>231.21</v>
      </c>
      <c r="R989" s="5">
        <v>248.14</v>
      </c>
      <c r="S989" s="5">
        <v>248.1</v>
      </c>
      <c r="T989" s="5">
        <v>234</v>
      </c>
      <c r="V989" s="5">
        <v>248.13</v>
      </c>
      <c r="Y989" s="5">
        <v>1620115</v>
      </c>
      <c r="Z989" s="5">
        <v>397104826.45999998</v>
      </c>
      <c r="AA989" s="5">
        <v>26610</v>
      </c>
      <c r="AB989" s="5" t="s">
        <v>85</v>
      </c>
      <c r="AC989" s="5">
        <v>1</v>
      </c>
    </row>
    <row r="990" spans="1:29" x14ac:dyDescent="0.3">
      <c r="A990" s="34">
        <v>46274</v>
      </c>
      <c r="B990" s="34">
        <v>46274</v>
      </c>
      <c r="C990" s="5" t="s">
        <v>78</v>
      </c>
      <c r="D990" s="5" t="s">
        <v>79</v>
      </c>
      <c r="E990" s="5" t="s">
        <v>80</v>
      </c>
      <c r="F990" s="5">
        <v>5382</v>
      </c>
      <c r="G990" s="5" t="s">
        <v>3063</v>
      </c>
      <c r="H990" s="5" t="s">
        <v>3064</v>
      </c>
      <c r="I990" s="5" t="s">
        <v>212</v>
      </c>
      <c r="N990" s="5" t="s">
        <v>3065</v>
      </c>
      <c r="O990" s="5">
        <v>1185.8</v>
      </c>
      <c r="P990" s="5">
        <v>1189.8</v>
      </c>
      <c r="Q990" s="5">
        <v>1160</v>
      </c>
      <c r="R990" s="5">
        <v>1163.9000000000001</v>
      </c>
      <c r="S990" s="5">
        <v>1170</v>
      </c>
      <c r="T990" s="5">
        <v>1189.8</v>
      </c>
      <c r="V990" s="5">
        <v>1163.8800000000001</v>
      </c>
      <c r="Y990" s="5">
        <v>32831</v>
      </c>
      <c r="Z990" s="5">
        <v>38319055.899999999</v>
      </c>
      <c r="AA990" s="5">
        <v>3610</v>
      </c>
      <c r="AB990" s="5" t="s">
        <v>85</v>
      </c>
      <c r="AC990" s="5">
        <v>1</v>
      </c>
    </row>
    <row r="991" spans="1:29" x14ac:dyDescent="0.3">
      <c r="A991" s="34">
        <v>46274</v>
      </c>
      <c r="B991" s="34">
        <v>46274</v>
      </c>
      <c r="C991" s="5" t="s">
        <v>78</v>
      </c>
      <c r="D991" s="5" t="s">
        <v>79</v>
      </c>
      <c r="E991" s="5" t="s">
        <v>80</v>
      </c>
      <c r="F991" s="5">
        <v>981</v>
      </c>
      <c r="G991" s="5" t="s">
        <v>3066</v>
      </c>
      <c r="H991" s="5" t="s">
        <v>3067</v>
      </c>
      <c r="I991" s="5" t="s">
        <v>212</v>
      </c>
      <c r="N991" s="5" t="s">
        <v>3068</v>
      </c>
      <c r="O991" s="5">
        <v>248.5</v>
      </c>
      <c r="P991" s="5">
        <v>250.3</v>
      </c>
      <c r="Q991" s="5">
        <v>245.1</v>
      </c>
      <c r="R991" s="5">
        <v>246.7</v>
      </c>
      <c r="S991" s="5">
        <v>246.1</v>
      </c>
      <c r="T991" s="5">
        <v>248.1</v>
      </c>
      <c r="V991" s="5">
        <v>246.61</v>
      </c>
      <c r="Y991" s="5">
        <v>2561676</v>
      </c>
      <c r="Z991" s="5">
        <v>633612175.14999998</v>
      </c>
      <c r="AA991" s="5">
        <v>29301</v>
      </c>
      <c r="AB991" s="5" t="s">
        <v>85</v>
      </c>
      <c r="AC991" s="5">
        <v>1</v>
      </c>
    </row>
    <row r="992" spans="1:29" x14ac:dyDescent="0.3">
      <c r="A992" s="34">
        <v>46274</v>
      </c>
      <c r="B992" s="34">
        <v>46274</v>
      </c>
      <c r="C992" s="5" t="s">
        <v>78</v>
      </c>
      <c r="D992" s="5" t="s">
        <v>79</v>
      </c>
      <c r="E992" s="5" t="s">
        <v>80</v>
      </c>
      <c r="F992" s="5">
        <v>758349</v>
      </c>
      <c r="G992" s="5" t="s">
        <v>3069</v>
      </c>
      <c r="H992" s="5" t="s">
        <v>3070</v>
      </c>
      <c r="I992" s="5" t="s">
        <v>392</v>
      </c>
      <c r="N992" s="5" t="s">
        <v>3071</v>
      </c>
      <c r="O992" s="5">
        <v>141</v>
      </c>
      <c r="P992" s="5">
        <v>141.5</v>
      </c>
      <c r="Q992" s="5">
        <v>138.5</v>
      </c>
      <c r="R992" s="5">
        <v>140.44999999999999</v>
      </c>
      <c r="S992" s="5">
        <v>140.5</v>
      </c>
      <c r="T992" s="5">
        <v>141</v>
      </c>
      <c r="V992" s="5">
        <v>140.44999999999999</v>
      </c>
      <c r="Y992" s="5">
        <v>12000</v>
      </c>
      <c r="Z992" s="5">
        <v>1676650</v>
      </c>
      <c r="AA992" s="5">
        <v>12</v>
      </c>
      <c r="AB992" s="5" t="s">
        <v>85</v>
      </c>
      <c r="AC992" s="5">
        <v>1000</v>
      </c>
    </row>
    <row r="993" spans="1:29" x14ac:dyDescent="0.3">
      <c r="A993" s="34">
        <v>46274</v>
      </c>
      <c r="B993" s="34">
        <v>46274</v>
      </c>
      <c r="C993" s="5" t="s">
        <v>78</v>
      </c>
      <c r="D993" s="5" t="s">
        <v>79</v>
      </c>
      <c r="E993" s="5" t="s">
        <v>80</v>
      </c>
      <c r="F993" s="5">
        <v>761217</v>
      </c>
      <c r="G993" s="5" t="s">
        <v>3072</v>
      </c>
      <c r="H993" s="5" t="s">
        <v>3073</v>
      </c>
      <c r="I993" s="5" t="s">
        <v>392</v>
      </c>
      <c r="N993" s="5" t="s">
        <v>3074</v>
      </c>
      <c r="O993" s="5">
        <v>239.85</v>
      </c>
      <c r="P993" s="5">
        <v>242.95</v>
      </c>
      <c r="Q993" s="5">
        <v>239.85</v>
      </c>
      <c r="R993" s="5">
        <v>242.95</v>
      </c>
      <c r="S993" s="5">
        <v>242.95</v>
      </c>
      <c r="T993" s="5">
        <v>231.9</v>
      </c>
      <c r="V993" s="5">
        <v>242.95</v>
      </c>
      <c r="Y993" s="5">
        <v>3600</v>
      </c>
      <c r="Z993" s="5">
        <v>867240</v>
      </c>
      <c r="AA993" s="5">
        <v>3</v>
      </c>
      <c r="AB993" s="5" t="s">
        <v>85</v>
      </c>
      <c r="AC993" s="5">
        <v>1200</v>
      </c>
    </row>
    <row r="994" spans="1:29" x14ac:dyDescent="0.3">
      <c r="A994" s="34">
        <v>46274</v>
      </c>
      <c r="B994" s="34">
        <v>46274</v>
      </c>
      <c r="C994" s="5" t="s">
        <v>78</v>
      </c>
      <c r="D994" s="5" t="s">
        <v>79</v>
      </c>
      <c r="E994" s="5" t="s">
        <v>80</v>
      </c>
      <c r="F994" s="5">
        <v>3553</v>
      </c>
      <c r="G994" s="5" t="s">
        <v>3075</v>
      </c>
      <c r="H994" s="5" t="s">
        <v>3076</v>
      </c>
      <c r="I994" s="5" t="s">
        <v>234</v>
      </c>
      <c r="N994" s="5" t="s">
        <v>3077</v>
      </c>
      <c r="O994" s="5">
        <v>23.75</v>
      </c>
      <c r="P994" s="5">
        <v>24.47</v>
      </c>
      <c r="Q994" s="5">
        <v>23.11</v>
      </c>
      <c r="R994" s="5">
        <v>23.83</v>
      </c>
      <c r="S994" s="5">
        <v>24</v>
      </c>
      <c r="T994" s="5">
        <v>23.8</v>
      </c>
      <c r="V994" s="5">
        <v>24</v>
      </c>
      <c r="Y994" s="5">
        <v>52566</v>
      </c>
      <c r="Z994" s="5">
        <v>1260154.6399999999</v>
      </c>
      <c r="AA994" s="5">
        <v>40</v>
      </c>
      <c r="AB994" s="5" t="s">
        <v>85</v>
      </c>
      <c r="AC994" s="5">
        <v>1</v>
      </c>
    </row>
    <row r="995" spans="1:29" x14ac:dyDescent="0.3">
      <c r="A995" s="34">
        <v>46274</v>
      </c>
      <c r="B995" s="34">
        <v>46274</v>
      </c>
      <c r="C995" s="5" t="s">
        <v>78</v>
      </c>
      <c r="D995" s="5" t="s">
        <v>79</v>
      </c>
      <c r="E995" s="5" t="s">
        <v>80</v>
      </c>
      <c r="F995" s="5">
        <v>913</v>
      </c>
      <c r="G995" s="5" t="s">
        <v>3078</v>
      </c>
      <c r="H995" s="5" t="s">
        <v>3079</v>
      </c>
      <c r="I995" s="5" t="s">
        <v>212</v>
      </c>
      <c r="N995" s="5" t="s">
        <v>3080</v>
      </c>
      <c r="O995" s="5">
        <v>72.52</v>
      </c>
      <c r="P995" s="5">
        <v>73</v>
      </c>
      <c r="Q995" s="5">
        <v>71.03</v>
      </c>
      <c r="R995" s="5">
        <v>72.7</v>
      </c>
      <c r="S995" s="5">
        <v>72.7</v>
      </c>
      <c r="T995" s="5">
        <v>72.540000000000006</v>
      </c>
      <c r="V995" s="5">
        <v>72.7</v>
      </c>
      <c r="Y995" s="5">
        <v>1781588</v>
      </c>
      <c r="Z995" s="5">
        <v>128367566.92</v>
      </c>
      <c r="AA995" s="5">
        <v>13768</v>
      </c>
      <c r="AB995" s="5" t="s">
        <v>85</v>
      </c>
      <c r="AC995" s="5">
        <v>1</v>
      </c>
    </row>
    <row r="996" spans="1:29" x14ac:dyDescent="0.3">
      <c r="A996" s="34">
        <v>46274</v>
      </c>
      <c r="B996" s="34">
        <v>46274</v>
      </c>
      <c r="C996" s="5" t="s">
        <v>78</v>
      </c>
      <c r="D996" s="5" t="s">
        <v>79</v>
      </c>
      <c r="E996" s="5" t="s">
        <v>80</v>
      </c>
      <c r="F996" s="5">
        <v>21154</v>
      </c>
      <c r="G996" s="5" t="s">
        <v>3081</v>
      </c>
      <c r="H996" s="5" t="s">
        <v>3082</v>
      </c>
      <c r="I996" s="5" t="s">
        <v>212</v>
      </c>
      <c r="N996" s="5" t="s">
        <v>3083</v>
      </c>
      <c r="O996" s="5">
        <v>1318</v>
      </c>
      <c r="P996" s="5">
        <v>1339</v>
      </c>
      <c r="Q996" s="5">
        <v>1318</v>
      </c>
      <c r="R996" s="5">
        <v>1335</v>
      </c>
      <c r="S996" s="5">
        <v>1338.9</v>
      </c>
      <c r="T996" s="5">
        <v>1324.7</v>
      </c>
      <c r="V996" s="5">
        <v>1335.05</v>
      </c>
      <c r="Y996" s="5">
        <v>42165</v>
      </c>
      <c r="Z996" s="5">
        <v>55987942.700000003</v>
      </c>
      <c r="AA996" s="5">
        <v>5214</v>
      </c>
      <c r="AB996" s="5" t="s">
        <v>85</v>
      </c>
      <c r="AC996" s="5">
        <v>1</v>
      </c>
    </row>
    <row r="997" spans="1:29" x14ac:dyDescent="0.3">
      <c r="A997" s="34">
        <v>46274</v>
      </c>
      <c r="B997" s="34">
        <v>46274</v>
      </c>
      <c r="C997" s="5" t="s">
        <v>78</v>
      </c>
      <c r="D997" s="5" t="s">
        <v>79</v>
      </c>
      <c r="E997" s="5" t="s">
        <v>80</v>
      </c>
      <c r="F997" s="5">
        <v>955</v>
      </c>
      <c r="G997" s="5" t="s">
        <v>3084</v>
      </c>
      <c r="H997" s="5" t="s">
        <v>3085</v>
      </c>
      <c r="I997" s="5" t="s">
        <v>212</v>
      </c>
      <c r="N997" s="5" t="s">
        <v>3086</v>
      </c>
      <c r="O997" s="5">
        <v>6060</v>
      </c>
      <c r="P997" s="5">
        <v>6126</v>
      </c>
      <c r="Q997" s="5">
        <v>5905</v>
      </c>
      <c r="R997" s="5">
        <v>5932</v>
      </c>
      <c r="S997" s="5">
        <v>5905</v>
      </c>
      <c r="T997" s="5">
        <v>6067</v>
      </c>
      <c r="V997" s="5">
        <v>5932.13</v>
      </c>
      <c r="Y997" s="5">
        <v>7212</v>
      </c>
      <c r="Z997" s="5">
        <v>43256692.5</v>
      </c>
      <c r="AA997" s="5">
        <v>2309</v>
      </c>
      <c r="AB997" s="5" t="s">
        <v>85</v>
      </c>
      <c r="AC997" s="5">
        <v>1</v>
      </c>
    </row>
    <row r="998" spans="1:29" x14ac:dyDescent="0.3">
      <c r="A998" s="34">
        <v>46274</v>
      </c>
      <c r="B998" s="34">
        <v>46274</v>
      </c>
      <c r="C998" s="5" t="s">
        <v>78</v>
      </c>
      <c r="D998" s="5" t="s">
        <v>79</v>
      </c>
      <c r="E998" s="5" t="s">
        <v>80</v>
      </c>
      <c r="F998" s="5">
        <v>19884</v>
      </c>
      <c r="G998" s="5" t="s">
        <v>3087</v>
      </c>
      <c r="H998" s="5" t="s">
        <v>3088</v>
      </c>
      <c r="I998" s="5" t="s">
        <v>234</v>
      </c>
      <c r="N998" s="5" t="s">
        <v>3089</v>
      </c>
      <c r="O998" s="5">
        <v>41.42</v>
      </c>
      <c r="P998" s="5">
        <v>41.77</v>
      </c>
      <c r="Q998" s="5">
        <v>40.4</v>
      </c>
      <c r="R998" s="5">
        <v>40.85</v>
      </c>
      <c r="S998" s="5">
        <v>41.27</v>
      </c>
      <c r="T998" s="5">
        <v>41.47</v>
      </c>
      <c r="V998" s="5">
        <v>41.42</v>
      </c>
      <c r="Y998" s="5">
        <v>362765</v>
      </c>
      <c r="Z998" s="5">
        <v>14777288.789999999</v>
      </c>
      <c r="AA998" s="5">
        <v>1883</v>
      </c>
      <c r="AB998" s="5" t="s">
        <v>85</v>
      </c>
      <c r="AC998" s="5">
        <v>1</v>
      </c>
    </row>
    <row r="999" spans="1:29" x14ac:dyDescent="0.3">
      <c r="A999" s="34">
        <v>46274</v>
      </c>
      <c r="B999" s="34">
        <v>46274</v>
      </c>
      <c r="C999" s="5" t="s">
        <v>78</v>
      </c>
      <c r="D999" s="5" t="s">
        <v>79</v>
      </c>
      <c r="E999" s="5" t="s">
        <v>80</v>
      </c>
      <c r="F999" s="5">
        <v>22767</v>
      </c>
      <c r="G999" s="5" t="s">
        <v>3090</v>
      </c>
      <c r="H999" s="5" t="s">
        <v>3091</v>
      </c>
      <c r="I999" s="5" t="s">
        <v>392</v>
      </c>
      <c r="N999" s="5" t="s">
        <v>3092</v>
      </c>
      <c r="O999" s="5">
        <v>236.95</v>
      </c>
      <c r="P999" s="5">
        <v>248.75</v>
      </c>
      <c r="Q999" s="5">
        <v>225.15</v>
      </c>
      <c r="R999" s="5">
        <v>246.2</v>
      </c>
      <c r="S999" s="5">
        <v>248</v>
      </c>
      <c r="T999" s="5">
        <v>236.95</v>
      </c>
      <c r="V999" s="5">
        <v>246.2</v>
      </c>
      <c r="Y999" s="5">
        <v>60000</v>
      </c>
      <c r="Z999" s="5">
        <v>14079180</v>
      </c>
      <c r="AA999" s="5">
        <v>118</v>
      </c>
      <c r="AB999" s="5" t="s">
        <v>85</v>
      </c>
      <c r="AC999" s="5">
        <v>400</v>
      </c>
    </row>
    <row r="1000" spans="1:29" x14ac:dyDescent="0.3">
      <c r="A1000" s="34">
        <v>46274</v>
      </c>
      <c r="B1000" s="34">
        <v>46274</v>
      </c>
      <c r="C1000" s="5" t="s">
        <v>78</v>
      </c>
      <c r="D1000" s="5" t="s">
        <v>79</v>
      </c>
      <c r="E1000" s="5" t="s">
        <v>80</v>
      </c>
      <c r="F1000" s="5">
        <v>958</v>
      </c>
      <c r="G1000" s="5" t="s">
        <v>3093</v>
      </c>
      <c r="H1000" s="5" t="s">
        <v>3094</v>
      </c>
      <c r="I1000" s="5" t="s">
        <v>212</v>
      </c>
      <c r="N1000" s="5" t="s">
        <v>3095</v>
      </c>
      <c r="O1000" s="5">
        <v>3009</v>
      </c>
      <c r="P1000" s="5">
        <v>3036</v>
      </c>
      <c r="Q1000" s="5">
        <v>2977.7</v>
      </c>
      <c r="R1000" s="5">
        <v>2989.2</v>
      </c>
      <c r="S1000" s="5">
        <v>2992</v>
      </c>
      <c r="T1000" s="5">
        <v>3013.2</v>
      </c>
      <c r="V1000" s="5">
        <v>2989.13</v>
      </c>
      <c r="Y1000" s="5">
        <v>31863</v>
      </c>
      <c r="Z1000" s="5">
        <v>95476070.5</v>
      </c>
      <c r="AA1000" s="5">
        <v>6823</v>
      </c>
      <c r="AB1000" s="5" t="s">
        <v>85</v>
      </c>
      <c r="AC1000" s="5">
        <v>1</v>
      </c>
    </row>
    <row r="1001" spans="1:29" x14ac:dyDescent="0.3">
      <c r="A1001" s="34">
        <v>46274</v>
      </c>
      <c r="B1001" s="34">
        <v>46274</v>
      </c>
      <c r="C1001" s="5" t="s">
        <v>78</v>
      </c>
      <c r="D1001" s="5" t="s">
        <v>79</v>
      </c>
      <c r="E1001" s="5" t="s">
        <v>80</v>
      </c>
      <c r="F1001" s="5">
        <v>765553</v>
      </c>
      <c r="G1001" s="5" t="s">
        <v>3096</v>
      </c>
      <c r="H1001" s="5" t="s">
        <v>3097</v>
      </c>
      <c r="I1001" s="5" t="s">
        <v>212</v>
      </c>
      <c r="N1001" s="5" t="s">
        <v>3098</v>
      </c>
      <c r="O1001" s="5">
        <v>1438.85</v>
      </c>
      <c r="P1001" s="5">
        <v>1438.85</v>
      </c>
      <c r="Q1001" s="5">
        <v>1438.85</v>
      </c>
      <c r="R1001" s="5">
        <v>1438.85</v>
      </c>
      <c r="S1001" s="5">
        <v>1438.85</v>
      </c>
      <c r="T1001" s="5">
        <v>1308.05</v>
      </c>
      <c r="V1001" s="5">
        <v>1438.84</v>
      </c>
      <c r="Y1001" s="5">
        <v>312887</v>
      </c>
      <c r="Z1001" s="5">
        <v>450197459.94999999</v>
      </c>
      <c r="AA1001" s="5">
        <v>4561</v>
      </c>
      <c r="AB1001" s="5" t="s">
        <v>85</v>
      </c>
      <c r="AC1001" s="5">
        <v>1</v>
      </c>
    </row>
    <row r="1002" spans="1:29" x14ac:dyDescent="0.3">
      <c r="A1002" s="34">
        <v>46274</v>
      </c>
      <c r="B1002" s="34">
        <v>46274</v>
      </c>
      <c r="C1002" s="5" t="s">
        <v>78</v>
      </c>
      <c r="D1002" s="5" t="s">
        <v>79</v>
      </c>
      <c r="E1002" s="5" t="s">
        <v>80</v>
      </c>
      <c r="F1002" s="5">
        <v>24678</v>
      </c>
      <c r="G1002" s="5" t="s">
        <v>3099</v>
      </c>
      <c r="H1002" s="5" t="s">
        <v>3100</v>
      </c>
      <c r="I1002" s="5" t="s">
        <v>313</v>
      </c>
      <c r="N1002" s="5" t="s">
        <v>3101</v>
      </c>
      <c r="O1002" s="5">
        <v>63.05</v>
      </c>
      <c r="P1002" s="5">
        <v>63.05</v>
      </c>
      <c r="Q1002" s="5">
        <v>63</v>
      </c>
      <c r="R1002" s="5">
        <v>63</v>
      </c>
      <c r="S1002" s="5">
        <v>63</v>
      </c>
      <c r="T1002" s="5">
        <v>64.5</v>
      </c>
      <c r="V1002" s="5">
        <v>63</v>
      </c>
      <c r="Y1002" s="5">
        <v>3200</v>
      </c>
      <c r="Z1002" s="5">
        <v>201680</v>
      </c>
      <c r="AA1002" s="5">
        <v>2</v>
      </c>
      <c r="AB1002" s="5" t="s">
        <v>85</v>
      </c>
      <c r="AC1002" s="5">
        <v>1600</v>
      </c>
    </row>
    <row r="1003" spans="1:29" x14ac:dyDescent="0.3">
      <c r="A1003" s="34">
        <v>46274</v>
      </c>
      <c r="B1003" s="34">
        <v>46274</v>
      </c>
      <c r="C1003" s="5" t="s">
        <v>78</v>
      </c>
      <c r="D1003" s="5" t="s">
        <v>79</v>
      </c>
      <c r="E1003" s="5" t="s">
        <v>80</v>
      </c>
      <c r="F1003" s="5">
        <v>25634</v>
      </c>
      <c r="G1003" s="5" t="s">
        <v>3102</v>
      </c>
      <c r="H1003" s="5" t="s">
        <v>3103</v>
      </c>
      <c r="I1003" s="5" t="s">
        <v>212</v>
      </c>
      <c r="N1003" s="5" t="s">
        <v>3104</v>
      </c>
      <c r="O1003" s="5">
        <v>16.12</v>
      </c>
      <c r="P1003" s="5">
        <v>16.239999999999998</v>
      </c>
      <c r="Q1003" s="5">
        <v>15.96</v>
      </c>
      <c r="R1003" s="5">
        <v>16.04</v>
      </c>
      <c r="S1003" s="5">
        <v>16.12</v>
      </c>
      <c r="T1003" s="5">
        <v>16.05</v>
      </c>
      <c r="V1003" s="5">
        <v>16.04</v>
      </c>
      <c r="Y1003" s="5">
        <v>176001</v>
      </c>
      <c r="Z1003" s="5">
        <v>2825251.07</v>
      </c>
      <c r="AA1003" s="5">
        <v>882</v>
      </c>
      <c r="AB1003" s="5" t="s">
        <v>85</v>
      </c>
      <c r="AC1003" s="5">
        <v>1</v>
      </c>
    </row>
    <row r="1004" spans="1:29" x14ac:dyDescent="0.3">
      <c r="A1004" s="34">
        <v>46274</v>
      </c>
      <c r="B1004" s="34">
        <v>46274</v>
      </c>
      <c r="C1004" s="5" t="s">
        <v>78</v>
      </c>
      <c r="D1004" s="5" t="s">
        <v>79</v>
      </c>
      <c r="E1004" s="5" t="s">
        <v>80</v>
      </c>
      <c r="F1004" s="5">
        <v>17084</v>
      </c>
      <c r="G1004" s="5" t="s">
        <v>3105</v>
      </c>
      <c r="H1004" s="5" t="s">
        <v>3106</v>
      </c>
      <c r="I1004" s="5" t="s">
        <v>313</v>
      </c>
      <c r="N1004" s="5" t="s">
        <v>3107</v>
      </c>
      <c r="O1004" s="5">
        <v>116.05</v>
      </c>
      <c r="P1004" s="5">
        <v>120</v>
      </c>
      <c r="Q1004" s="5">
        <v>114</v>
      </c>
      <c r="R1004" s="5">
        <v>115.55</v>
      </c>
      <c r="S1004" s="5">
        <v>117.3</v>
      </c>
      <c r="T1004" s="5">
        <v>119.3</v>
      </c>
      <c r="V1004" s="5">
        <v>115.55</v>
      </c>
      <c r="Y1004" s="5">
        <v>25920</v>
      </c>
      <c r="Z1004" s="5">
        <v>3001518</v>
      </c>
      <c r="AA1004" s="5">
        <v>53</v>
      </c>
      <c r="AB1004" s="5" t="s">
        <v>85</v>
      </c>
      <c r="AC1004" s="5">
        <v>360</v>
      </c>
    </row>
    <row r="1005" spans="1:29" x14ac:dyDescent="0.3">
      <c r="A1005" s="34">
        <v>46274</v>
      </c>
      <c r="B1005" s="34">
        <v>46274</v>
      </c>
      <c r="C1005" s="5" t="s">
        <v>78</v>
      </c>
      <c r="D1005" s="5" t="s">
        <v>79</v>
      </c>
      <c r="E1005" s="5" t="s">
        <v>80</v>
      </c>
      <c r="F1005" s="5">
        <v>24265</v>
      </c>
      <c r="G1005" s="5" t="s">
        <v>3108</v>
      </c>
      <c r="H1005" s="5" t="s">
        <v>3109</v>
      </c>
      <c r="I1005" s="5" t="s">
        <v>212</v>
      </c>
      <c r="N1005" s="5" t="s">
        <v>3110</v>
      </c>
      <c r="O1005" s="5">
        <v>91.45</v>
      </c>
      <c r="P1005" s="5">
        <v>92.8</v>
      </c>
      <c r="Q1005" s="5">
        <v>90.01</v>
      </c>
      <c r="R1005" s="5">
        <v>91.02</v>
      </c>
      <c r="S1005" s="5">
        <v>91.75</v>
      </c>
      <c r="T1005" s="5">
        <v>91.43</v>
      </c>
      <c r="V1005" s="5">
        <v>91.01</v>
      </c>
      <c r="Y1005" s="5">
        <v>156917</v>
      </c>
      <c r="Z1005" s="5">
        <v>14322966.65</v>
      </c>
      <c r="AA1005" s="5">
        <v>2547</v>
      </c>
      <c r="AB1005" s="5" t="s">
        <v>85</v>
      </c>
      <c r="AC1005" s="5">
        <v>1</v>
      </c>
    </row>
    <row r="1006" spans="1:29" x14ac:dyDescent="0.3">
      <c r="A1006" s="34">
        <v>46274</v>
      </c>
      <c r="B1006" s="34">
        <v>46274</v>
      </c>
      <c r="C1006" s="5" t="s">
        <v>78</v>
      </c>
      <c r="D1006" s="5" t="s">
        <v>79</v>
      </c>
      <c r="E1006" s="5" t="s">
        <v>80</v>
      </c>
      <c r="F1006" s="5">
        <v>5097</v>
      </c>
      <c r="G1006" s="5" t="s">
        <v>3111</v>
      </c>
      <c r="H1006" s="5" t="s">
        <v>3112</v>
      </c>
      <c r="I1006" s="5" t="s">
        <v>212</v>
      </c>
      <c r="N1006" s="5" t="s">
        <v>3113</v>
      </c>
      <c r="O1006" s="5">
        <v>322</v>
      </c>
      <c r="P1006" s="5">
        <v>322.55</v>
      </c>
      <c r="Q1006" s="5">
        <v>318</v>
      </c>
      <c r="R1006" s="5">
        <v>320.60000000000002</v>
      </c>
      <c r="S1006" s="5">
        <v>320.60000000000002</v>
      </c>
      <c r="T1006" s="5">
        <v>321.60000000000002</v>
      </c>
      <c r="V1006" s="5">
        <v>320.60000000000002</v>
      </c>
      <c r="Y1006" s="5">
        <v>22599551</v>
      </c>
      <c r="Z1006" s="5">
        <v>7221748062.75</v>
      </c>
      <c r="AA1006" s="5">
        <v>205768</v>
      </c>
      <c r="AB1006" s="5" t="s">
        <v>85</v>
      </c>
      <c r="AC1006" s="5">
        <v>1</v>
      </c>
    </row>
    <row r="1007" spans="1:29" x14ac:dyDescent="0.3">
      <c r="A1007" s="34">
        <v>46274</v>
      </c>
      <c r="B1007" s="34">
        <v>46274</v>
      </c>
      <c r="C1007" s="5" t="s">
        <v>78</v>
      </c>
      <c r="D1007" s="5" t="s">
        <v>79</v>
      </c>
      <c r="E1007" s="5" t="s">
        <v>80</v>
      </c>
      <c r="F1007" s="5">
        <v>9750</v>
      </c>
      <c r="G1007" s="5" t="s">
        <v>3114</v>
      </c>
      <c r="H1007" s="5" t="s">
        <v>3115</v>
      </c>
      <c r="I1007" s="5" t="s">
        <v>212</v>
      </c>
      <c r="N1007" s="5" t="s">
        <v>3116</v>
      </c>
      <c r="O1007" s="5">
        <v>2746.1</v>
      </c>
      <c r="P1007" s="5">
        <v>2781.6</v>
      </c>
      <c r="Q1007" s="5">
        <v>2680</v>
      </c>
      <c r="R1007" s="5">
        <v>2744</v>
      </c>
      <c r="S1007" s="5">
        <v>2760.2</v>
      </c>
      <c r="T1007" s="5">
        <v>2761.5</v>
      </c>
      <c r="V1007" s="5">
        <v>2744.44</v>
      </c>
      <c r="Y1007" s="5">
        <v>33321</v>
      </c>
      <c r="Z1007" s="5">
        <v>90843217.799999997</v>
      </c>
      <c r="AA1007" s="5">
        <v>7073</v>
      </c>
      <c r="AB1007" s="5" t="s">
        <v>85</v>
      </c>
      <c r="AC1007" s="5">
        <v>1</v>
      </c>
    </row>
    <row r="1008" spans="1:29" x14ac:dyDescent="0.3">
      <c r="A1008" s="34">
        <v>46274</v>
      </c>
      <c r="B1008" s="34">
        <v>46274</v>
      </c>
      <c r="C1008" s="5" t="s">
        <v>78</v>
      </c>
      <c r="D1008" s="5" t="s">
        <v>79</v>
      </c>
      <c r="E1008" s="5" t="s">
        <v>80</v>
      </c>
      <c r="F1008" s="5">
        <v>25162</v>
      </c>
      <c r="G1008" s="5" t="s">
        <v>3117</v>
      </c>
      <c r="H1008" s="5" t="s">
        <v>3118</v>
      </c>
      <c r="I1008" s="5" t="s">
        <v>212</v>
      </c>
      <c r="N1008" s="5" t="s">
        <v>3119</v>
      </c>
      <c r="O1008" s="5">
        <v>411.25</v>
      </c>
      <c r="P1008" s="5">
        <v>412</v>
      </c>
      <c r="Q1008" s="5">
        <v>398.65</v>
      </c>
      <c r="R1008" s="5">
        <v>399.35</v>
      </c>
      <c r="S1008" s="5">
        <v>399.8</v>
      </c>
      <c r="T1008" s="5">
        <v>408.55</v>
      </c>
      <c r="V1008" s="5">
        <v>399.35</v>
      </c>
      <c r="Y1008" s="5">
        <v>114272</v>
      </c>
      <c r="Z1008" s="5">
        <v>45966140.450000003</v>
      </c>
      <c r="AA1008" s="5">
        <v>5888</v>
      </c>
      <c r="AB1008" s="5" t="s">
        <v>85</v>
      </c>
      <c r="AC1008" s="5">
        <v>1</v>
      </c>
    </row>
    <row r="1009" spans="1:29" x14ac:dyDescent="0.3">
      <c r="A1009" s="34">
        <v>46274</v>
      </c>
      <c r="B1009" s="34">
        <v>46274</v>
      </c>
      <c r="C1009" s="5" t="s">
        <v>78</v>
      </c>
      <c r="D1009" s="5" t="s">
        <v>79</v>
      </c>
      <c r="E1009" s="5" t="s">
        <v>80</v>
      </c>
      <c r="F1009" s="5">
        <v>6042</v>
      </c>
      <c r="G1009" s="5" t="s">
        <v>3120</v>
      </c>
      <c r="H1009" s="5" t="s">
        <v>3121</v>
      </c>
      <c r="I1009" s="5" t="s">
        <v>234</v>
      </c>
      <c r="N1009" s="5" t="s">
        <v>3122</v>
      </c>
      <c r="O1009" s="5">
        <v>270.3</v>
      </c>
      <c r="P1009" s="5">
        <v>270.3</v>
      </c>
      <c r="Q1009" s="5">
        <v>259.7</v>
      </c>
      <c r="R1009" s="5">
        <v>270.3</v>
      </c>
      <c r="S1009" s="5">
        <v>270.3</v>
      </c>
      <c r="T1009" s="5">
        <v>265</v>
      </c>
      <c r="V1009" s="5">
        <v>270.3</v>
      </c>
      <c r="Y1009" s="5">
        <v>5881</v>
      </c>
      <c r="Z1009" s="5">
        <v>1571236.6</v>
      </c>
      <c r="AA1009" s="5">
        <v>53</v>
      </c>
      <c r="AB1009" s="5" t="s">
        <v>85</v>
      </c>
      <c r="AC1009" s="5">
        <v>1</v>
      </c>
    </row>
    <row r="1010" spans="1:29" x14ac:dyDescent="0.3">
      <c r="A1010" s="34">
        <v>46274</v>
      </c>
      <c r="B1010" s="34">
        <v>46274</v>
      </c>
      <c r="C1010" s="5" t="s">
        <v>78</v>
      </c>
      <c r="D1010" s="5" t="s">
        <v>79</v>
      </c>
      <c r="E1010" s="5" t="s">
        <v>80</v>
      </c>
      <c r="F1010" s="5">
        <v>757953</v>
      </c>
      <c r="G1010" s="5" t="s">
        <v>3123</v>
      </c>
      <c r="H1010" s="5" t="s">
        <v>3124</v>
      </c>
      <c r="I1010" s="5" t="s">
        <v>212</v>
      </c>
      <c r="N1010" s="5" t="s">
        <v>3125</v>
      </c>
      <c r="O1010" s="5">
        <v>159.54</v>
      </c>
      <c r="P1010" s="5">
        <v>159.54</v>
      </c>
      <c r="Q1010" s="5">
        <v>149</v>
      </c>
      <c r="R1010" s="5">
        <v>150.15</v>
      </c>
      <c r="S1010" s="5">
        <v>150</v>
      </c>
      <c r="T1010" s="5">
        <v>154.63</v>
      </c>
      <c r="V1010" s="5">
        <v>150.16</v>
      </c>
      <c r="Y1010" s="5">
        <v>696</v>
      </c>
      <c r="Z1010" s="5">
        <v>104640.38</v>
      </c>
      <c r="AA1010" s="5">
        <v>42</v>
      </c>
      <c r="AB1010" s="5" t="s">
        <v>85</v>
      </c>
      <c r="AC1010" s="5">
        <v>1</v>
      </c>
    </row>
    <row r="1011" spans="1:29" x14ac:dyDescent="0.3">
      <c r="A1011" s="34">
        <v>46274</v>
      </c>
      <c r="B1011" s="34">
        <v>46274</v>
      </c>
      <c r="C1011" s="5" t="s">
        <v>78</v>
      </c>
      <c r="D1011" s="5" t="s">
        <v>79</v>
      </c>
      <c r="E1011" s="5" t="s">
        <v>80</v>
      </c>
      <c r="F1011" s="5">
        <v>759797</v>
      </c>
      <c r="G1011" s="5" t="s">
        <v>3126</v>
      </c>
      <c r="H1011" s="5" t="s">
        <v>3127</v>
      </c>
      <c r="I1011" s="5" t="s">
        <v>212</v>
      </c>
      <c r="N1011" s="5" t="s">
        <v>3128</v>
      </c>
      <c r="O1011" s="5">
        <v>258.64999999999998</v>
      </c>
      <c r="P1011" s="5">
        <v>258.64999999999998</v>
      </c>
      <c r="Q1011" s="5">
        <v>253.1</v>
      </c>
      <c r="R1011" s="5">
        <v>254.4</v>
      </c>
      <c r="S1011" s="5">
        <v>254.5</v>
      </c>
      <c r="T1011" s="5">
        <v>256.95</v>
      </c>
      <c r="V1011" s="5">
        <v>254.39</v>
      </c>
      <c r="Y1011" s="5">
        <v>171857</v>
      </c>
      <c r="Z1011" s="5">
        <v>44063219.299999997</v>
      </c>
      <c r="AA1011" s="5">
        <v>1817</v>
      </c>
      <c r="AB1011" s="5" t="s">
        <v>85</v>
      </c>
      <c r="AC1011" s="5">
        <v>1</v>
      </c>
    </row>
    <row r="1012" spans="1:29" x14ac:dyDescent="0.3">
      <c r="A1012" s="34">
        <v>46274</v>
      </c>
      <c r="B1012" s="34">
        <v>46274</v>
      </c>
      <c r="C1012" s="5" t="s">
        <v>78</v>
      </c>
      <c r="D1012" s="5" t="s">
        <v>79</v>
      </c>
      <c r="E1012" s="5" t="s">
        <v>80</v>
      </c>
      <c r="F1012" s="5">
        <v>11782</v>
      </c>
      <c r="G1012" s="5" t="s">
        <v>3129</v>
      </c>
      <c r="H1012" s="5" t="s">
        <v>3130</v>
      </c>
      <c r="I1012" s="5" t="s">
        <v>212</v>
      </c>
      <c r="N1012" s="5" t="s">
        <v>3131</v>
      </c>
      <c r="O1012" s="5">
        <v>348.85</v>
      </c>
      <c r="P1012" s="5">
        <v>351.6</v>
      </c>
      <c r="Q1012" s="5">
        <v>343.2</v>
      </c>
      <c r="R1012" s="5">
        <v>349.4</v>
      </c>
      <c r="S1012" s="5">
        <v>349</v>
      </c>
      <c r="T1012" s="5">
        <v>348.85</v>
      </c>
      <c r="V1012" s="5">
        <v>349.4</v>
      </c>
      <c r="Y1012" s="5">
        <v>151411</v>
      </c>
      <c r="Z1012" s="5">
        <v>52846255.899999999</v>
      </c>
      <c r="AA1012" s="5">
        <v>2898</v>
      </c>
      <c r="AB1012" s="5" t="s">
        <v>85</v>
      </c>
      <c r="AC1012" s="5">
        <v>1</v>
      </c>
    </row>
    <row r="1013" spans="1:29" x14ac:dyDescent="0.3">
      <c r="A1013" s="34">
        <v>46274</v>
      </c>
      <c r="B1013" s="34">
        <v>46274</v>
      </c>
      <c r="C1013" s="5" t="s">
        <v>78</v>
      </c>
      <c r="D1013" s="5" t="s">
        <v>79</v>
      </c>
      <c r="E1013" s="5" t="s">
        <v>80</v>
      </c>
      <c r="F1013" s="5">
        <v>6017</v>
      </c>
      <c r="G1013" s="5" t="s">
        <v>3132</v>
      </c>
      <c r="H1013" s="5" t="s">
        <v>3133</v>
      </c>
      <c r="I1013" s="5" t="s">
        <v>234</v>
      </c>
      <c r="N1013" s="5" t="s">
        <v>3134</v>
      </c>
      <c r="O1013" s="5">
        <v>428</v>
      </c>
      <c r="P1013" s="5">
        <v>434</v>
      </c>
      <c r="Q1013" s="5">
        <v>421.5</v>
      </c>
      <c r="R1013" s="5">
        <v>425</v>
      </c>
      <c r="S1013" s="5">
        <v>425</v>
      </c>
      <c r="T1013" s="5">
        <v>426.3</v>
      </c>
      <c r="V1013" s="5">
        <v>425</v>
      </c>
      <c r="Y1013" s="5">
        <v>8146</v>
      </c>
      <c r="Z1013" s="5">
        <v>3466536.55</v>
      </c>
      <c r="AA1013" s="5">
        <v>70</v>
      </c>
      <c r="AB1013" s="5" t="s">
        <v>85</v>
      </c>
      <c r="AC1013" s="5">
        <v>1</v>
      </c>
    </row>
    <row r="1014" spans="1:29" x14ac:dyDescent="0.3">
      <c r="A1014" s="34">
        <v>46274</v>
      </c>
      <c r="B1014" s="34">
        <v>46274</v>
      </c>
      <c r="C1014" s="5" t="s">
        <v>78</v>
      </c>
      <c r="D1014" s="5" t="s">
        <v>79</v>
      </c>
      <c r="E1014" s="5" t="s">
        <v>80</v>
      </c>
      <c r="F1014" s="5">
        <v>13091</v>
      </c>
      <c r="G1014" s="5" t="s">
        <v>3135</v>
      </c>
      <c r="H1014" s="5" t="s">
        <v>3136</v>
      </c>
      <c r="I1014" s="5" t="s">
        <v>212</v>
      </c>
      <c r="N1014" s="5" t="s">
        <v>3137</v>
      </c>
      <c r="O1014" s="5">
        <v>103.3</v>
      </c>
      <c r="P1014" s="5">
        <v>104.75</v>
      </c>
      <c r="Q1014" s="5">
        <v>102.81</v>
      </c>
      <c r="R1014" s="5">
        <v>103.3</v>
      </c>
      <c r="S1014" s="5">
        <v>104</v>
      </c>
      <c r="T1014" s="5">
        <v>103.14</v>
      </c>
      <c r="V1014" s="5">
        <v>103.29</v>
      </c>
      <c r="Y1014" s="5">
        <v>83747</v>
      </c>
      <c r="Z1014" s="5">
        <v>8686113.5099999998</v>
      </c>
      <c r="AA1014" s="5">
        <v>1459</v>
      </c>
      <c r="AB1014" s="5" t="s">
        <v>85</v>
      </c>
      <c r="AC1014" s="5">
        <v>1</v>
      </c>
    </row>
    <row r="1015" spans="1:29" x14ac:dyDescent="0.3">
      <c r="A1015" s="34">
        <v>46274</v>
      </c>
      <c r="B1015" s="34">
        <v>46274</v>
      </c>
      <c r="C1015" s="5" t="s">
        <v>78</v>
      </c>
      <c r="D1015" s="5" t="s">
        <v>79</v>
      </c>
      <c r="E1015" s="5" t="s">
        <v>80</v>
      </c>
      <c r="F1015" s="5">
        <v>11471</v>
      </c>
      <c r="G1015" s="5" t="s">
        <v>3138</v>
      </c>
      <c r="H1015" s="5" t="s">
        <v>3139</v>
      </c>
      <c r="I1015" s="5" t="s">
        <v>212</v>
      </c>
      <c r="N1015" s="5" t="s">
        <v>3140</v>
      </c>
      <c r="O1015" s="5">
        <v>995</v>
      </c>
      <c r="P1015" s="5">
        <v>1001.9</v>
      </c>
      <c r="Q1015" s="5">
        <v>985</v>
      </c>
      <c r="R1015" s="5">
        <v>989.4</v>
      </c>
      <c r="S1015" s="5">
        <v>989.8</v>
      </c>
      <c r="T1015" s="5">
        <v>993</v>
      </c>
      <c r="V1015" s="5">
        <v>989.48</v>
      </c>
      <c r="Y1015" s="5">
        <v>10303</v>
      </c>
      <c r="Z1015" s="5">
        <v>10218869.5</v>
      </c>
      <c r="AA1015" s="5">
        <v>937</v>
      </c>
      <c r="AB1015" s="5" t="s">
        <v>85</v>
      </c>
      <c r="AC1015" s="5">
        <v>1</v>
      </c>
    </row>
    <row r="1016" spans="1:29" x14ac:dyDescent="0.3">
      <c r="A1016" s="34">
        <v>46274</v>
      </c>
      <c r="B1016" s="34">
        <v>46274</v>
      </c>
      <c r="C1016" s="5" t="s">
        <v>78</v>
      </c>
      <c r="D1016" s="5" t="s">
        <v>79</v>
      </c>
      <c r="E1016" s="5" t="s">
        <v>80</v>
      </c>
      <c r="F1016" s="5">
        <v>25327</v>
      </c>
      <c r="G1016" s="5" t="s">
        <v>3141</v>
      </c>
      <c r="H1016" s="5" t="s">
        <v>3142</v>
      </c>
      <c r="I1016" s="5" t="s">
        <v>392</v>
      </c>
      <c r="N1016" s="5" t="s">
        <v>3143</v>
      </c>
      <c r="O1016" s="5">
        <v>196</v>
      </c>
      <c r="P1016" s="5">
        <v>207</v>
      </c>
      <c r="Q1016" s="5">
        <v>196</v>
      </c>
      <c r="R1016" s="5">
        <v>207</v>
      </c>
      <c r="S1016" s="5">
        <v>207</v>
      </c>
      <c r="T1016" s="5">
        <v>205.5</v>
      </c>
      <c r="V1016" s="5">
        <v>207</v>
      </c>
      <c r="Y1016" s="5">
        <v>3200</v>
      </c>
      <c r="Z1016" s="5">
        <v>644800</v>
      </c>
      <c r="AA1016" s="5">
        <v>2</v>
      </c>
      <c r="AB1016" s="5" t="s">
        <v>85</v>
      </c>
      <c r="AC1016" s="5">
        <v>1600</v>
      </c>
    </row>
    <row r="1017" spans="1:29" x14ac:dyDescent="0.3">
      <c r="A1017" s="34">
        <v>46274</v>
      </c>
      <c r="B1017" s="34">
        <v>46274</v>
      </c>
      <c r="C1017" s="5" t="s">
        <v>78</v>
      </c>
      <c r="D1017" s="5" t="s">
        <v>79</v>
      </c>
      <c r="E1017" s="5" t="s">
        <v>80</v>
      </c>
      <c r="F1017" s="5">
        <v>760007</v>
      </c>
      <c r="G1017" s="5" t="s">
        <v>3144</v>
      </c>
      <c r="H1017" s="5" t="s">
        <v>3145</v>
      </c>
      <c r="I1017" s="5" t="s">
        <v>212</v>
      </c>
      <c r="N1017" s="5" t="s">
        <v>3146</v>
      </c>
      <c r="O1017" s="5">
        <v>69.489999999999995</v>
      </c>
      <c r="P1017" s="5">
        <v>78.8</v>
      </c>
      <c r="Q1017" s="5">
        <v>67</v>
      </c>
      <c r="R1017" s="5">
        <v>75.23</v>
      </c>
      <c r="S1017" s="5">
        <v>74.5</v>
      </c>
      <c r="T1017" s="5">
        <v>69.06</v>
      </c>
      <c r="V1017" s="5">
        <v>75.22</v>
      </c>
      <c r="Y1017" s="5">
        <v>15422814</v>
      </c>
      <c r="Z1017" s="5">
        <v>1178186712.05</v>
      </c>
      <c r="AA1017" s="5">
        <v>66865</v>
      </c>
      <c r="AB1017" s="5" t="s">
        <v>85</v>
      </c>
      <c r="AC1017" s="5">
        <v>1</v>
      </c>
    </row>
    <row r="1018" spans="1:29" x14ac:dyDescent="0.3">
      <c r="A1018" s="34">
        <v>46274</v>
      </c>
      <c r="B1018" s="34">
        <v>46274</v>
      </c>
      <c r="C1018" s="5" t="s">
        <v>78</v>
      </c>
      <c r="D1018" s="5" t="s">
        <v>79</v>
      </c>
      <c r="E1018" s="5" t="s">
        <v>80</v>
      </c>
      <c r="F1018" s="5">
        <v>22947</v>
      </c>
      <c r="G1018" s="5" t="s">
        <v>3147</v>
      </c>
      <c r="H1018" s="5" t="s">
        <v>3148</v>
      </c>
      <c r="I1018" s="5" t="s">
        <v>212</v>
      </c>
      <c r="N1018" s="5" t="s">
        <v>3149</v>
      </c>
      <c r="O1018" s="5">
        <v>180.45</v>
      </c>
      <c r="P1018" s="5">
        <v>185.49</v>
      </c>
      <c r="Q1018" s="5">
        <v>170.99</v>
      </c>
      <c r="R1018" s="5">
        <v>180.42</v>
      </c>
      <c r="S1018" s="5">
        <v>179.89</v>
      </c>
      <c r="T1018" s="5">
        <v>181.65</v>
      </c>
      <c r="V1018" s="5">
        <v>180.43</v>
      </c>
      <c r="Y1018" s="5">
        <v>3180545</v>
      </c>
      <c r="Z1018" s="5">
        <v>568841755.40999997</v>
      </c>
      <c r="AA1018" s="5">
        <v>30430</v>
      </c>
      <c r="AB1018" s="5" t="s">
        <v>85</v>
      </c>
      <c r="AC1018" s="5">
        <v>1</v>
      </c>
    </row>
    <row r="1019" spans="1:29" x14ac:dyDescent="0.3">
      <c r="A1019" s="34">
        <v>46274</v>
      </c>
      <c r="B1019" s="34">
        <v>46274</v>
      </c>
      <c r="C1019" s="5" t="s">
        <v>78</v>
      </c>
      <c r="D1019" s="5" t="s">
        <v>79</v>
      </c>
      <c r="E1019" s="5" t="s">
        <v>80</v>
      </c>
      <c r="F1019" s="5">
        <v>676</v>
      </c>
      <c r="G1019" s="5" t="s">
        <v>3150</v>
      </c>
      <c r="H1019" s="5" t="s">
        <v>3151</v>
      </c>
      <c r="I1019" s="5" t="s">
        <v>212</v>
      </c>
      <c r="N1019" s="5" t="s">
        <v>3152</v>
      </c>
      <c r="O1019" s="5">
        <v>418.1</v>
      </c>
      <c r="P1019" s="5">
        <v>420</v>
      </c>
      <c r="Q1019" s="5">
        <v>409.7</v>
      </c>
      <c r="R1019" s="5">
        <v>410.75</v>
      </c>
      <c r="S1019" s="5">
        <v>411.8</v>
      </c>
      <c r="T1019" s="5">
        <v>418.15</v>
      </c>
      <c r="V1019" s="5">
        <v>410.75</v>
      </c>
      <c r="Y1019" s="5">
        <v>2097228</v>
      </c>
      <c r="Z1019" s="5">
        <v>868769010.95000005</v>
      </c>
      <c r="AA1019" s="5">
        <v>51136</v>
      </c>
      <c r="AB1019" s="5" t="s">
        <v>85</v>
      </c>
      <c r="AC1019" s="5">
        <v>1</v>
      </c>
    </row>
    <row r="1020" spans="1:29" x14ac:dyDescent="0.3">
      <c r="A1020" s="34">
        <v>46274</v>
      </c>
      <c r="B1020" s="34">
        <v>46274</v>
      </c>
      <c r="C1020" s="5" t="s">
        <v>78</v>
      </c>
      <c r="D1020" s="5" t="s">
        <v>79</v>
      </c>
      <c r="E1020" s="5" t="s">
        <v>80</v>
      </c>
      <c r="F1020" s="5">
        <v>760422</v>
      </c>
      <c r="G1020" s="5" t="s">
        <v>3153</v>
      </c>
      <c r="H1020" s="5" t="s">
        <v>3154</v>
      </c>
      <c r="I1020" s="5" t="s">
        <v>313</v>
      </c>
      <c r="N1020" s="5" t="s">
        <v>3155</v>
      </c>
      <c r="O1020" s="5">
        <v>110</v>
      </c>
      <c r="P1020" s="5">
        <v>110</v>
      </c>
      <c r="Q1020" s="5">
        <v>110</v>
      </c>
      <c r="R1020" s="5">
        <v>110</v>
      </c>
      <c r="S1020" s="5">
        <v>110</v>
      </c>
      <c r="T1020" s="5">
        <v>108</v>
      </c>
      <c r="V1020" s="5">
        <v>110</v>
      </c>
      <c r="Y1020" s="5">
        <v>92800</v>
      </c>
      <c r="Z1020" s="5">
        <v>10208000</v>
      </c>
      <c r="AA1020" s="5">
        <v>2</v>
      </c>
      <c r="AB1020" s="5" t="s">
        <v>85</v>
      </c>
      <c r="AC1020" s="5">
        <v>800</v>
      </c>
    </row>
    <row r="1021" spans="1:29" x14ac:dyDescent="0.3">
      <c r="A1021" s="34">
        <v>46274</v>
      </c>
      <c r="B1021" s="34">
        <v>46274</v>
      </c>
      <c r="C1021" s="5" t="s">
        <v>78</v>
      </c>
      <c r="D1021" s="5" t="s">
        <v>79</v>
      </c>
      <c r="E1021" s="5" t="s">
        <v>80</v>
      </c>
      <c r="F1021" s="5">
        <v>17486</v>
      </c>
      <c r="G1021" s="5" t="s">
        <v>3156</v>
      </c>
      <c r="H1021" s="5" t="s">
        <v>3157</v>
      </c>
      <c r="I1021" s="5" t="s">
        <v>212</v>
      </c>
      <c r="N1021" s="5" t="s">
        <v>3158</v>
      </c>
      <c r="O1021" s="5">
        <v>888</v>
      </c>
      <c r="P1021" s="5">
        <v>891.55</v>
      </c>
      <c r="Q1021" s="5">
        <v>870.6</v>
      </c>
      <c r="R1021" s="5">
        <v>877.6</v>
      </c>
      <c r="S1021" s="5">
        <v>873</v>
      </c>
      <c r="T1021" s="5">
        <v>887.95</v>
      </c>
      <c r="V1021" s="5">
        <v>877.81</v>
      </c>
      <c r="Y1021" s="5">
        <v>31062</v>
      </c>
      <c r="Z1021" s="5">
        <v>27277525.050000001</v>
      </c>
      <c r="AA1021" s="5">
        <v>2315</v>
      </c>
      <c r="AB1021" s="5" t="s">
        <v>85</v>
      </c>
      <c r="AC1021" s="5">
        <v>1</v>
      </c>
    </row>
    <row r="1022" spans="1:29" x14ac:dyDescent="0.3">
      <c r="A1022" s="34">
        <v>46274</v>
      </c>
      <c r="B1022" s="34">
        <v>46274</v>
      </c>
      <c r="C1022" s="5" t="s">
        <v>78</v>
      </c>
      <c r="D1022" s="5" t="s">
        <v>79</v>
      </c>
      <c r="E1022" s="5" t="s">
        <v>80</v>
      </c>
      <c r="F1022" s="5">
        <v>5352</v>
      </c>
      <c r="G1022" s="5" t="s">
        <v>3159</v>
      </c>
      <c r="H1022" s="5" t="s">
        <v>3160</v>
      </c>
      <c r="I1022" s="5" t="s">
        <v>212</v>
      </c>
      <c r="N1022" s="5" t="s">
        <v>3161</v>
      </c>
      <c r="O1022" s="5">
        <v>6.35</v>
      </c>
      <c r="P1022" s="5">
        <v>6.55</v>
      </c>
      <c r="Q1022" s="5">
        <v>6.35</v>
      </c>
      <c r="R1022" s="5">
        <v>6.45</v>
      </c>
      <c r="S1022" s="5">
        <v>6.49</v>
      </c>
      <c r="T1022" s="5">
        <v>6.51</v>
      </c>
      <c r="V1022" s="5">
        <v>6.45</v>
      </c>
      <c r="Y1022" s="5">
        <v>187657</v>
      </c>
      <c r="Z1022" s="5">
        <v>1213839.8700000001</v>
      </c>
      <c r="AA1022" s="5">
        <v>367</v>
      </c>
      <c r="AB1022" s="5" t="s">
        <v>85</v>
      </c>
      <c r="AC1022" s="5">
        <v>1</v>
      </c>
    </row>
    <row r="1023" spans="1:29" x14ac:dyDescent="0.3">
      <c r="A1023" s="34">
        <v>46274</v>
      </c>
      <c r="B1023" s="34">
        <v>46274</v>
      </c>
      <c r="C1023" s="5" t="s">
        <v>78</v>
      </c>
      <c r="D1023" s="5" t="s">
        <v>79</v>
      </c>
      <c r="E1023" s="5" t="s">
        <v>80</v>
      </c>
      <c r="F1023" s="5">
        <v>760125</v>
      </c>
      <c r="G1023" s="5" t="s">
        <v>3162</v>
      </c>
      <c r="H1023" s="5" t="s">
        <v>3163</v>
      </c>
      <c r="I1023" s="5" t="s">
        <v>212</v>
      </c>
      <c r="N1023" s="5" t="s">
        <v>3164</v>
      </c>
      <c r="O1023" s="5">
        <v>148</v>
      </c>
      <c r="P1023" s="5">
        <v>149.93</v>
      </c>
      <c r="Q1023" s="5">
        <v>146.52000000000001</v>
      </c>
      <c r="R1023" s="5">
        <v>147.65</v>
      </c>
      <c r="S1023" s="5">
        <v>148</v>
      </c>
      <c r="T1023" s="5">
        <v>146.91</v>
      </c>
      <c r="V1023" s="5">
        <v>147.65</v>
      </c>
      <c r="Y1023" s="5">
        <v>64651</v>
      </c>
      <c r="Z1023" s="5">
        <v>9584763.2899999991</v>
      </c>
      <c r="AA1023" s="5">
        <v>1249</v>
      </c>
      <c r="AB1023" s="5" t="s">
        <v>85</v>
      </c>
      <c r="AC1023" s="5">
        <v>1</v>
      </c>
    </row>
    <row r="1024" spans="1:29" x14ac:dyDescent="0.3">
      <c r="A1024" s="34">
        <v>46274</v>
      </c>
      <c r="B1024" s="34">
        <v>46274</v>
      </c>
      <c r="C1024" s="5" t="s">
        <v>78</v>
      </c>
      <c r="D1024" s="5" t="s">
        <v>79</v>
      </c>
      <c r="E1024" s="5" t="s">
        <v>80</v>
      </c>
      <c r="F1024" s="5">
        <v>1008</v>
      </c>
      <c r="G1024" s="5" t="s">
        <v>3165</v>
      </c>
      <c r="H1024" s="5" t="s">
        <v>3166</v>
      </c>
      <c r="I1024" s="5" t="s">
        <v>212</v>
      </c>
      <c r="N1024" s="5" t="s">
        <v>3167</v>
      </c>
      <c r="O1024" s="5">
        <v>790.2</v>
      </c>
      <c r="P1024" s="5">
        <v>798.95</v>
      </c>
      <c r="Q1024" s="5">
        <v>784.8</v>
      </c>
      <c r="R1024" s="5">
        <v>786.4</v>
      </c>
      <c r="S1024" s="5">
        <v>785</v>
      </c>
      <c r="T1024" s="5">
        <v>791.2</v>
      </c>
      <c r="V1024" s="5">
        <v>786.38</v>
      </c>
      <c r="Y1024" s="5">
        <v>99776</v>
      </c>
      <c r="Z1024" s="5">
        <v>78656575.650000006</v>
      </c>
      <c r="AA1024" s="5">
        <v>6410</v>
      </c>
      <c r="AB1024" s="5" t="s">
        <v>85</v>
      </c>
      <c r="AC1024" s="5">
        <v>1</v>
      </c>
    </row>
    <row r="1025" spans="1:29" x14ac:dyDescent="0.3">
      <c r="A1025" s="34">
        <v>46274</v>
      </c>
      <c r="B1025" s="34">
        <v>46274</v>
      </c>
      <c r="C1025" s="5" t="s">
        <v>78</v>
      </c>
      <c r="D1025" s="5" t="s">
        <v>79</v>
      </c>
      <c r="E1025" s="5" t="s">
        <v>80</v>
      </c>
      <c r="F1025" s="5">
        <v>1619</v>
      </c>
      <c r="G1025" s="5" t="s">
        <v>3168</v>
      </c>
      <c r="H1025" s="5" t="s">
        <v>3169</v>
      </c>
      <c r="I1025" s="5" t="s">
        <v>234</v>
      </c>
      <c r="N1025" s="5" t="s">
        <v>3170</v>
      </c>
      <c r="O1025" s="5">
        <v>626.54999999999995</v>
      </c>
      <c r="P1025" s="5">
        <v>644</v>
      </c>
      <c r="Q1025" s="5">
        <v>620.04999999999995</v>
      </c>
      <c r="R1025" s="5">
        <v>636.85</v>
      </c>
      <c r="S1025" s="5">
        <v>642</v>
      </c>
      <c r="T1025" s="5">
        <v>629.70000000000005</v>
      </c>
      <c r="V1025" s="5">
        <v>635.64</v>
      </c>
      <c r="Y1025" s="5">
        <v>8741</v>
      </c>
      <c r="Z1025" s="5">
        <v>5535043.9500000002</v>
      </c>
      <c r="AA1025" s="5">
        <v>303</v>
      </c>
      <c r="AB1025" s="5" t="s">
        <v>85</v>
      </c>
      <c r="AC1025" s="5">
        <v>1</v>
      </c>
    </row>
    <row r="1026" spans="1:29" x14ac:dyDescent="0.3">
      <c r="A1026" s="34">
        <v>46274</v>
      </c>
      <c r="B1026" s="34">
        <v>46274</v>
      </c>
      <c r="C1026" s="5" t="s">
        <v>78</v>
      </c>
      <c r="D1026" s="5" t="s">
        <v>79</v>
      </c>
      <c r="E1026" s="5" t="s">
        <v>80</v>
      </c>
      <c r="F1026" s="5">
        <v>765368</v>
      </c>
      <c r="G1026" s="5" t="s">
        <v>3171</v>
      </c>
      <c r="H1026" s="5" t="s">
        <v>3172</v>
      </c>
      <c r="I1026" s="5" t="s">
        <v>313</v>
      </c>
      <c r="N1026" s="5" t="s">
        <v>3173</v>
      </c>
      <c r="O1026" s="5">
        <v>55.5</v>
      </c>
      <c r="P1026" s="5">
        <v>58</v>
      </c>
      <c r="Q1026" s="5">
        <v>53.25</v>
      </c>
      <c r="R1026" s="5">
        <v>54.4</v>
      </c>
      <c r="S1026" s="5">
        <v>54.3</v>
      </c>
      <c r="T1026" s="5">
        <v>58.8</v>
      </c>
      <c r="V1026" s="5">
        <v>54.4</v>
      </c>
      <c r="Y1026" s="5">
        <v>129600</v>
      </c>
      <c r="Z1026" s="5">
        <v>7206120</v>
      </c>
      <c r="AA1026" s="5">
        <v>159</v>
      </c>
      <c r="AB1026" s="5" t="s">
        <v>85</v>
      </c>
      <c r="AC1026" s="5">
        <v>800</v>
      </c>
    </row>
    <row r="1027" spans="1:29" x14ac:dyDescent="0.3">
      <c r="A1027" s="34">
        <v>46274</v>
      </c>
      <c r="B1027" s="34">
        <v>46274</v>
      </c>
      <c r="C1027" s="5" t="s">
        <v>78</v>
      </c>
      <c r="D1027" s="5" t="s">
        <v>79</v>
      </c>
      <c r="E1027" s="5" t="s">
        <v>80</v>
      </c>
      <c r="F1027" s="5">
        <v>12000</v>
      </c>
      <c r="G1027" s="5" t="s">
        <v>3174</v>
      </c>
      <c r="H1027" s="5" t="s">
        <v>3175</v>
      </c>
      <c r="I1027" s="5" t="s">
        <v>212</v>
      </c>
      <c r="N1027" s="5" t="s">
        <v>3176</v>
      </c>
      <c r="O1027" s="5">
        <v>489.25</v>
      </c>
      <c r="P1027" s="5">
        <v>494.95</v>
      </c>
      <c r="Q1027" s="5">
        <v>481</v>
      </c>
      <c r="R1027" s="5">
        <v>484.8</v>
      </c>
      <c r="S1027" s="5">
        <v>485.6</v>
      </c>
      <c r="T1027" s="5">
        <v>497.3</v>
      </c>
      <c r="V1027" s="5">
        <v>484.81</v>
      </c>
      <c r="Y1027" s="5">
        <v>9833</v>
      </c>
      <c r="Z1027" s="5">
        <v>4788825.25</v>
      </c>
      <c r="AA1027" s="5">
        <v>601</v>
      </c>
      <c r="AB1027" s="5" t="s">
        <v>85</v>
      </c>
      <c r="AC1027" s="5">
        <v>1</v>
      </c>
    </row>
    <row r="1028" spans="1:29" x14ac:dyDescent="0.3">
      <c r="A1028" s="34">
        <v>46274</v>
      </c>
      <c r="B1028" s="34">
        <v>46274</v>
      </c>
      <c r="C1028" s="5" t="s">
        <v>78</v>
      </c>
      <c r="D1028" s="5" t="s">
        <v>79</v>
      </c>
      <c r="E1028" s="5" t="s">
        <v>80</v>
      </c>
      <c r="F1028" s="5">
        <v>11999</v>
      </c>
      <c r="G1028" s="5" t="s">
        <v>3177</v>
      </c>
      <c r="H1028" s="5" t="s">
        <v>3178</v>
      </c>
      <c r="I1028" s="5" t="s">
        <v>212</v>
      </c>
      <c r="N1028" s="5" t="s">
        <v>3179</v>
      </c>
      <c r="O1028" s="5">
        <v>1.42</v>
      </c>
      <c r="P1028" s="5">
        <v>1.43</v>
      </c>
      <c r="Q1028" s="5">
        <v>1.41</v>
      </c>
      <c r="R1028" s="5">
        <v>1.42</v>
      </c>
      <c r="S1028" s="5">
        <v>1.42</v>
      </c>
      <c r="T1028" s="5">
        <v>1.42</v>
      </c>
      <c r="V1028" s="5">
        <v>1.42</v>
      </c>
      <c r="Y1028" s="5">
        <v>1579523</v>
      </c>
      <c r="Z1028" s="5">
        <v>2239512.27</v>
      </c>
      <c r="AA1028" s="5">
        <v>1072</v>
      </c>
      <c r="AB1028" s="5" t="s">
        <v>85</v>
      </c>
      <c r="AC1028" s="5">
        <v>1</v>
      </c>
    </row>
    <row r="1029" spans="1:29" x14ac:dyDescent="0.3">
      <c r="A1029" s="34">
        <v>46274</v>
      </c>
      <c r="B1029" s="34">
        <v>46274</v>
      </c>
      <c r="C1029" s="5" t="s">
        <v>78</v>
      </c>
      <c r="D1029" s="5" t="s">
        <v>79</v>
      </c>
      <c r="E1029" s="5" t="s">
        <v>80</v>
      </c>
      <c r="F1029" s="5">
        <v>4898</v>
      </c>
      <c r="G1029" s="5" t="s">
        <v>3180</v>
      </c>
      <c r="H1029" s="5" t="s">
        <v>3181</v>
      </c>
      <c r="I1029" s="5" t="s">
        <v>212</v>
      </c>
      <c r="N1029" s="5" t="s">
        <v>3182</v>
      </c>
      <c r="O1029" s="5">
        <v>345.85</v>
      </c>
      <c r="P1029" s="5">
        <v>356.75</v>
      </c>
      <c r="Q1029" s="5">
        <v>342.4</v>
      </c>
      <c r="R1029" s="5">
        <v>354.3</v>
      </c>
      <c r="S1029" s="5">
        <v>355.2</v>
      </c>
      <c r="T1029" s="5">
        <v>345.95</v>
      </c>
      <c r="V1029" s="5">
        <v>354.31</v>
      </c>
      <c r="Y1029" s="5">
        <v>219983</v>
      </c>
      <c r="Z1029" s="5">
        <v>77117138.5</v>
      </c>
      <c r="AA1029" s="5">
        <v>7005</v>
      </c>
      <c r="AB1029" s="5" t="s">
        <v>85</v>
      </c>
      <c r="AC1029" s="5">
        <v>1</v>
      </c>
    </row>
    <row r="1030" spans="1:29" x14ac:dyDescent="0.3">
      <c r="A1030" s="34">
        <v>46274</v>
      </c>
      <c r="B1030" s="34">
        <v>46274</v>
      </c>
      <c r="C1030" s="5" t="s">
        <v>78</v>
      </c>
      <c r="D1030" s="5" t="s">
        <v>79</v>
      </c>
      <c r="E1030" s="5" t="s">
        <v>80</v>
      </c>
      <c r="F1030" s="5">
        <v>20322</v>
      </c>
      <c r="G1030" s="5" t="s">
        <v>3183</v>
      </c>
      <c r="H1030" s="5" t="s">
        <v>3184</v>
      </c>
      <c r="I1030" s="5" t="s">
        <v>212</v>
      </c>
      <c r="N1030" s="5" t="s">
        <v>3185</v>
      </c>
      <c r="O1030" s="5">
        <v>163.41999999999999</v>
      </c>
      <c r="P1030" s="5">
        <v>163.41999999999999</v>
      </c>
      <c r="Q1030" s="5">
        <v>156.6</v>
      </c>
      <c r="R1030" s="5">
        <v>156.94</v>
      </c>
      <c r="S1030" s="5">
        <v>157.49</v>
      </c>
      <c r="T1030" s="5">
        <v>162.30000000000001</v>
      </c>
      <c r="V1030" s="5">
        <v>156.94</v>
      </c>
      <c r="Y1030" s="5">
        <v>903186</v>
      </c>
      <c r="Z1030" s="5">
        <v>143385634.81</v>
      </c>
      <c r="AA1030" s="5">
        <v>13828</v>
      </c>
      <c r="AB1030" s="5" t="s">
        <v>85</v>
      </c>
      <c r="AC1030" s="5">
        <v>1</v>
      </c>
    </row>
    <row r="1031" spans="1:29" x14ac:dyDescent="0.3">
      <c r="A1031" s="34">
        <v>46274</v>
      </c>
      <c r="B1031" s="34">
        <v>46274</v>
      </c>
      <c r="C1031" s="5" t="s">
        <v>78</v>
      </c>
      <c r="D1031" s="5" t="s">
        <v>79</v>
      </c>
      <c r="E1031" s="5" t="s">
        <v>80</v>
      </c>
      <c r="F1031" s="5">
        <v>762675</v>
      </c>
      <c r="G1031" s="5" t="s">
        <v>3186</v>
      </c>
      <c r="H1031" s="5" t="s">
        <v>3187</v>
      </c>
      <c r="I1031" s="5" t="s">
        <v>212</v>
      </c>
      <c r="N1031" s="5" t="s">
        <v>3188</v>
      </c>
      <c r="O1031" s="5">
        <v>47.75</v>
      </c>
      <c r="P1031" s="5">
        <v>48.9</v>
      </c>
      <c r="Q1031" s="5">
        <v>47.28</v>
      </c>
      <c r="R1031" s="5">
        <v>48.5</v>
      </c>
      <c r="S1031" s="5">
        <v>48.5</v>
      </c>
      <c r="T1031" s="5">
        <v>48</v>
      </c>
      <c r="V1031" s="5">
        <v>48.5</v>
      </c>
      <c r="Y1031" s="5">
        <v>3134810</v>
      </c>
      <c r="Z1031" s="5">
        <v>151702134.69999999</v>
      </c>
      <c r="AA1031" s="5">
        <v>2842</v>
      </c>
      <c r="AB1031" s="5" t="s">
        <v>85</v>
      </c>
      <c r="AC1031" s="5">
        <v>1</v>
      </c>
    </row>
    <row r="1032" spans="1:29" x14ac:dyDescent="0.3">
      <c r="A1032" s="34">
        <v>46274</v>
      </c>
      <c r="B1032" s="34">
        <v>46274</v>
      </c>
      <c r="C1032" s="5" t="s">
        <v>78</v>
      </c>
      <c r="D1032" s="5" t="s">
        <v>79</v>
      </c>
      <c r="E1032" s="5" t="s">
        <v>80</v>
      </c>
      <c r="F1032" s="5">
        <v>1023</v>
      </c>
      <c r="G1032" s="5" t="s">
        <v>3189</v>
      </c>
      <c r="H1032" s="5" t="s">
        <v>3190</v>
      </c>
      <c r="I1032" s="5" t="s">
        <v>212</v>
      </c>
      <c r="N1032" s="5" t="s">
        <v>3191</v>
      </c>
      <c r="O1032" s="5">
        <v>341.5</v>
      </c>
      <c r="P1032" s="5">
        <v>345</v>
      </c>
      <c r="Q1032" s="5">
        <v>341.5</v>
      </c>
      <c r="R1032" s="5">
        <v>345</v>
      </c>
      <c r="S1032" s="5">
        <v>345</v>
      </c>
      <c r="T1032" s="5">
        <v>344.15</v>
      </c>
      <c r="V1032" s="5">
        <v>345</v>
      </c>
      <c r="Y1032" s="5">
        <v>3903520</v>
      </c>
      <c r="Z1032" s="5">
        <v>1342666325.8499999</v>
      </c>
      <c r="AA1032" s="5">
        <v>62116</v>
      </c>
      <c r="AB1032" s="5" t="s">
        <v>85</v>
      </c>
      <c r="AC1032" s="5">
        <v>1</v>
      </c>
    </row>
    <row r="1033" spans="1:29" x14ac:dyDescent="0.3">
      <c r="A1033" s="34">
        <v>46274</v>
      </c>
      <c r="B1033" s="34">
        <v>46274</v>
      </c>
      <c r="C1033" s="5" t="s">
        <v>78</v>
      </c>
      <c r="D1033" s="5" t="s">
        <v>79</v>
      </c>
      <c r="E1033" s="5" t="s">
        <v>80</v>
      </c>
      <c r="F1033" s="5">
        <v>1190</v>
      </c>
      <c r="G1033" s="5" t="s">
        <v>3192</v>
      </c>
      <c r="H1033" s="5" t="s">
        <v>3193</v>
      </c>
      <c r="I1033" s="5" t="s">
        <v>212</v>
      </c>
      <c r="N1033" s="5" t="s">
        <v>3194</v>
      </c>
      <c r="O1033" s="5">
        <v>470.9</v>
      </c>
      <c r="P1033" s="5">
        <v>477.15</v>
      </c>
      <c r="Q1033" s="5">
        <v>451.2</v>
      </c>
      <c r="R1033" s="5">
        <v>455.45</v>
      </c>
      <c r="S1033" s="5">
        <v>460</v>
      </c>
      <c r="T1033" s="5">
        <v>469.25</v>
      </c>
      <c r="V1033" s="5">
        <v>455.32</v>
      </c>
      <c r="Y1033" s="5">
        <v>550860</v>
      </c>
      <c r="Z1033" s="5">
        <v>255393208.05000001</v>
      </c>
      <c r="AA1033" s="5">
        <v>13673</v>
      </c>
      <c r="AB1033" s="5" t="s">
        <v>85</v>
      </c>
      <c r="AC1033" s="5">
        <v>1</v>
      </c>
    </row>
    <row r="1034" spans="1:29" x14ac:dyDescent="0.3">
      <c r="A1034" s="34">
        <v>46274</v>
      </c>
      <c r="B1034" s="34">
        <v>46274</v>
      </c>
      <c r="C1034" s="5" t="s">
        <v>78</v>
      </c>
      <c r="D1034" s="5" t="s">
        <v>79</v>
      </c>
      <c r="E1034" s="5" t="s">
        <v>80</v>
      </c>
      <c r="F1034" s="5">
        <v>573</v>
      </c>
      <c r="G1034" s="5" t="s">
        <v>3195</v>
      </c>
      <c r="H1034" s="5" t="s">
        <v>3196</v>
      </c>
      <c r="I1034" s="5" t="s">
        <v>313</v>
      </c>
      <c r="N1034" s="5" t="s">
        <v>3197</v>
      </c>
      <c r="O1034" s="5">
        <v>217.95</v>
      </c>
      <c r="P1034" s="5">
        <v>224</v>
      </c>
      <c r="Q1034" s="5">
        <v>209</v>
      </c>
      <c r="R1034" s="5">
        <v>222.3</v>
      </c>
      <c r="S1034" s="5">
        <v>215</v>
      </c>
      <c r="T1034" s="5">
        <v>219</v>
      </c>
      <c r="V1034" s="5">
        <v>222.3</v>
      </c>
      <c r="Y1034" s="5">
        <v>175500</v>
      </c>
      <c r="Z1034" s="5">
        <v>38316000</v>
      </c>
      <c r="AA1034" s="5">
        <v>120</v>
      </c>
      <c r="AB1034" s="5" t="s">
        <v>85</v>
      </c>
      <c r="AC1034" s="5">
        <v>500</v>
      </c>
    </row>
    <row r="1035" spans="1:29" x14ac:dyDescent="0.3">
      <c r="A1035" s="34">
        <v>46274</v>
      </c>
      <c r="B1035" s="34">
        <v>46274</v>
      </c>
      <c r="C1035" s="5" t="s">
        <v>78</v>
      </c>
      <c r="D1035" s="5" t="s">
        <v>79</v>
      </c>
      <c r="E1035" s="5" t="s">
        <v>80</v>
      </c>
      <c r="F1035" s="5">
        <v>762680</v>
      </c>
      <c r="G1035" s="5" t="s">
        <v>3198</v>
      </c>
      <c r="H1035" s="5" t="s">
        <v>3199</v>
      </c>
      <c r="I1035" s="5" t="s">
        <v>212</v>
      </c>
      <c r="N1035" s="5" t="s">
        <v>3200</v>
      </c>
      <c r="O1035" s="5">
        <v>476</v>
      </c>
      <c r="P1035" s="5">
        <v>506.9</v>
      </c>
      <c r="Q1035" s="5">
        <v>475.95</v>
      </c>
      <c r="R1035" s="5">
        <v>494.4</v>
      </c>
      <c r="S1035" s="5">
        <v>494</v>
      </c>
      <c r="T1035" s="5">
        <v>480.7</v>
      </c>
      <c r="V1035" s="5">
        <v>494.37</v>
      </c>
      <c r="Y1035" s="5">
        <v>168702</v>
      </c>
      <c r="Z1035" s="5">
        <v>83442553.599999994</v>
      </c>
      <c r="AA1035" s="5">
        <v>12267</v>
      </c>
      <c r="AB1035" s="5" t="s">
        <v>85</v>
      </c>
      <c r="AC1035" s="5">
        <v>1</v>
      </c>
    </row>
    <row r="1036" spans="1:29" x14ac:dyDescent="0.3">
      <c r="A1036" s="34">
        <v>46274</v>
      </c>
      <c r="B1036" s="34">
        <v>46274</v>
      </c>
      <c r="C1036" s="5" t="s">
        <v>78</v>
      </c>
      <c r="D1036" s="5" t="s">
        <v>79</v>
      </c>
      <c r="E1036" s="5" t="s">
        <v>80</v>
      </c>
      <c r="F1036" s="5">
        <v>8159</v>
      </c>
      <c r="G1036" s="5" t="s">
        <v>3201</v>
      </c>
      <c r="H1036" s="5" t="s">
        <v>3202</v>
      </c>
      <c r="I1036" s="5" t="s">
        <v>212</v>
      </c>
      <c r="N1036" s="5" t="s">
        <v>3203</v>
      </c>
      <c r="O1036" s="5">
        <v>26.5</v>
      </c>
      <c r="P1036" s="5">
        <v>26.5</v>
      </c>
      <c r="Q1036" s="5">
        <v>25.61</v>
      </c>
      <c r="R1036" s="5">
        <v>26.11</v>
      </c>
      <c r="S1036" s="5">
        <v>26.24</v>
      </c>
      <c r="T1036" s="5">
        <v>26.03</v>
      </c>
      <c r="V1036" s="5">
        <v>26.11</v>
      </c>
      <c r="Y1036" s="5">
        <v>25253</v>
      </c>
      <c r="Z1036" s="5">
        <v>659685.55000000005</v>
      </c>
      <c r="AA1036" s="5">
        <v>121</v>
      </c>
      <c r="AB1036" s="5" t="s">
        <v>85</v>
      </c>
      <c r="AC1036" s="5">
        <v>1</v>
      </c>
    </row>
    <row r="1037" spans="1:29" x14ac:dyDescent="0.3">
      <c r="A1037" s="34">
        <v>46274</v>
      </c>
      <c r="B1037" s="34">
        <v>46274</v>
      </c>
      <c r="C1037" s="5" t="s">
        <v>78</v>
      </c>
      <c r="D1037" s="5" t="s">
        <v>79</v>
      </c>
      <c r="E1037" s="5" t="s">
        <v>80</v>
      </c>
      <c r="F1037" s="5">
        <v>9858</v>
      </c>
      <c r="G1037" s="5" t="s">
        <v>3204</v>
      </c>
      <c r="H1037" s="5" t="s">
        <v>3205</v>
      </c>
      <c r="I1037" s="5" t="s">
        <v>313</v>
      </c>
      <c r="N1037" s="5" t="s">
        <v>3206</v>
      </c>
      <c r="O1037" s="5">
        <v>135.5</v>
      </c>
      <c r="P1037" s="5">
        <v>149.94999999999999</v>
      </c>
      <c r="Q1037" s="5">
        <v>135.5</v>
      </c>
      <c r="R1037" s="5">
        <v>149.94999999999999</v>
      </c>
      <c r="S1037" s="5">
        <v>149.94999999999999</v>
      </c>
      <c r="T1037" s="5">
        <v>137.5</v>
      </c>
      <c r="V1037" s="5">
        <v>149.94999999999999</v>
      </c>
      <c r="Y1037" s="5">
        <v>9000</v>
      </c>
      <c r="Z1037" s="5">
        <v>1268800</v>
      </c>
      <c r="AA1037" s="5">
        <v>7</v>
      </c>
      <c r="AB1037" s="5" t="s">
        <v>85</v>
      </c>
      <c r="AC1037" s="5">
        <v>1000</v>
      </c>
    </row>
    <row r="1038" spans="1:29" x14ac:dyDescent="0.3">
      <c r="A1038" s="34">
        <v>46274</v>
      </c>
      <c r="B1038" s="34">
        <v>46274</v>
      </c>
      <c r="C1038" s="5" t="s">
        <v>78</v>
      </c>
      <c r="D1038" s="5" t="s">
        <v>79</v>
      </c>
      <c r="E1038" s="5" t="s">
        <v>80</v>
      </c>
      <c r="F1038" s="5">
        <v>13710</v>
      </c>
      <c r="G1038" s="5" t="s">
        <v>3207</v>
      </c>
      <c r="H1038" s="5" t="s">
        <v>3208</v>
      </c>
      <c r="I1038" s="5" t="s">
        <v>212</v>
      </c>
      <c r="N1038" s="5" t="s">
        <v>3209</v>
      </c>
      <c r="O1038" s="5">
        <v>2045</v>
      </c>
      <c r="P1038" s="5">
        <v>2048.6</v>
      </c>
      <c r="Q1038" s="5">
        <v>2009.4</v>
      </c>
      <c r="R1038" s="5">
        <v>2021.6</v>
      </c>
      <c r="S1038" s="5">
        <v>2025</v>
      </c>
      <c r="T1038" s="5">
        <v>2038.2</v>
      </c>
      <c r="V1038" s="5">
        <v>2021.56</v>
      </c>
      <c r="Y1038" s="5">
        <v>52069</v>
      </c>
      <c r="Z1038" s="5">
        <v>105565421.09999999</v>
      </c>
      <c r="AA1038" s="5">
        <v>7492</v>
      </c>
      <c r="AB1038" s="5" t="s">
        <v>85</v>
      </c>
      <c r="AC1038" s="5">
        <v>1</v>
      </c>
    </row>
    <row r="1039" spans="1:29" x14ac:dyDescent="0.3">
      <c r="A1039" s="34">
        <v>46274</v>
      </c>
      <c r="B1039" s="34">
        <v>46274</v>
      </c>
      <c r="C1039" s="5" t="s">
        <v>78</v>
      </c>
      <c r="D1039" s="5" t="s">
        <v>79</v>
      </c>
      <c r="E1039" s="5" t="s">
        <v>80</v>
      </c>
      <c r="F1039" s="5">
        <v>23647</v>
      </c>
      <c r="G1039" s="5" t="s">
        <v>3210</v>
      </c>
      <c r="H1039" s="5" t="s">
        <v>3211</v>
      </c>
      <c r="I1039" s="5" t="s">
        <v>212</v>
      </c>
      <c r="N1039" s="5" t="s">
        <v>3212</v>
      </c>
      <c r="O1039" s="5">
        <v>0.19</v>
      </c>
      <c r="P1039" s="5">
        <v>0.19</v>
      </c>
      <c r="Q1039" s="5">
        <v>0.18</v>
      </c>
      <c r="R1039" s="5">
        <v>0.18</v>
      </c>
      <c r="S1039" s="5">
        <v>0.19</v>
      </c>
      <c r="T1039" s="5">
        <v>0.18</v>
      </c>
      <c r="V1039" s="5">
        <v>0.18</v>
      </c>
      <c r="Y1039" s="5">
        <v>15486525</v>
      </c>
      <c r="Z1039" s="5">
        <v>2855740.99</v>
      </c>
      <c r="AA1039" s="5">
        <v>1439</v>
      </c>
      <c r="AB1039" s="5" t="s">
        <v>85</v>
      </c>
      <c r="AC1039" s="5">
        <v>1</v>
      </c>
    </row>
    <row r="1040" spans="1:29" x14ac:dyDescent="0.3">
      <c r="A1040" s="34">
        <v>46274</v>
      </c>
      <c r="B1040" s="34">
        <v>46274</v>
      </c>
      <c r="C1040" s="5" t="s">
        <v>78</v>
      </c>
      <c r="D1040" s="5" t="s">
        <v>79</v>
      </c>
      <c r="E1040" s="5" t="s">
        <v>80</v>
      </c>
      <c r="F1040" s="5">
        <v>24532</v>
      </c>
      <c r="G1040" s="5" t="s">
        <v>3213</v>
      </c>
      <c r="H1040" s="5" t="s">
        <v>3214</v>
      </c>
      <c r="I1040" s="5" t="s">
        <v>212</v>
      </c>
      <c r="N1040" s="5" t="s">
        <v>3215</v>
      </c>
      <c r="O1040" s="5">
        <v>76.069999999999993</v>
      </c>
      <c r="P1040" s="5">
        <v>76.91</v>
      </c>
      <c r="Q1040" s="5">
        <v>75.06</v>
      </c>
      <c r="R1040" s="5">
        <v>75.55</v>
      </c>
      <c r="S1040" s="5">
        <v>75.45</v>
      </c>
      <c r="T1040" s="5">
        <v>76.44</v>
      </c>
      <c r="V1040" s="5">
        <v>75.55</v>
      </c>
      <c r="Y1040" s="5">
        <v>994318</v>
      </c>
      <c r="Z1040" s="5">
        <v>75374292.840000004</v>
      </c>
      <c r="AA1040" s="5">
        <v>5853</v>
      </c>
      <c r="AB1040" s="5" t="s">
        <v>85</v>
      </c>
      <c r="AC1040" s="5">
        <v>1</v>
      </c>
    </row>
    <row r="1041" spans="1:29" x14ac:dyDescent="0.3">
      <c r="A1041" s="34">
        <v>46274</v>
      </c>
      <c r="B1041" s="34">
        <v>46274</v>
      </c>
      <c r="C1041" s="5" t="s">
        <v>78</v>
      </c>
      <c r="D1041" s="5" t="s">
        <v>79</v>
      </c>
      <c r="E1041" s="5" t="s">
        <v>80</v>
      </c>
      <c r="F1041" s="5">
        <v>759776</v>
      </c>
      <c r="G1041" s="5" t="s">
        <v>3216</v>
      </c>
      <c r="H1041" s="5" t="s">
        <v>3217</v>
      </c>
      <c r="I1041" s="5" t="s">
        <v>313</v>
      </c>
      <c r="N1041" s="5" t="s">
        <v>3218</v>
      </c>
      <c r="O1041" s="5">
        <v>132</v>
      </c>
      <c r="P1041" s="5">
        <v>134.19999999999999</v>
      </c>
      <c r="Q1041" s="5">
        <v>128.6</v>
      </c>
      <c r="R1041" s="5">
        <v>131.1</v>
      </c>
      <c r="S1041" s="5">
        <v>129</v>
      </c>
      <c r="T1041" s="5">
        <v>132.1</v>
      </c>
      <c r="V1041" s="5">
        <v>131.1</v>
      </c>
      <c r="Y1041" s="5">
        <v>36000</v>
      </c>
      <c r="Z1041" s="5">
        <v>4712400</v>
      </c>
      <c r="AA1041" s="5">
        <v>34</v>
      </c>
      <c r="AB1041" s="5" t="s">
        <v>85</v>
      </c>
      <c r="AC1041" s="5">
        <v>1000</v>
      </c>
    </row>
    <row r="1042" spans="1:29" x14ac:dyDescent="0.3">
      <c r="A1042" s="34">
        <v>46274</v>
      </c>
      <c r="B1042" s="34">
        <v>46274</v>
      </c>
      <c r="C1042" s="5" t="s">
        <v>78</v>
      </c>
      <c r="D1042" s="5" t="s">
        <v>79</v>
      </c>
      <c r="E1042" s="5" t="s">
        <v>80</v>
      </c>
      <c r="F1042" s="5">
        <v>3744</v>
      </c>
      <c r="G1042" s="5" t="s">
        <v>3219</v>
      </c>
      <c r="H1042" s="5" t="s">
        <v>3220</v>
      </c>
      <c r="I1042" s="5" t="s">
        <v>212</v>
      </c>
      <c r="N1042" s="5" t="s">
        <v>3221</v>
      </c>
      <c r="O1042" s="5">
        <v>5173</v>
      </c>
      <c r="P1042" s="5">
        <v>5205</v>
      </c>
      <c r="Q1042" s="5">
        <v>5120</v>
      </c>
      <c r="R1042" s="5">
        <v>5148.5</v>
      </c>
      <c r="S1042" s="5">
        <v>5159.5</v>
      </c>
      <c r="T1042" s="5">
        <v>5196</v>
      </c>
      <c r="V1042" s="5">
        <v>5148.4399999999996</v>
      </c>
      <c r="Y1042" s="5">
        <v>15842</v>
      </c>
      <c r="Z1042" s="5">
        <v>81678246</v>
      </c>
      <c r="AA1042" s="5">
        <v>6570</v>
      </c>
      <c r="AB1042" s="5" t="s">
        <v>85</v>
      </c>
      <c r="AC1042" s="5">
        <v>1</v>
      </c>
    </row>
    <row r="1043" spans="1:29" x14ac:dyDescent="0.3">
      <c r="A1043" s="34">
        <v>46274</v>
      </c>
      <c r="B1043" s="34">
        <v>46274</v>
      </c>
      <c r="C1043" s="5" t="s">
        <v>78</v>
      </c>
      <c r="D1043" s="5" t="s">
        <v>79</v>
      </c>
      <c r="E1043" s="5" t="s">
        <v>80</v>
      </c>
      <c r="F1043" s="5">
        <v>6198</v>
      </c>
      <c r="G1043" s="5" t="s">
        <v>3222</v>
      </c>
      <c r="H1043" s="5" t="s">
        <v>3223</v>
      </c>
      <c r="I1043" s="5" t="s">
        <v>212</v>
      </c>
      <c r="N1043" s="5" t="s">
        <v>3224</v>
      </c>
      <c r="O1043" s="5">
        <v>58.2</v>
      </c>
      <c r="P1043" s="5">
        <v>62.4</v>
      </c>
      <c r="Q1043" s="5">
        <v>57.66</v>
      </c>
      <c r="R1043" s="5">
        <v>58.43</v>
      </c>
      <c r="S1043" s="5">
        <v>58.2</v>
      </c>
      <c r="T1043" s="5">
        <v>58.44</v>
      </c>
      <c r="V1043" s="5">
        <v>58.43</v>
      </c>
      <c r="Y1043" s="5">
        <v>71051557</v>
      </c>
      <c r="Z1043" s="5">
        <v>4265215593.7399998</v>
      </c>
      <c r="AA1043" s="5">
        <v>172343</v>
      </c>
      <c r="AB1043" s="5" t="s">
        <v>85</v>
      </c>
      <c r="AC1043" s="5">
        <v>1</v>
      </c>
    </row>
    <row r="1044" spans="1:29" x14ac:dyDescent="0.3">
      <c r="A1044" s="34">
        <v>46274</v>
      </c>
      <c r="B1044" s="34">
        <v>46274</v>
      </c>
      <c r="C1044" s="5" t="s">
        <v>78</v>
      </c>
      <c r="D1044" s="5" t="s">
        <v>79</v>
      </c>
      <c r="E1044" s="5" t="s">
        <v>80</v>
      </c>
      <c r="F1044" s="5">
        <v>759239</v>
      </c>
      <c r="G1044" s="5" t="s">
        <v>3225</v>
      </c>
      <c r="H1044" s="5" t="s">
        <v>3226</v>
      </c>
      <c r="I1044" s="5" t="s">
        <v>212</v>
      </c>
      <c r="N1044" s="5" t="s">
        <v>3227</v>
      </c>
      <c r="O1044" s="5">
        <v>69.42</v>
      </c>
      <c r="P1044" s="5">
        <v>70.98</v>
      </c>
      <c r="Q1044" s="5">
        <v>64.62</v>
      </c>
      <c r="R1044" s="5">
        <v>67.569999999999993</v>
      </c>
      <c r="S1044" s="5">
        <v>68.45</v>
      </c>
      <c r="T1044" s="5">
        <v>69.09</v>
      </c>
      <c r="V1044" s="5">
        <v>67.569999999999993</v>
      </c>
      <c r="Y1044" s="5">
        <v>111424</v>
      </c>
      <c r="Z1044" s="5">
        <v>7392383.9299999997</v>
      </c>
      <c r="AA1044" s="5">
        <v>1577</v>
      </c>
      <c r="AB1044" s="5" t="s">
        <v>85</v>
      </c>
      <c r="AC1044" s="5">
        <v>1</v>
      </c>
    </row>
    <row r="1045" spans="1:29" x14ac:dyDescent="0.3">
      <c r="A1045" s="34">
        <v>46274</v>
      </c>
      <c r="B1045" s="34">
        <v>46274</v>
      </c>
      <c r="C1045" s="5" t="s">
        <v>78</v>
      </c>
      <c r="D1045" s="5" t="s">
        <v>79</v>
      </c>
      <c r="E1045" s="5" t="s">
        <v>80</v>
      </c>
      <c r="F1045" s="5">
        <v>6579</v>
      </c>
      <c r="G1045" s="5" t="s">
        <v>3228</v>
      </c>
      <c r="H1045" s="5" t="s">
        <v>3229</v>
      </c>
      <c r="I1045" s="5" t="s">
        <v>212</v>
      </c>
      <c r="N1045" s="5" t="s">
        <v>3230</v>
      </c>
      <c r="O1045" s="5">
        <v>138.57</v>
      </c>
      <c r="P1045" s="5">
        <v>140</v>
      </c>
      <c r="Q1045" s="5">
        <v>137.1</v>
      </c>
      <c r="R1045" s="5">
        <v>137.63999999999999</v>
      </c>
      <c r="S1045" s="5">
        <v>137.1</v>
      </c>
      <c r="T1045" s="5">
        <v>139.97</v>
      </c>
      <c r="V1045" s="5">
        <v>137.65</v>
      </c>
      <c r="Y1045" s="5">
        <v>105045</v>
      </c>
      <c r="Z1045" s="5">
        <v>14536859.439999999</v>
      </c>
      <c r="AA1045" s="5">
        <v>1652</v>
      </c>
      <c r="AB1045" s="5" t="s">
        <v>85</v>
      </c>
      <c r="AC1045" s="5">
        <v>1</v>
      </c>
    </row>
    <row r="1046" spans="1:29" x14ac:dyDescent="0.3">
      <c r="A1046" s="34">
        <v>46274</v>
      </c>
      <c r="B1046" s="34">
        <v>46274</v>
      </c>
      <c r="C1046" s="5" t="s">
        <v>78</v>
      </c>
      <c r="D1046" s="5" t="s">
        <v>79</v>
      </c>
      <c r="E1046" s="5" t="s">
        <v>80</v>
      </c>
      <c r="F1046" s="5">
        <v>1038</v>
      </c>
      <c r="G1046" s="5" t="s">
        <v>3231</v>
      </c>
      <c r="H1046" s="5" t="s">
        <v>3232</v>
      </c>
      <c r="I1046" s="5" t="s">
        <v>212</v>
      </c>
      <c r="N1046" s="5" t="s">
        <v>3233</v>
      </c>
      <c r="O1046" s="5">
        <v>1320</v>
      </c>
      <c r="P1046" s="5">
        <v>1376</v>
      </c>
      <c r="Q1046" s="5">
        <v>1295.4000000000001</v>
      </c>
      <c r="R1046" s="5">
        <v>1353.4</v>
      </c>
      <c r="S1046" s="5">
        <v>1346</v>
      </c>
      <c r="T1046" s="5">
        <v>1302.3</v>
      </c>
      <c r="V1046" s="5">
        <v>1353.36</v>
      </c>
      <c r="Y1046" s="5">
        <v>2871412</v>
      </c>
      <c r="Z1046" s="5">
        <v>3883867711.5999999</v>
      </c>
      <c r="AA1046" s="5">
        <v>104378</v>
      </c>
      <c r="AB1046" s="5" t="s">
        <v>85</v>
      </c>
      <c r="AC1046" s="5">
        <v>1</v>
      </c>
    </row>
    <row r="1047" spans="1:29" x14ac:dyDescent="0.3">
      <c r="A1047" s="34">
        <v>46274</v>
      </c>
      <c r="B1047" s="34">
        <v>46274</v>
      </c>
      <c r="C1047" s="5" t="s">
        <v>78</v>
      </c>
      <c r="D1047" s="5" t="s">
        <v>79</v>
      </c>
      <c r="E1047" s="5" t="s">
        <v>80</v>
      </c>
      <c r="F1047" s="5">
        <v>1041</v>
      </c>
      <c r="G1047" s="5" t="s">
        <v>3234</v>
      </c>
      <c r="H1047" s="5" t="s">
        <v>3235</v>
      </c>
      <c r="I1047" s="5" t="s">
        <v>212</v>
      </c>
      <c r="N1047" s="5" t="s">
        <v>3236</v>
      </c>
      <c r="O1047" s="5">
        <v>157.86000000000001</v>
      </c>
      <c r="P1047" s="5">
        <v>158.49</v>
      </c>
      <c r="Q1047" s="5">
        <v>156.30000000000001</v>
      </c>
      <c r="R1047" s="5">
        <v>156.71</v>
      </c>
      <c r="S1047" s="5">
        <v>156.41999999999999</v>
      </c>
      <c r="T1047" s="5">
        <v>157.86000000000001</v>
      </c>
      <c r="V1047" s="5">
        <v>156.71</v>
      </c>
      <c r="Y1047" s="5">
        <v>277310</v>
      </c>
      <c r="Z1047" s="5">
        <v>43547009.619999997</v>
      </c>
      <c r="AA1047" s="5">
        <v>9369</v>
      </c>
      <c r="AB1047" s="5" t="s">
        <v>85</v>
      </c>
      <c r="AC1047" s="5">
        <v>1</v>
      </c>
    </row>
    <row r="1048" spans="1:29" x14ac:dyDescent="0.3">
      <c r="A1048" s="34">
        <v>46274</v>
      </c>
      <c r="B1048" s="34">
        <v>46274</v>
      </c>
      <c r="C1048" s="5" t="s">
        <v>78</v>
      </c>
      <c r="D1048" s="5" t="s">
        <v>79</v>
      </c>
      <c r="E1048" s="5" t="s">
        <v>80</v>
      </c>
      <c r="F1048" s="5">
        <v>14304</v>
      </c>
      <c r="G1048" s="5" t="s">
        <v>3237</v>
      </c>
      <c r="H1048" s="5" t="s">
        <v>3238</v>
      </c>
      <c r="I1048" s="5" t="s">
        <v>212</v>
      </c>
      <c r="N1048" s="5" t="s">
        <v>3239</v>
      </c>
      <c r="O1048" s="5">
        <v>258</v>
      </c>
      <c r="P1048" s="5">
        <v>258</v>
      </c>
      <c r="Q1048" s="5">
        <v>254.15</v>
      </c>
      <c r="R1048" s="5">
        <v>254.75</v>
      </c>
      <c r="S1048" s="5">
        <v>254.9</v>
      </c>
      <c r="T1048" s="5">
        <v>257.8</v>
      </c>
      <c r="V1048" s="5">
        <v>254.76</v>
      </c>
      <c r="Y1048" s="5">
        <v>318352</v>
      </c>
      <c r="Z1048" s="5">
        <v>81400062.599999994</v>
      </c>
      <c r="AA1048" s="5">
        <v>9257</v>
      </c>
      <c r="AB1048" s="5" t="s">
        <v>85</v>
      </c>
      <c r="AC1048" s="5">
        <v>1</v>
      </c>
    </row>
    <row r="1049" spans="1:29" x14ac:dyDescent="0.3">
      <c r="A1049" s="34">
        <v>46274</v>
      </c>
      <c r="B1049" s="34">
        <v>46274</v>
      </c>
      <c r="C1049" s="5" t="s">
        <v>78</v>
      </c>
      <c r="D1049" s="5" t="s">
        <v>79</v>
      </c>
      <c r="E1049" s="5" t="s">
        <v>80</v>
      </c>
      <c r="F1049" s="5">
        <v>757658</v>
      </c>
      <c r="G1049" s="5" t="s">
        <v>3240</v>
      </c>
      <c r="H1049" s="5" t="s">
        <v>3241</v>
      </c>
      <c r="I1049" s="5" t="s">
        <v>212</v>
      </c>
      <c r="N1049" s="5" t="s">
        <v>3242</v>
      </c>
      <c r="O1049" s="5">
        <v>36</v>
      </c>
      <c r="P1049" s="5">
        <v>36.01</v>
      </c>
      <c r="Q1049" s="5">
        <v>34.5</v>
      </c>
      <c r="R1049" s="5">
        <v>34.78</v>
      </c>
      <c r="S1049" s="5">
        <v>34.51</v>
      </c>
      <c r="T1049" s="5">
        <v>35.56</v>
      </c>
      <c r="V1049" s="5">
        <v>34.79</v>
      </c>
      <c r="Y1049" s="5">
        <v>669109</v>
      </c>
      <c r="Z1049" s="5">
        <v>23386703.780000001</v>
      </c>
      <c r="AA1049" s="5">
        <v>1847</v>
      </c>
      <c r="AB1049" s="5" t="s">
        <v>85</v>
      </c>
      <c r="AC1049" s="5">
        <v>1</v>
      </c>
    </row>
    <row r="1050" spans="1:29" x14ac:dyDescent="0.3">
      <c r="A1050" s="34">
        <v>46274</v>
      </c>
      <c r="B1050" s="34">
        <v>46274</v>
      </c>
      <c r="C1050" s="5" t="s">
        <v>78</v>
      </c>
      <c r="D1050" s="5" t="s">
        <v>79</v>
      </c>
      <c r="E1050" s="5" t="s">
        <v>80</v>
      </c>
      <c r="F1050" s="5">
        <v>12032</v>
      </c>
      <c r="G1050" s="5" t="s">
        <v>3243</v>
      </c>
      <c r="H1050" s="5" t="s">
        <v>3244</v>
      </c>
      <c r="I1050" s="5" t="s">
        <v>212</v>
      </c>
      <c r="N1050" s="5" t="s">
        <v>3245</v>
      </c>
      <c r="O1050" s="5">
        <v>522.15</v>
      </c>
      <c r="P1050" s="5">
        <v>535</v>
      </c>
      <c r="Q1050" s="5">
        <v>518.95000000000005</v>
      </c>
      <c r="R1050" s="5">
        <v>533.04999999999995</v>
      </c>
      <c r="S1050" s="5">
        <v>532</v>
      </c>
      <c r="T1050" s="5">
        <v>524.15</v>
      </c>
      <c r="V1050" s="5">
        <v>533.04999999999995</v>
      </c>
      <c r="Y1050" s="5">
        <v>410018</v>
      </c>
      <c r="Z1050" s="5">
        <v>216970776.15000001</v>
      </c>
      <c r="AA1050" s="5">
        <v>22575</v>
      </c>
      <c r="AB1050" s="5" t="s">
        <v>85</v>
      </c>
      <c r="AC1050" s="5">
        <v>1</v>
      </c>
    </row>
    <row r="1051" spans="1:29" x14ac:dyDescent="0.3">
      <c r="A1051" s="34">
        <v>46274</v>
      </c>
      <c r="B1051" s="34">
        <v>46274</v>
      </c>
      <c r="C1051" s="5" t="s">
        <v>78</v>
      </c>
      <c r="D1051" s="5" t="s">
        <v>79</v>
      </c>
      <c r="E1051" s="5" t="s">
        <v>80</v>
      </c>
      <c r="F1051" s="5">
        <v>20372</v>
      </c>
      <c r="G1051" s="5" t="s">
        <v>3246</v>
      </c>
      <c r="H1051" s="5" t="s">
        <v>3247</v>
      </c>
      <c r="I1051" s="5" t="s">
        <v>212</v>
      </c>
      <c r="N1051" s="5" t="s">
        <v>3248</v>
      </c>
      <c r="O1051" s="5">
        <v>235.05</v>
      </c>
      <c r="P1051" s="5">
        <v>245.95</v>
      </c>
      <c r="Q1051" s="5">
        <v>235</v>
      </c>
      <c r="R1051" s="5">
        <v>238.56</v>
      </c>
      <c r="S1051" s="5">
        <v>238</v>
      </c>
      <c r="T1051" s="5">
        <v>236.96</v>
      </c>
      <c r="V1051" s="5">
        <v>238.55</v>
      </c>
      <c r="Y1051" s="5">
        <v>87625</v>
      </c>
      <c r="Z1051" s="5">
        <v>21059060.18</v>
      </c>
      <c r="AA1051" s="5">
        <v>2772</v>
      </c>
      <c r="AB1051" s="5" t="s">
        <v>85</v>
      </c>
      <c r="AC1051" s="5">
        <v>1</v>
      </c>
    </row>
    <row r="1052" spans="1:29" x14ac:dyDescent="0.3">
      <c r="A1052" s="34">
        <v>46274</v>
      </c>
      <c r="B1052" s="34">
        <v>46274</v>
      </c>
      <c r="C1052" s="5" t="s">
        <v>78</v>
      </c>
      <c r="D1052" s="5" t="s">
        <v>79</v>
      </c>
      <c r="E1052" s="5" t="s">
        <v>80</v>
      </c>
      <c r="F1052" s="5">
        <v>25516</v>
      </c>
      <c r="G1052" s="5" t="s">
        <v>3249</v>
      </c>
      <c r="H1052" s="5" t="s">
        <v>3250</v>
      </c>
      <c r="I1052" s="5" t="s">
        <v>234</v>
      </c>
      <c r="N1052" s="5" t="s">
        <v>3251</v>
      </c>
      <c r="O1052" s="5">
        <v>2.08</v>
      </c>
      <c r="P1052" s="5">
        <v>2.16</v>
      </c>
      <c r="Q1052" s="5">
        <v>2</v>
      </c>
      <c r="R1052" s="5">
        <v>2.08</v>
      </c>
      <c r="S1052" s="5">
        <v>2.09</v>
      </c>
      <c r="T1052" s="5">
        <v>2.08</v>
      </c>
      <c r="V1052" s="5">
        <v>2.08</v>
      </c>
      <c r="Y1052" s="5">
        <v>138434</v>
      </c>
      <c r="Z1052" s="5">
        <v>283154.43</v>
      </c>
      <c r="AA1052" s="5">
        <v>155</v>
      </c>
      <c r="AB1052" s="5" t="s">
        <v>85</v>
      </c>
      <c r="AC1052" s="5">
        <v>1</v>
      </c>
    </row>
    <row r="1053" spans="1:29" x14ac:dyDescent="0.3">
      <c r="A1053" s="34">
        <v>46274</v>
      </c>
      <c r="B1053" s="34">
        <v>46274</v>
      </c>
      <c r="C1053" s="5" t="s">
        <v>78</v>
      </c>
      <c r="D1053" s="5" t="s">
        <v>79</v>
      </c>
      <c r="E1053" s="5" t="s">
        <v>80</v>
      </c>
      <c r="F1053" s="5">
        <v>758208</v>
      </c>
      <c r="G1053" s="5" t="s">
        <v>3252</v>
      </c>
      <c r="H1053" s="5" t="s">
        <v>3253</v>
      </c>
      <c r="I1053" s="5" t="s">
        <v>313</v>
      </c>
      <c r="N1053" s="5" t="s">
        <v>3254</v>
      </c>
      <c r="O1053" s="5">
        <v>678</v>
      </c>
      <c r="P1053" s="5">
        <v>690</v>
      </c>
      <c r="Q1053" s="5">
        <v>652</v>
      </c>
      <c r="R1053" s="5">
        <v>681.25</v>
      </c>
      <c r="S1053" s="5">
        <v>684.3</v>
      </c>
      <c r="T1053" s="5">
        <v>676.95</v>
      </c>
      <c r="V1053" s="5">
        <v>681.25</v>
      </c>
      <c r="Y1053" s="5">
        <v>125400</v>
      </c>
      <c r="Z1053" s="5">
        <v>84582150</v>
      </c>
      <c r="AA1053" s="5">
        <v>310</v>
      </c>
      <c r="AB1053" s="5" t="s">
        <v>85</v>
      </c>
      <c r="AC1053" s="5">
        <v>200</v>
      </c>
    </row>
    <row r="1054" spans="1:29" x14ac:dyDescent="0.3">
      <c r="A1054" s="34">
        <v>46274</v>
      </c>
      <c r="B1054" s="34">
        <v>46274</v>
      </c>
      <c r="C1054" s="5" t="s">
        <v>78</v>
      </c>
      <c r="D1054" s="5" t="s">
        <v>79</v>
      </c>
      <c r="E1054" s="5" t="s">
        <v>80</v>
      </c>
      <c r="F1054" s="5">
        <v>7385</v>
      </c>
      <c r="G1054" s="5" t="s">
        <v>3255</v>
      </c>
      <c r="H1054" s="5" t="s">
        <v>3256</v>
      </c>
      <c r="I1054" s="5" t="s">
        <v>313</v>
      </c>
      <c r="N1054" s="5" t="s">
        <v>3257</v>
      </c>
      <c r="O1054" s="5">
        <v>500</v>
      </c>
      <c r="P1054" s="5">
        <v>500</v>
      </c>
      <c r="Q1054" s="5">
        <v>500</v>
      </c>
      <c r="R1054" s="5">
        <v>500</v>
      </c>
      <c r="S1054" s="5">
        <v>500</v>
      </c>
      <c r="T1054" s="5">
        <v>487</v>
      </c>
      <c r="V1054" s="5">
        <v>500</v>
      </c>
      <c r="Y1054" s="5">
        <v>240</v>
      </c>
      <c r="Z1054" s="5">
        <v>120000</v>
      </c>
      <c r="AA1054" s="5">
        <v>1</v>
      </c>
      <c r="AB1054" s="5" t="s">
        <v>85</v>
      </c>
      <c r="AC1054" s="5">
        <v>240</v>
      </c>
    </row>
    <row r="1055" spans="1:29" x14ac:dyDescent="0.3">
      <c r="A1055" s="34">
        <v>46274</v>
      </c>
      <c r="B1055" s="34">
        <v>46274</v>
      </c>
      <c r="C1055" s="5" t="s">
        <v>78</v>
      </c>
      <c r="D1055" s="5" t="s">
        <v>79</v>
      </c>
      <c r="E1055" s="5" t="s">
        <v>80</v>
      </c>
      <c r="F1055" s="5">
        <v>6839</v>
      </c>
      <c r="G1055" s="5" t="s">
        <v>3258</v>
      </c>
      <c r="H1055" s="5" t="s">
        <v>3259</v>
      </c>
      <c r="I1055" s="5" t="s">
        <v>234</v>
      </c>
      <c r="N1055" s="5" t="s">
        <v>3260</v>
      </c>
      <c r="O1055" s="5">
        <v>60.62</v>
      </c>
      <c r="P1055" s="5">
        <v>62</v>
      </c>
      <c r="Q1055" s="5">
        <v>59.64</v>
      </c>
      <c r="R1055" s="5">
        <v>60.92</v>
      </c>
      <c r="S1055" s="5">
        <v>60.95</v>
      </c>
      <c r="T1055" s="5">
        <v>61.59</v>
      </c>
      <c r="V1055" s="5">
        <v>60.92</v>
      </c>
      <c r="Y1055" s="5">
        <v>62335</v>
      </c>
      <c r="Z1055" s="5">
        <v>3771990.54</v>
      </c>
      <c r="AA1055" s="5">
        <v>457</v>
      </c>
      <c r="AB1055" s="5" t="s">
        <v>85</v>
      </c>
      <c r="AC1055" s="5">
        <v>1</v>
      </c>
    </row>
    <row r="1056" spans="1:29" x14ac:dyDescent="0.3">
      <c r="A1056" s="34">
        <v>46274</v>
      </c>
      <c r="B1056" s="34">
        <v>46274</v>
      </c>
      <c r="C1056" s="5" t="s">
        <v>78</v>
      </c>
      <c r="D1056" s="5" t="s">
        <v>79</v>
      </c>
      <c r="E1056" s="5" t="s">
        <v>80</v>
      </c>
      <c r="F1056" s="5">
        <v>22517</v>
      </c>
      <c r="G1056" s="5" t="s">
        <v>3261</v>
      </c>
      <c r="H1056" s="5" t="s">
        <v>3262</v>
      </c>
      <c r="I1056" s="5" t="s">
        <v>313</v>
      </c>
      <c r="N1056" s="5" t="s">
        <v>3263</v>
      </c>
      <c r="O1056" s="5">
        <v>113.4</v>
      </c>
      <c r="P1056" s="5">
        <v>113.4</v>
      </c>
      <c r="Q1056" s="5">
        <v>113</v>
      </c>
      <c r="R1056" s="5">
        <v>113.4</v>
      </c>
      <c r="S1056" s="5">
        <v>113.4</v>
      </c>
      <c r="T1056" s="5">
        <v>108</v>
      </c>
      <c r="V1056" s="5">
        <v>113.4</v>
      </c>
      <c r="Y1056" s="5">
        <v>20000</v>
      </c>
      <c r="Z1056" s="5">
        <v>2267100</v>
      </c>
      <c r="AA1056" s="5">
        <v>16</v>
      </c>
      <c r="AB1056" s="5" t="s">
        <v>85</v>
      </c>
      <c r="AC1056" s="5">
        <v>1000</v>
      </c>
    </row>
    <row r="1057" spans="1:29" x14ac:dyDescent="0.3">
      <c r="A1057" s="34">
        <v>46274</v>
      </c>
      <c r="B1057" s="34">
        <v>46274</v>
      </c>
      <c r="C1057" s="5" t="s">
        <v>78</v>
      </c>
      <c r="D1057" s="5" t="s">
        <v>79</v>
      </c>
      <c r="E1057" s="5" t="s">
        <v>80</v>
      </c>
      <c r="F1057" s="5">
        <v>6673</v>
      </c>
      <c r="G1057" s="5" t="s">
        <v>3264</v>
      </c>
      <c r="H1057" s="5" t="s">
        <v>3265</v>
      </c>
      <c r="I1057" s="5" t="s">
        <v>212</v>
      </c>
      <c r="N1057" s="5" t="s">
        <v>3266</v>
      </c>
      <c r="O1057" s="5">
        <v>55</v>
      </c>
      <c r="P1057" s="5">
        <v>58.5</v>
      </c>
      <c r="Q1057" s="5">
        <v>54.61</v>
      </c>
      <c r="R1057" s="5">
        <v>57.98</v>
      </c>
      <c r="S1057" s="5">
        <v>58.32</v>
      </c>
      <c r="T1057" s="5">
        <v>56.08</v>
      </c>
      <c r="V1057" s="5">
        <v>57.98</v>
      </c>
      <c r="Y1057" s="5">
        <v>95582</v>
      </c>
      <c r="Z1057" s="5">
        <v>5503590.46</v>
      </c>
      <c r="AA1057" s="5">
        <v>1636</v>
      </c>
      <c r="AB1057" s="5" t="s">
        <v>85</v>
      </c>
      <c r="AC1057" s="5">
        <v>1</v>
      </c>
    </row>
    <row r="1058" spans="1:29" x14ac:dyDescent="0.3">
      <c r="A1058" s="34">
        <v>46274</v>
      </c>
      <c r="B1058" s="34">
        <v>46274</v>
      </c>
      <c r="C1058" s="5" t="s">
        <v>78</v>
      </c>
      <c r="D1058" s="5" t="s">
        <v>79</v>
      </c>
      <c r="E1058" s="5" t="s">
        <v>80</v>
      </c>
      <c r="F1058" s="5">
        <v>24917</v>
      </c>
      <c r="G1058" s="5" t="s">
        <v>3267</v>
      </c>
      <c r="H1058" s="5" t="s">
        <v>3268</v>
      </c>
      <c r="I1058" s="5" t="s">
        <v>392</v>
      </c>
      <c r="N1058" s="5" t="s">
        <v>3269</v>
      </c>
      <c r="O1058" s="5">
        <v>239.95</v>
      </c>
      <c r="P1058" s="5">
        <v>239.95</v>
      </c>
      <c r="Q1058" s="5">
        <v>236</v>
      </c>
      <c r="R1058" s="5">
        <v>236</v>
      </c>
      <c r="S1058" s="5">
        <v>236</v>
      </c>
      <c r="T1058" s="5">
        <v>235.9</v>
      </c>
      <c r="V1058" s="5">
        <v>236</v>
      </c>
      <c r="Y1058" s="5">
        <v>4800</v>
      </c>
      <c r="Z1058" s="5">
        <v>1145440</v>
      </c>
      <c r="AA1058" s="5">
        <v>3</v>
      </c>
      <c r="AB1058" s="5" t="s">
        <v>85</v>
      </c>
      <c r="AC1058" s="5">
        <v>1600</v>
      </c>
    </row>
    <row r="1059" spans="1:29" x14ac:dyDescent="0.3">
      <c r="A1059" s="34">
        <v>46274</v>
      </c>
      <c r="B1059" s="34">
        <v>46274</v>
      </c>
      <c r="C1059" s="5" t="s">
        <v>78</v>
      </c>
      <c r="D1059" s="5" t="s">
        <v>79</v>
      </c>
      <c r="E1059" s="5" t="s">
        <v>80</v>
      </c>
      <c r="F1059" s="5">
        <v>11573</v>
      </c>
      <c r="G1059" s="5" t="s">
        <v>3270</v>
      </c>
      <c r="H1059" s="5" t="s">
        <v>3271</v>
      </c>
      <c r="I1059" s="5" t="s">
        <v>212</v>
      </c>
      <c r="N1059" s="5" t="s">
        <v>3272</v>
      </c>
      <c r="O1059" s="5">
        <v>17588</v>
      </c>
      <c r="P1059" s="5">
        <v>17645</v>
      </c>
      <c r="Q1059" s="5">
        <v>17340</v>
      </c>
      <c r="R1059" s="5">
        <v>17355</v>
      </c>
      <c r="S1059" s="5">
        <v>17355</v>
      </c>
      <c r="T1059" s="5">
        <v>17625</v>
      </c>
      <c r="V1059" s="5">
        <v>17357.650000000001</v>
      </c>
      <c r="Y1059" s="5">
        <v>36797</v>
      </c>
      <c r="Z1059" s="5">
        <v>641694358</v>
      </c>
      <c r="AA1059" s="5">
        <v>10981</v>
      </c>
      <c r="AB1059" s="5" t="s">
        <v>85</v>
      </c>
      <c r="AC1059" s="5">
        <v>1</v>
      </c>
    </row>
    <row r="1060" spans="1:29" x14ac:dyDescent="0.3">
      <c r="A1060" s="34">
        <v>46274</v>
      </c>
      <c r="B1060" s="34">
        <v>46274</v>
      </c>
      <c r="C1060" s="5" t="s">
        <v>78</v>
      </c>
      <c r="D1060" s="5" t="s">
        <v>79</v>
      </c>
      <c r="E1060" s="5" t="s">
        <v>80</v>
      </c>
      <c r="F1060" s="5">
        <v>25664</v>
      </c>
      <c r="G1060" s="5" t="s">
        <v>3273</v>
      </c>
      <c r="H1060" s="5" t="s">
        <v>3274</v>
      </c>
      <c r="I1060" s="5" t="s">
        <v>313</v>
      </c>
      <c r="N1060" s="5" t="s">
        <v>3275</v>
      </c>
      <c r="O1060" s="5">
        <v>104.45</v>
      </c>
      <c r="P1060" s="5">
        <v>104.45</v>
      </c>
      <c r="Q1060" s="5">
        <v>103</v>
      </c>
      <c r="R1060" s="5">
        <v>103.5</v>
      </c>
      <c r="S1060" s="5">
        <v>103.5</v>
      </c>
      <c r="T1060" s="5">
        <v>100</v>
      </c>
      <c r="V1060" s="5">
        <v>103.5</v>
      </c>
      <c r="Y1060" s="5">
        <v>8400</v>
      </c>
      <c r="Z1060" s="5">
        <v>873120</v>
      </c>
      <c r="AA1060" s="5">
        <v>7</v>
      </c>
      <c r="AB1060" s="5" t="s">
        <v>85</v>
      </c>
      <c r="AC1060" s="5">
        <v>1200</v>
      </c>
    </row>
    <row r="1061" spans="1:29" x14ac:dyDescent="0.3">
      <c r="A1061" s="34">
        <v>46274</v>
      </c>
      <c r="B1061" s="34">
        <v>46274</v>
      </c>
      <c r="C1061" s="5" t="s">
        <v>78</v>
      </c>
      <c r="D1061" s="5" t="s">
        <v>79</v>
      </c>
      <c r="E1061" s="5" t="s">
        <v>80</v>
      </c>
      <c r="F1061" s="5">
        <v>14592</v>
      </c>
      <c r="G1061" s="5" t="s">
        <v>3276</v>
      </c>
      <c r="H1061" s="5" t="s">
        <v>3277</v>
      </c>
      <c r="I1061" s="5" t="s">
        <v>212</v>
      </c>
      <c r="N1061" s="5" t="s">
        <v>3278</v>
      </c>
      <c r="O1061" s="5">
        <v>906.9</v>
      </c>
      <c r="P1061" s="5">
        <v>918.4</v>
      </c>
      <c r="Q1061" s="5">
        <v>903.65</v>
      </c>
      <c r="R1061" s="5">
        <v>915</v>
      </c>
      <c r="S1061" s="5">
        <v>915</v>
      </c>
      <c r="T1061" s="5">
        <v>908</v>
      </c>
      <c r="V1061" s="5">
        <v>914.98</v>
      </c>
      <c r="Y1061" s="5">
        <v>670656</v>
      </c>
      <c r="Z1061" s="5">
        <v>611012787.5</v>
      </c>
      <c r="AA1061" s="5">
        <v>31814</v>
      </c>
      <c r="AB1061" s="5" t="s">
        <v>85</v>
      </c>
      <c r="AC1061" s="5">
        <v>1</v>
      </c>
    </row>
    <row r="1062" spans="1:29" x14ac:dyDescent="0.3">
      <c r="A1062" s="34">
        <v>46274</v>
      </c>
      <c r="B1062" s="34">
        <v>46274</v>
      </c>
      <c r="C1062" s="5" t="s">
        <v>78</v>
      </c>
      <c r="D1062" s="5" t="s">
        <v>79</v>
      </c>
      <c r="E1062" s="5" t="s">
        <v>80</v>
      </c>
      <c r="F1062" s="5">
        <v>1073</v>
      </c>
      <c r="G1062" s="5" t="s">
        <v>3279</v>
      </c>
      <c r="H1062" s="5" t="s">
        <v>3280</v>
      </c>
      <c r="I1062" s="5" t="s">
        <v>212</v>
      </c>
      <c r="N1062" s="5" t="s">
        <v>3281</v>
      </c>
      <c r="O1062" s="5">
        <v>6100</v>
      </c>
      <c r="P1062" s="5">
        <v>6166.5</v>
      </c>
      <c r="Q1062" s="5">
        <v>6030</v>
      </c>
      <c r="R1062" s="5">
        <v>6080</v>
      </c>
      <c r="S1062" s="5">
        <v>6072</v>
      </c>
      <c r="T1062" s="5">
        <v>6095.5</v>
      </c>
      <c r="V1062" s="5">
        <v>6079.46</v>
      </c>
      <c r="Y1062" s="5">
        <v>5173</v>
      </c>
      <c r="Z1062" s="5">
        <v>31456701.5</v>
      </c>
      <c r="AA1062" s="5">
        <v>1767</v>
      </c>
      <c r="AB1062" s="5" t="s">
        <v>85</v>
      </c>
      <c r="AC1062" s="5">
        <v>1</v>
      </c>
    </row>
    <row r="1063" spans="1:29" x14ac:dyDescent="0.3">
      <c r="A1063" s="34">
        <v>46274</v>
      </c>
      <c r="B1063" s="34">
        <v>46274</v>
      </c>
      <c r="C1063" s="5" t="s">
        <v>78</v>
      </c>
      <c r="D1063" s="5" t="s">
        <v>79</v>
      </c>
      <c r="E1063" s="5" t="s">
        <v>80</v>
      </c>
      <c r="F1063" s="5">
        <v>760961</v>
      </c>
      <c r="G1063" s="5" t="s">
        <v>3282</v>
      </c>
      <c r="H1063" s="5" t="s">
        <v>3283</v>
      </c>
      <c r="I1063" s="5" t="s">
        <v>212</v>
      </c>
      <c r="N1063" s="5" t="s">
        <v>3284</v>
      </c>
      <c r="O1063" s="5">
        <v>791.85</v>
      </c>
      <c r="P1063" s="5">
        <v>797</v>
      </c>
      <c r="Q1063" s="5">
        <v>774.1</v>
      </c>
      <c r="R1063" s="5">
        <v>777.65</v>
      </c>
      <c r="S1063" s="5">
        <v>777</v>
      </c>
      <c r="T1063" s="5">
        <v>794.75</v>
      </c>
      <c r="V1063" s="5">
        <v>777.74</v>
      </c>
      <c r="Y1063" s="5">
        <v>391503</v>
      </c>
      <c r="Z1063" s="5">
        <v>307697333.85000002</v>
      </c>
      <c r="AA1063" s="5">
        <v>23446</v>
      </c>
      <c r="AB1063" s="5" t="s">
        <v>85</v>
      </c>
      <c r="AC1063" s="5">
        <v>1</v>
      </c>
    </row>
    <row r="1064" spans="1:29" x14ac:dyDescent="0.3">
      <c r="A1064" s="34">
        <v>46274</v>
      </c>
      <c r="B1064" s="34">
        <v>46274</v>
      </c>
      <c r="C1064" s="5" t="s">
        <v>78</v>
      </c>
      <c r="D1064" s="5" t="s">
        <v>79</v>
      </c>
      <c r="E1064" s="5" t="s">
        <v>80</v>
      </c>
      <c r="F1064" s="5">
        <v>764683</v>
      </c>
      <c r="G1064" s="5" t="s">
        <v>3285</v>
      </c>
      <c r="H1064" s="5" t="s">
        <v>3286</v>
      </c>
      <c r="I1064" s="5" t="s">
        <v>212</v>
      </c>
      <c r="N1064" s="5" t="s">
        <v>3287</v>
      </c>
      <c r="O1064" s="5">
        <v>1369.3</v>
      </c>
      <c r="P1064" s="5">
        <v>1449</v>
      </c>
      <c r="Q1064" s="5">
        <v>1348</v>
      </c>
      <c r="R1064" s="5">
        <v>1439.2</v>
      </c>
      <c r="S1064" s="5">
        <v>1449</v>
      </c>
      <c r="T1064" s="5">
        <v>1356.8</v>
      </c>
      <c r="V1064" s="5">
        <v>1438.63</v>
      </c>
      <c r="Y1064" s="5">
        <v>63586</v>
      </c>
      <c r="Z1064" s="5">
        <v>89600009.299999997</v>
      </c>
      <c r="AA1064" s="5">
        <v>7791</v>
      </c>
      <c r="AB1064" s="5" t="s">
        <v>85</v>
      </c>
      <c r="AC1064" s="5">
        <v>1</v>
      </c>
    </row>
    <row r="1065" spans="1:29" x14ac:dyDescent="0.3">
      <c r="A1065" s="34">
        <v>46274</v>
      </c>
      <c r="B1065" s="34">
        <v>46274</v>
      </c>
      <c r="C1065" s="5" t="s">
        <v>78</v>
      </c>
      <c r="D1065" s="5" t="s">
        <v>79</v>
      </c>
      <c r="E1065" s="5" t="s">
        <v>80</v>
      </c>
      <c r="F1065" s="5">
        <v>25871</v>
      </c>
      <c r="G1065" s="5" t="s">
        <v>3288</v>
      </c>
      <c r="H1065" s="5" t="s">
        <v>3289</v>
      </c>
      <c r="I1065" s="5" t="s">
        <v>392</v>
      </c>
      <c r="N1065" s="5" t="s">
        <v>3290</v>
      </c>
      <c r="O1065" s="5">
        <v>471.9</v>
      </c>
      <c r="P1065" s="5">
        <v>475.15</v>
      </c>
      <c r="Q1065" s="5">
        <v>460</v>
      </c>
      <c r="R1065" s="5">
        <v>475.15</v>
      </c>
      <c r="S1065" s="5">
        <v>475.15</v>
      </c>
      <c r="T1065" s="5">
        <v>452.55</v>
      </c>
      <c r="V1065" s="5">
        <v>475.15</v>
      </c>
      <c r="Y1065" s="5">
        <v>61200</v>
      </c>
      <c r="Z1065" s="5">
        <v>28943670</v>
      </c>
      <c r="AA1065" s="5">
        <v>78</v>
      </c>
      <c r="AB1065" s="5" t="s">
        <v>85</v>
      </c>
      <c r="AC1065" s="5">
        <v>600</v>
      </c>
    </row>
    <row r="1066" spans="1:29" x14ac:dyDescent="0.3">
      <c r="A1066" s="34">
        <v>46274</v>
      </c>
      <c r="B1066" s="34">
        <v>46274</v>
      </c>
      <c r="C1066" s="5" t="s">
        <v>78</v>
      </c>
      <c r="D1066" s="5" t="s">
        <v>79</v>
      </c>
      <c r="E1066" s="5" t="s">
        <v>80</v>
      </c>
      <c r="F1066" s="5">
        <v>11504</v>
      </c>
      <c r="G1066" s="5" t="s">
        <v>3291</v>
      </c>
      <c r="H1066" s="5" t="s">
        <v>3292</v>
      </c>
      <c r="I1066" s="5" t="s">
        <v>392</v>
      </c>
      <c r="N1066" s="5" t="s">
        <v>3293</v>
      </c>
      <c r="O1066" s="5">
        <v>264.39999999999998</v>
      </c>
      <c r="P1066" s="5">
        <v>270.45</v>
      </c>
      <c r="Q1066" s="5">
        <v>255</v>
      </c>
      <c r="R1066" s="5">
        <v>257.95</v>
      </c>
      <c r="S1066" s="5">
        <v>255</v>
      </c>
      <c r="T1066" s="5">
        <v>258.2</v>
      </c>
      <c r="V1066" s="5">
        <v>257.95</v>
      </c>
      <c r="Y1066" s="5">
        <v>52000</v>
      </c>
      <c r="Z1066" s="5">
        <v>13742540</v>
      </c>
      <c r="AA1066" s="5">
        <v>94</v>
      </c>
      <c r="AB1066" s="5" t="s">
        <v>85</v>
      </c>
      <c r="AC1066" s="5">
        <v>400</v>
      </c>
    </row>
    <row r="1067" spans="1:29" x14ac:dyDescent="0.3">
      <c r="A1067" s="34">
        <v>46274</v>
      </c>
      <c r="B1067" s="34">
        <v>46274</v>
      </c>
      <c r="C1067" s="5" t="s">
        <v>78</v>
      </c>
      <c r="D1067" s="5" t="s">
        <v>79</v>
      </c>
      <c r="E1067" s="5" t="s">
        <v>80</v>
      </c>
      <c r="F1067" s="5">
        <v>762685</v>
      </c>
      <c r="G1067" s="5" t="s">
        <v>3294</v>
      </c>
      <c r="H1067" s="5" t="s">
        <v>3295</v>
      </c>
      <c r="I1067" s="5" t="s">
        <v>212</v>
      </c>
      <c r="N1067" s="5" t="s">
        <v>3296</v>
      </c>
      <c r="O1067" s="5">
        <v>1258</v>
      </c>
      <c r="P1067" s="5">
        <v>1275.7</v>
      </c>
      <c r="Q1067" s="5">
        <v>1242.8</v>
      </c>
      <c r="R1067" s="5">
        <v>1263.9000000000001</v>
      </c>
      <c r="S1067" s="5">
        <v>1258.2</v>
      </c>
      <c r="T1067" s="5">
        <v>1258.2</v>
      </c>
      <c r="V1067" s="5">
        <v>1263.8800000000001</v>
      </c>
      <c r="Y1067" s="5">
        <v>11690</v>
      </c>
      <c r="Z1067" s="5">
        <v>14726192.4</v>
      </c>
      <c r="AA1067" s="5">
        <v>1794</v>
      </c>
      <c r="AB1067" s="5" t="s">
        <v>85</v>
      </c>
      <c r="AC1067" s="5">
        <v>1</v>
      </c>
    </row>
    <row r="1068" spans="1:29" x14ac:dyDescent="0.3">
      <c r="A1068" s="34">
        <v>46274</v>
      </c>
      <c r="B1068" s="34">
        <v>46274</v>
      </c>
      <c r="C1068" s="5" t="s">
        <v>78</v>
      </c>
      <c r="D1068" s="5" t="s">
        <v>79</v>
      </c>
      <c r="E1068" s="5" t="s">
        <v>80</v>
      </c>
      <c r="F1068" s="5">
        <v>6545</v>
      </c>
      <c r="G1068" s="5" t="s">
        <v>3297</v>
      </c>
      <c r="H1068" s="5" t="s">
        <v>3298</v>
      </c>
      <c r="I1068" s="5" t="s">
        <v>212</v>
      </c>
      <c r="N1068" s="5" t="s">
        <v>3299</v>
      </c>
      <c r="O1068" s="5">
        <v>340.8</v>
      </c>
      <c r="P1068" s="5">
        <v>343</v>
      </c>
      <c r="Q1068" s="5">
        <v>338.25</v>
      </c>
      <c r="R1068" s="5">
        <v>343</v>
      </c>
      <c r="S1068" s="5">
        <v>343</v>
      </c>
      <c r="T1068" s="5">
        <v>341</v>
      </c>
      <c r="V1068" s="5">
        <v>343</v>
      </c>
      <c r="Y1068" s="5">
        <v>4010750</v>
      </c>
      <c r="Z1068" s="5">
        <v>1367714945.25</v>
      </c>
      <c r="AA1068" s="5">
        <v>58538</v>
      </c>
      <c r="AB1068" s="5" t="s">
        <v>85</v>
      </c>
      <c r="AC1068" s="5">
        <v>1</v>
      </c>
    </row>
    <row r="1069" spans="1:29" x14ac:dyDescent="0.3">
      <c r="A1069" s="34">
        <v>46274</v>
      </c>
      <c r="B1069" s="34">
        <v>46274</v>
      </c>
      <c r="C1069" s="5" t="s">
        <v>78</v>
      </c>
      <c r="D1069" s="5" t="s">
        <v>79</v>
      </c>
      <c r="E1069" s="5" t="s">
        <v>80</v>
      </c>
      <c r="F1069" s="5">
        <v>759876</v>
      </c>
      <c r="G1069" s="5" t="s">
        <v>3300</v>
      </c>
      <c r="H1069" s="5" t="s">
        <v>3301</v>
      </c>
      <c r="I1069" s="5" t="s">
        <v>212</v>
      </c>
      <c r="N1069" s="5" t="s">
        <v>3302</v>
      </c>
      <c r="O1069" s="5">
        <v>435.2</v>
      </c>
      <c r="P1069" s="5">
        <v>454.3</v>
      </c>
      <c r="Q1069" s="5">
        <v>435.2</v>
      </c>
      <c r="R1069" s="5">
        <v>451.5</v>
      </c>
      <c r="S1069" s="5">
        <v>451</v>
      </c>
      <c r="T1069" s="5">
        <v>435.2</v>
      </c>
      <c r="V1069" s="5">
        <v>451.48</v>
      </c>
      <c r="Y1069" s="5">
        <v>356144</v>
      </c>
      <c r="Z1069" s="5">
        <v>158718900.5</v>
      </c>
      <c r="AA1069" s="5">
        <v>16067</v>
      </c>
      <c r="AB1069" s="5" t="s">
        <v>85</v>
      </c>
      <c r="AC1069" s="5">
        <v>1</v>
      </c>
    </row>
    <row r="1070" spans="1:29" x14ac:dyDescent="0.3">
      <c r="A1070" s="34">
        <v>46274</v>
      </c>
      <c r="B1070" s="34">
        <v>46274</v>
      </c>
      <c r="C1070" s="5" t="s">
        <v>78</v>
      </c>
      <c r="D1070" s="5" t="s">
        <v>79</v>
      </c>
      <c r="E1070" s="5" t="s">
        <v>80</v>
      </c>
      <c r="F1070" s="5">
        <v>11932</v>
      </c>
      <c r="G1070" s="5" t="s">
        <v>3303</v>
      </c>
      <c r="H1070" s="5" t="s">
        <v>3304</v>
      </c>
      <c r="I1070" s="5" t="s">
        <v>212</v>
      </c>
      <c r="N1070" s="5" t="s">
        <v>3305</v>
      </c>
      <c r="O1070" s="5">
        <v>201</v>
      </c>
      <c r="P1070" s="5">
        <v>201</v>
      </c>
      <c r="Q1070" s="5">
        <v>194</v>
      </c>
      <c r="R1070" s="5">
        <v>194.93</v>
      </c>
      <c r="S1070" s="5">
        <v>195.5</v>
      </c>
      <c r="T1070" s="5">
        <v>202.06</v>
      </c>
      <c r="V1070" s="5">
        <v>194.92</v>
      </c>
      <c r="Y1070" s="5">
        <v>787463</v>
      </c>
      <c r="Z1070" s="5">
        <v>154123699.12</v>
      </c>
      <c r="AA1070" s="5">
        <v>11420</v>
      </c>
      <c r="AB1070" s="5" t="s">
        <v>85</v>
      </c>
      <c r="AC1070" s="5">
        <v>1</v>
      </c>
    </row>
    <row r="1071" spans="1:29" x14ac:dyDescent="0.3">
      <c r="A1071" s="34">
        <v>46274</v>
      </c>
      <c r="B1071" s="34">
        <v>46274</v>
      </c>
      <c r="C1071" s="5" t="s">
        <v>78</v>
      </c>
      <c r="D1071" s="5" t="s">
        <v>79</v>
      </c>
      <c r="E1071" s="5" t="s">
        <v>80</v>
      </c>
      <c r="F1071" s="5">
        <v>14868</v>
      </c>
      <c r="G1071" s="5" t="s">
        <v>3306</v>
      </c>
      <c r="H1071" s="5" t="s">
        <v>3307</v>
      </c>
      <c r="I1071" s="5" t="s">
        <v>614</v>
      </c>
      <c r="N1071" s="5" t="s">
        <v>3308</v>
      </c>
      <c r="O1071" s="5">
        <v>1.22</v>
      </c>
      <c r="P1071" s="5">
        <v>1.25</v>
      </c>
      <c r="Q1071" s="5">
        <v>1.19</v>
      </c>
      <c r="R1071" s="5">
        <v>1.19</v>
      </c>
      <c r="S1071" s="5">
        <v>1.2</v>
      </c>
      <c r="T1071" s="5">
        <v>1.21</v>
      </c>
      <c r="V1071" s="5">
        <v>1.19</v>
      </c>
      <c r="Y1071" s="5">
        <v>52536</v>
      </c>
      <c r="Z1071" s="5">
        <v>63994.16</v>
      </c>
      <c r="AA1071" s="5">
        <v>62</v>
      </c>
      <c r="AB1071" s="5" t="s">
        <v>85</v>
      </c>
      <c r="AC1071" s="5">
        <v>1</v>
      </c>
    </row>
    <row r="1072" spans="1:29" x14ac:dyDescent="0.3">
      <c r="A1072" s="34">
        <v>46274</v>
      </c>
      <c r="B1072" s="34">
        <v>46274</v>
      </c>
      <c r="C1072" s="5" t="s">
        <v>78</v>
      </c>
      <c r="D1072" s="5" t="s">
        <v>79</v>
      </c>
      <c r="E1072" s="5" t="s">
        <v>80</v>
      </c>
      <c r="F1072" s="5">
        <v>13812</v>
      </c>
      <c r="G1072" s="5" t="s">
        <v>3309</v>
      </c>
      <c r="H1072" s="5" t="s">
        <v>3310</v>
      </c>
      <c r="I1072" s="5" t="s">
        <v>614</v>
      </c>
      <c r="N1072" s="5" t="s">
        <v>3311</v>
      </c>
      <c r="O1072" s="5">
        <v>0.37</v>
      </c>
      <c r="P1072" s="5">
        <v>0.39</v>
      </c>
      <c r="Q1072" s="5">
        <v>0.37</v>
      </c>
      <c r="R1072" s="5">
        <v>0.38</v>
      </c>
      <c r="S1072" s="5">
        <v>0.39</v>
      </c>
      <c r="T1072" s="5">
        <v>0.38</v>
      </c>
      <c r="V1072" s="5">
        <v>0.38</v>
      </c>
      <c r="Y1072" s="5">
        <v>212427</v>
      </c>
      <c r="Z1072" s="5">
        <v>80450.570000000007</v>
      </c>
      <c r="AA1072" s="5">
        <v>102</v>
      </c>
      <c r="AB1072" s="5" t="s">
        <v>85</v>
      </c>
      <c r="AC1072" s="5">
        <v>1</v>
      </c>
    </row>
    <row r="1073" spans="1:29" x14ac:dyDescent="0.3">
      <c r="A1073" s="34">
        <v>46274</v>
      </c>
      <c r="B1073" s="34">
        <v>46274</v>
      </c>
      <c r="C1073" s="5" t="s">
        <v>78</v>
      </c>
      <c r="D1073" s="5" t="s">
        <v>79</v>
      </c>
      <c r="E1073" s="5" t="s">
        <v>80</v>
      </c>
      <c r="F1073" s="5">
        <v>30491</v>
      </c>
      <c r="G1073" s="5" t="s">
        <v>3312</v>
      </c>
      <c r="H1073" s="5" t="s">
        <v>3313</v>
      </c>
      <c r="I1073" s="5" t="s">
        <v>614</v>
      </c>
      <c r="N1073" s="5" t="s">
        <v>3311</v>
      </c>
      <c r="O1073" s="5">
        <v>2.2400000000000002</v>
      </c>
      <c r="P1073" s="5">
        <v>2.33</v>
      </c>
      <c r="Q1073" s="5">
        <v>2.13</v>
      </c>
      <c r="R1073" s="5">
        <v>2.23</v>
      </c>
      <c r="S1073" s="5">
        <v>2.23</v>
      </c>
      <c r="T1073" s="5">
        <v>2.2400000000000002</v>
      </c>
      <c r="V1073" s="5">
        <v>2.23</v>
      </c>
      <c r="Y1073" s="5">
        <v>3866</v>
      </c>
      <c r="Z1073" s="5">
        <v>8368.08</v>
      </c>
      <c r="AA1073" s="5">
        <v>20</v>
      </c>
      <c r="AB1073" s="5" t="s">
        <v>85</v>
      </c>
      <c r="AC1073" s="5">
        <v>1</v>
      </c>
    </row>
    <row r="1074" spans="1:29" x14ac:dyDescent="0.3">
      <c r="A1074" s="34">
        <v>46274</v>
      </c>
      <c r="B1074" s="34">
        <v>46274</v>
      </c>
      <c r="C1074" s="5" t="s">
        <v>78</v>
      </c>
      <c r="D1074" s="5" t="s">
        <v>79</v>
      </c>
      <c r="E1074" s="5" t="s">
        <v>80</v>
      </c>
      <c r="F1074" s="5">
        <v>21017</v>
      </c>
      <c r="G1074" s="5" t="s">
        <v>3314</v>
      </c>
      <c r="H1074" s="5" t="s">
        <v>3315</v>
      </c>
      <c r="I1074" s="5" t="s">
        <v>212</v>
      </c>
      <c r="N1074" s="5" t="s">
        <v>3316</v>
      </c>
      <c r="O1074" s="5">
        <v>9.5</v>
      </c>
      <c r="P1074" s="5">
        <v>9.5</v>
      </c>
      <c r="Q1074" s="5">
        <v>9.14</v>
      </c>
      <c r="R1074" s="5">
        <v>9.31</v>
      </c>
      <c r="S1074" s="5">
        <v>9.33</v>
      </c>
      <c r="T1074" s="5">
        <v>9.52</v>
      </c>
      <c r="V1074" s="5">
        <v>9.2899999999999991</v>
      </c>
      <c r="Y1074" s="5">
        <v>24342</v>
      </c>
      <c r="Z1074" s="5">
        <v>224174.85</v>
      </c>
      <c r="AA1074" s="5">
        <v>176</v>
      </c>
      <c r="AB1074" s="5" t="s">
        <v>85</v>
      </c>
      <c r="AC1074" s="5">
        <v>1</v>
      </c>
    </row>
    <row r="1075" spans="1:29" x14ac:dyDescent="0.3">
      <c r="A1075" s="34">
        <v>46274</v>
      </c>
      <c r="B1075" s="34">
        <v>46274</v>
      </c>
      <c r="C1075" s="5" t="s">
        <v>78</v>
      </c>
      <c r="D1075" s="5" t="s">
        <v>79</v>
      </c>
      <c r="E1075" s="5" t="s">
        <v>80</v>
      </c>
      <c r="F1075" s="5">
        <v>1168</v>
      </c>
      <c r="G1075" s="5" t="s">
        <v>3317</v>
      </c>
      <c r="H1075" s="5" t="s">
        <v>3318</v>
      </c>
      <c r="I1075" s="5" t="s">
        <v>212</v>
      </c>
      <c r="N1075" s="5" t="s">
        <v>3319</v>
      </c>
      <c r="O1075" s="5">
        <v>927.7</v>
      </c>
      <c r="P1075" s="5">
        <v>927.75</v>
      </c>
      <c r="Q1075" s="5">
        <v>912.9</v>
      </c>
      <c r="R1075" s="5">
        <v>917.7</v>
      </c>
      <c r="S1075" s="5">
        <v>916.5</v>
      </c>
      <c r="T1075" s="5">
        <v>927.75</v>
      </c>
      <c r="V1075" s="5">
        <v>917.7</v>
      </c>
      <c r="Y1075" s="5">
        <v>23995</v>
      </c>
      <c r="Z1075" s="5">
        <v>22004654.75</v>
      </c>
      <c r="AA1075" s="5">
        <v>1860</v>
      </c>
      <c r="AB1075" s="5" t="s">
        <v>85</v>
      </c>
      <c r="AC1075" s="5">
        <v>1</v>
      </c>
    </row>
    <row r="1076" spans="1:29" x14ac:dyDescent="0.3">
      <c r="A1076" s="34">
        <v>46274</v>
      </c>
      <c r="B1076" s="34">
        <v>46274</v>
      </c>
      <c r="C1076" s="5" t="s">
        <v>78</v>
      </c>
      <c r="D1076" s="5" t="s">
        <v>79</v>
      </c>
      <c r="E1076" s="5" t="s">
        <v>80</v>
      </c>
      <c r="F1076" s="5">
        <v>5054</v>
      </c>
      <c r="G1076" s="5" t="s">
        <v>3320</v>
      </c>
      <c r="H1076" s="5" t="s">
        <v>3321</v>
      </c>
      <c r="I1076" s="5" t="s">
        <v>212</v>
      </c>
      <c r="N1076" s="5" t="s">
        <v>3322</v>
      </c>
      <c r="O1076" s="5">
        <v>853.65</v>
      </c>
      <c r="P1076" s="5">
        <v>869.95</v>
      </c>
      <c r="Q1076" s="5">
        <v>852.3</v>
      </c>
      <c r="R1076" s="5">
        <v>858.5</v>
      </c>
      <c r="S1076" s="5">
        <v>869.95</v>
      </c>
      <c r="T1076" s="5">
        <v>859.3</v>
      </c>
      <c r="V1076" s="5">
        <v>858.66</v>
      </c>
      <c r="Y1076" s="5">
        <v>9779</v>
      </c>
      <c r="Z1076" s="5">
        <v>8387133.9500000002</v>
      </c>
      <c r="AA1076" s="5">
        <v>1841</v>
      </c>
      <c r="AB1076" s="5" t="s">
        <v>85</v>
      </c>
      <c r="AC1076" s="5">
        <v>1</v>
      </c>
    </row>
    <row r="1077" spans="1:29" x14ac:dyDescent="0.3">
      <c r="A1077" s="34">
        <v>46274</v>
      </c>
      <c r="B1077" s="34">
        <v>46274</v>
      </c>
      <c r="C1077" s="5" t="s">
        <v>78</v>
      </c>
      <c r="D1077" s="5" t="s">
        <v>79</v>
      </c>
      <c r="E1077" s="5" t="s">
        <v>80</v>
      </c>
      <c r="F1077" s="5">
        <v>1135</v>
      </c>
      <c r="G1077" s="5" t="s">
        <v>3323</v>
      </c>
      <c r="H1077" s="5" t="s">
        <v>3324</v>
      </c>
      <c r="I1077" s="5" t="s">
        <v>234</v>
      </c>
      <c r="N1077" s="5" t="s">
        <v>3325</v>
      </c>
      <c r="O1077" s="5">
        <v>27.98</v>
      </c>
      <c r="P1077" s="5">
        <v>29</v>
      </c>
      <c r="Q1077" s="5">
        <v>26.65</v>
      </c>
      <c r="R1077" s="5">
        <v>26.87</v>
      </c>
      <c r="S1077" s="5">
        <v>26.65</v>
      </c>
      <c r="T1077" s="5">
        <v>28.05</v>
      </c>
      <c r="V1077" s="5">
        <v>26.87</v>
      </c>
      <c r="Y1077" s="5">
        <v>10450</v>
      </c>
      <c r="Z1077" s="5">
        <v>291097.43</v>
      </c>
      <c r="AA1077" s="5">
        <v>59</v>
      </c>
      <c r="AB1077" s="5" t="s">
        <v>85</v>
      </c>
      <c r="AC1077" s="5">
        <v>1</v>
      </c>
    </row>
    <row r="1078" spans="1:29" x14ac:dyDescent="0.3">
      <c r="A1078" s="34">
        <v>46274</v>
      </c>
      <c r="B1078" s="34">
        <v>46274</v>
      </c>
      <c r="C1078" s="5" t="s">
        <v>78</v>
      </c>
      <c r="D1078" s="5" t="s">
        <v>79</v>
      </c>
      <c r="E1078" s="5" t="s">
        <v>80</v>
      </c>
      <c r="F1078" s="5">
        <v>1085</v>
      </c>
      <c r="G1078" s="5" t="s">
        <v>3326</v>
      </c>
      <c r="H1078" s="5" t="s">
        <v>3327</v>
      </c>
      <c r="I1078" s="5" t="s">
        <v>212</v>
      </c>
      <c r="N1078" s="5" t="s">
        <v>3328</v>
      </c>
      <c r="O1078" s="5">
        <v>1387</v>
      </c>
      <c r="P1078" s="5">
        <v>1387</v>
      </c>
      <c r="Q1078" s="5">
        <v>1354</v>
      </c>
      <c r="R1078" s="5">
        <v>1360.8</v>
      </c>
      <c r="S1078" s="5">
        <v>1360</v>
      </c>
      <c r="T1078" s="5">
        <v>1389.6</v>
      </c>
      <c r="V1078" s="5">
        <v>1360.8</v>
      </c>
      <c r="Y1078" s="5">
        <v>109451</v>
      </c>
      <c r="Z1078" s="5">
        <v>149620876.5</v>
      </c>
      <c r="AA1078" s="5">
        <v>12307</v>
      </c>
      <c r="AB1078" s="5" t="s">
        <v>85</v>
      </c>
      <c r="AC1078" s="5">
        <v>1</v>
      </c>
    </row>
    <row r="1079" spans="1:29" x14ac:dyDescent="0.3">
      <c r="A1079" s="34">
        <v>46274</v>
      </c>
      <c r="B1079" s="34">
        <v>46274</v>
      </c>
      <c r="C1079" s="5" t="s">
        <v>78</v>
      </c>
      <c r="D1079" s="5" t="s">
        <v>79</v>
      </c>
      <c r="E1079" s="5" t="s">
        <v>80</v>
      </c>
      <c r="F1079" s="5">
        <v>18018</v>
      </c>
      <c r="G1079" s="5" t="s">
        <v>3329</v>
      </c>
      <c r="H1079" s="5" t="s">
        <v>3330</v>
      </c>
      <c r="I1079" s="5" t="s">
        <v>234</v>
      </c>
      <c r="N1079" s="5" t="s">
        <v>3331</v>
      </c>
      <c r="O1079" s="5">
        <v>0.79</v>
      </c>
      <c r="P1079" s="5">
        <v>0.79</v>
      </c>
      <c r="Q1079" s="5">
        <v>0.79</v>
      </c>
      <c r="R1079" s="5">
        <v>0.79</v>
      </c>
      <c r="S1079" s="5">
        <v>0.79</v>
      </c>
      <c r="T1079" s="5">
        <v>0.83</v>
      </c>
      <c r="V1079" s="5">
        <v>0.79</v>
      </c>
      <c r="Y1079" s="5">
        <v>5020956</v>
      </c>
      <c r="Z1079" s="5">
        <v>3966555.24</v>
      </c>
      <c r="AA1079" s="5">
        <v>3477</v>
      </c>
      <c r="AB1079" s="5" t="s">
        <v>85</v>
      </c>
      <c r="AC1079" s="5">
        <v>1</v>
      </c>
    </row>
    <row r="1080" spans="1:29" x14ac:dyDescent="0.3">
      <c r="A1080" s="34">
        <v>46274</v>
      </c>
      <c r="B1080" s="34">
        <v>46274</v>
      </c>
      <c r="C1080" s="5" t="s">
        <v>78</v>
      </c>
      <c r="D1080" s="5" t="s">
        <v>79</v>
      </c>
      <c r="E1080" s="5" t="s">
        <v>80</v>
      </c>
      <c r="F1080" s="5">
        <v>27</v>
      </c>
      <c r="G1080" s="5" t="s">
        <v>3332</v>
      </c>
      <c r="H1080" s="5" t="s">
        <v>3333</v>
      </c>
      <c r="I1080" s="5" t="s">
        <v>234</v>
      </c>
      <c r="N1080" s="5" t="s">
        <v>3331</v>
      </c>
      <c r="O1080" s="5">
        <v>0.5</v>
      </c>
      <c r="P1080" s="5">
        <v>0.5</v>
      </c>
      <c r="Q1080" s="5">
        <v>0.48</v>
      </c>
      <c r="R1080" s="5">
        <v>0.49</v>
      </c>
      <c r="S1080" s="5">
        <v>0.5</v>
      </c>
      <c r="T1080" s="5">
        <v>0.49</v>
      </c>
      <c r="V1080" s="5">
        <v>0.49</v>
      </c>
      <c r="Y1080" s="5">
        <v>431277</v>
      </c>
      <c r="Z1080" s="5">
        <v>211229.12</v>
      </c>
      <c r="AA1080" s="5">
        <v>257</v>
      </c>
      <c r="AB1080" s="5" t="s">
        <v>85</v>
      </c>
      <c r="AC1080" s="5">
        <v>1</v>
      </c>
    </row>
    <row r="1081" spans="1:29" x14ac:dyDescent="0.3">
      <c r="A1081" s="34">
        <v>46274</v>
      </c>
      <c r="B1081" s="34">
        <v>46274</v>
      </c>
      <c r="C1081" s="5" t="s">
        <v>78</v>
      </c>
      <c r="D1081" s="5" t="s">
        <v>79</v>
      </c>
      <c r="E1081" s="5" t="s">
        <v>80</v>
      </c>
      <c r="F1081" s="5">
        <v>4717</v>
      </c>
      <c r="G1081" s="5" t="s">
        <v>3334</v>
      </c>
      <c r="H1081" s="5" t="s">
        <v>3335</v>
      </c>
      <c r="I1081" s="5" t="s">
        <v>212</v>
      </c>
      <c r="N1081" s="5" t="s">
        <v>3336</v>
      </c>
      <c r="O1081" s="5">
        <v>173.7</v>
      </c>
      <c r="P1081" s="5">
        <v>175.59</v>
      </c>
      <c r="Q1081" s="5">
        <v>173.61</v>
      </c>
      <c r="R1081" s="5">
        <v>174.9</v>
      </c>
      <c r="S1081" s="5">
        <v>174.9</v>
      </c>
      <c r="T1081" s="5">
        <v>175.09</v>
      </c>
      <c r="V1081" s="5">
        <v>174.9</v>
      </c>
      <c r="Y1081" s="5">
        <v>4342968</v>
      </c>
      <c r="Z1081" s="5">
        <v>758387263.98000002</v>
      </c>
      <c r="AA1081" s="5">
        <v>31859</v>
      </c>
      <c r="AB1081" s="5" t="s">
        <v>85</v>
      </c>
      <c r="AC1081" s="5">
        <v>1</v>
      </c>
    </row>
    <row r="1082" spans="1:29" x14ac:dyDescent="0.3">
      <c r="A1082" s="34">
        <v>46274</v>
      </c>
      <c r="B1082" s="34">
        <v>46274</v>
      </c>
      <c r="C1082" s="5" t="s">
        <v>78</v>
      </c>
      <c r="D1082" s="5" t="s">
        <v>79</v>
      </c>
      <c r="E1082" s="5" t="s">
        <v>80</v>
      </c>
      <c r="F1082" s="5">
        <v>765396</v>
      </c>
      <c r="G1082" s="5" t="s">
        <v>3337</v>
      </c>
      <c r="H1082" s="5" t="s">
        <v>3338</v>
      </c>
      <c r="I1082" s="5" t="s">
        <v>212</v>
      </c>
      <c r="N1082" s="5" t="s">
        <v>3339</v>
      </c>
      <c r="O1082" s="5">
        <v>153.65</v>
      </c>
      <c r="P1082" s="5">
        <v>160</v>
      </c>
      <c r="Q1082" s="5">
        <v>152.61000000000001</v>
      </c>
      <c r="R1082" s="5">
        <v>158.69</v>
      </c>
      <c r="S1082" s="5">
        <v>160</v>
      </c>
      <c r="T1082" s="5">
        <v>153.63999999999999</v>
      </c>
      <c r="V1082" s="5">
        <v>158.65</v>
      </c>
      <c r="Y1082" s="5">
        <v>1067431</v>
      </c>
      <c r="Z1082" s="5">
        <v>168024443.47</v>
      </c>
      <c r="AA1082" s="5">
        <v>11878</v>
      </c>
      <c r="AB1082" s="5" t="s">
        <v>85</v>
      </c>
      <c r="AC1082" s="5">
        <v>1</v>
      </c>
    </row>
    <row r="1083" spans="1:29" x14ac:dyDescent="0.3">
      <c r="A1083" s="34">
        <v>46274</v>
      </c>
      <c r="B1083" s="34">
        <v>46274</v>
      </c>
      <c r="C1083" s="5" t="s">
        <v>78</v>
      </c>
      <c r="D1083" s="5" t="s">
        <v>79</v>
      </c>
      <c r="E1083" s="5" t="s">
        <v>80</v>
      </c>
      <c r="F1083" s="5">
        <v>25244</v>
      </c>
      <c r="G1083" s="5" t="s">
        <v>3340</v>
      </c>
      <c r="H1083" s="5" t="s">
        <v>3341</v>
      </c>
      <c r="I1083" s="5" t="s">
        <v>313</v>
      </c>
      <c r="N1083" s="5" t="s">
        <v>3342</v>
      </c>
      <c r="O1083" s="5">
        <v>8.6999999999999993</v>
      </c>
      <c r="P1083" s="5">
        <v>8.6999999999999993</v>
      </c>
      <c r="Q1083" s="5">
        <v>8</v>
      </c>
      <c r="R1083" s="5">
        <v>8.6</v>
      </c>
      <c r="S1083" s="5">
        <v>8.6</v>
      </c>
      <c r="T1083" s="5">
        <v>8.75</v>
      </c>
      <c r="V1083" s="5">
        <v>8.6</v>
      </c>
      <c r="Y1083" s="5">
        <v>9000</v>
      </c>
      <c r="Z1083" s="5">
        <v>75900</v>
      </c>
      <c r="AA1083" s="5">
        <v>3</v>
      </c>
      <c r="AB1083" s="5" t="s">
        <v>85</v>
      </c>
      <c r="AC1083" s="5">
        <v>3000</v>
      </c>
    </row>
    <row r="1084" spans="1:29" x14ac:dyDescent="0.3">
      <c r="A1084" s="34">
        <v>46274</v>
      </c>
      <c r="B1084" s="34">
        <v>46274</v>
      </c>
      <c r="C1084" s="5" t="s">
        <v>78</v>
      </c>
      <c r="D1084" s="5" t="s">
        <v>79</v>
      </c>
      <c r="E1084" s="5" t="s">
        <v>80</v>
      </c>
      <c r="F1084" s="5">
        <v>25134</v>
      </c>
      <c r="G1084" s="5" t="s">
        <v>3343</v>
      </c>
      <c r="H1084" s="5" t="s">
        <v>3344</v>
      </c>
      <c r="I1084" s="5" t="s">
        <v>212</v>
      </c>
      <c r="N1084" s="5" t="s">
        <v>3345</v>
      </c>
      <c r="O1084" s="5">
        <v>1054</v>
      </c>
      <c r="P1084" s="5">
        <v>1085.4000000000001</v>
      </c>
      <c r="Q1084" s="5">
        <v>1038.2</v>
      </c>
      <c r="R1084" s="5">
        <v>1048.0999999999999</v>
      </c>
      <c r="S1084" s="5">
        <v>1048</v>
      </c>
      <c r="T1084" s="5">
        <v>1054.9000000000001</v>
      </c>
      <c r="V1084" s="5">
        <v>1048.0899999999999</v>
      </c>
      <c r="Y1084" s="5">
        <v>19177</v>
      </c>
      <c r="Z1084" s="5">
        <v>20089304.399999999</v>
      </c>
      <c r="AA1084" s="5">
        <v>2148</v>
      </c>
      <c r="AB1084" s="5" t="s">
        <v>85</v>
      </c>
      <c r="AC1084" s="5">
        <v>1</v>
      </c>
    </row>
    <row r="1085" spans="1:29" x14ac:dyDescent="0.3">
      <c r="A1085" s="34">
        <v>46274</v>
      </c>
      <c r="B1085" s="34">
        <v>46274</v>
      </c>
      <c r="C1085" s="5" t="s">
        <v>78</v>
      </c>
      <c r="D1085" s="5" t="s">
        <v>79</v>
      </c>
      <c r="E1085" s="5" t="s">
        <v>80</v>
      </c>
      <c r="F1085" s="5">
        <v>759089</v>
      </c>
      <c r="G1085" s="5" t="s">
        <v>3346</v>
      </c>
      <c r="H1085" s="5" t="s">
        <v>3347</v>
      </c>
      <c r="I1085" s="5" t="s">
        <v>313</v>
      </c>
      <c r="N1085" s="5" t="s">
        <v>3348</v>
      </c>
      <c r="O1085" s="5">
        <v>16.95</v>
      </c>
      <c r="P1085" s="5">
        <v>17</v>
      </c>
      <c r="Q1085" s="5">
        <v>16.5</v>
      </c>
      <c r="R1085" s="5">
        <v>16.850000000000001</v>
      </c>
      <c r="S1085" s="5">
        <v>16.5</v>
      </c>
      <c r="T1085" s="5">
        <v>16.95</v>
      </c>
      <c r="V1085" s="5">
        <v>16.850000000000001</v>
      </c>
      <c r="Y1085" s="5">
        <v>18000</v>
      </c>
      <c r="Z1085" s="5">
        <v>304900</v>
      </c>
      <c r="AA1085" s="5">
        <v>6</v>
      </c>
      <c r="AB1085" s="5" t="s">
        <v>85</v>
      </c>
      <c r="AC1085" s="5">
        <v>2000</v>
      </c>
    </row>
    <row r="1086" spans="1:29" x14ac:dyDescent="0.3">
      <c r="A1086" s="34">
        <v>46274</v>
      </c>
      <c r="B1086" s="34">
        <v>46274</v>
      </c>
      <c r="C1086" s="5" t="s">
        <v>78</v>
      </c>
      <c r="D1086" s="5" t="s">
        <v>79</v>
      </c>
      <c r="E1086" s="5" t="s">
        <v>80</v>
      </c>
      <c r="F1086" s="5">
        <v>1315</v>
      </c>
      <c r="G1086" s="5" t="s">
        <v>3349</v>
      </c>
      <c r="H1086" s="5" t="s">
        <v>3350</v>
      </c>
      <c r="I1086" s="5" t="s">
        <v>212</v>
      </c>
      <c r="N1086" s="5" t="s">
        <v>3351</v>
      </c>
      <c r="O1086" s="5">
        <v>2251.9</v>
      </c>
      <c r="P1086" s="5">
        <v>2304</v>
      </c>
      <c r="Q1086" s="5">
        <v>2231</v>
      </c>
      <c r="R1086" s="5">
        <v>2288.9</v>
      </c>
      <c r="S1086" s="5">
        <v>2283</v>
      </c>
      <c r="T1086" s="5">
        <v>2251.9</v>
      </c>
      <c r="V1086" s="5">
        <v>2288.94</v>
      </c>
      <c r="Y1086" s="5">
        <v>49913</v>
      </c>
      <c r="Z1086" s="5">
        <v>113562370.90000001</v>
      </c>
      <c r="AA1086" s="5">
        <v>8789</v>
      </c>
      <c r="AB1086" s="5" t="s">
        <v>85</v>
      </c>
      <c r="AC1086" s="5">
        <v>1</v>
      </c>
    </row>
    <row r="1087" spans="1:29" x14ac:dyDescent="0.3">
      <c r="A1087" s="34">
        <v>46274</v>
      </c>
      <c r="B1087" s="34">
        <v>46274</v>
      </c>
      <c r="C1087" s="5" t="s">
        <v>78</v>
      </c>
      <c r="D1087" s="5" t="s">
        <v>79</v>
      </c>
      <c r="E1087" s="5" t="s">
        <v>80</v>
      </c>
      <c r="F1087" s="5">
        <v>13337</v>
      </c>
      <c r="G1087" s="5" t="s">
        <v>3352</v>
      </c>
      <c r="H1087" s="5" t="s">
        <v>3353</v>
      </c>
      <c r="I1087" s="5" t="s">
        <v>212</v>
      </c>
      <c r="N1087" s="5" t="s">
        <v>3354</v>
      </c>
      <c r="O1087" s="5">
        <v>564.70000000000005</v>
      </c>
      <c r="P1087" s="5">
        <v>574.4</v>
      </c>
      <c r="Q1087" s="5">
        <v>554.4</v>
      </c>
      <c r="R1087" s="5">
        <v>557.1</v>
      </c>
      <c r="S1087" s="5">
        <v>556</v>
      </c>
      <c r="T1087" s="5">
        <v>561.65</v>
      </c>
      <c r="V1087" s="5">
        <v>557.13</v>
      </c>
      <c r="Y1087" s="5">
        <v>45830</v>
      </c>
      <c r="Z1087" s="5">
        <v>25676215.300000001</v>
      </c>
      <c r="AA1087" s="5">
        <v>4303</v>
      </c>
      <c r="AB1087" s="5" t="s">
        <v>85</v>
      </c>
      <c r="AC1087" s="5">
        <v>1</v>
      </c>
    </row>
    <row r="1088" spans="1:29" x14ac:dyDescent="0.3">
      <c r="A1088" s="34">
        <v>46274</v>
      </c>
      <c r="B1088" s="34">
        <v>46274</v>
      </c>
      <c r="C1088" s="5" t="s">
        <v>78</v>
      </c>
      <c r="D1088" s="5" t="s">
        <v>79</v>
      </c>
      <c r="E1088" s="5" t="s">
        <v>80</v>
      </c>
      <c r="F1088" s="5">
        <v>20303</v>
      </c>
      <c r="G1088" s="5" t="s">
        <v>3355</v>
      </c>
      <c r="H1088" s="5" t="s">
        <v>3356</v>
      </c>
      <c r="I1088" s="5" t="s">
        <v>212</v>
      </c>
      <c r="N1088" s="5" t="s">
        <v>3357</v>
      </c>
      <c r="O1088" s="5">
        <v>264.05</v>
      </c>
      <c r="P1088" s="5">
        <v>273.45</v>
      </c>
      <c r="Q1088" s="5">
        <v>263</v>
      </c>
      <c r="R1088" s="5">
        <v>265.85000000000002</v>
      </c>
      <c r="S1088" s="5">
        <v>265.5</v>
      </c>
      <c r="T1088" s="5">
        <v>264.05</v>
      </c>
      <c r="V1088" s="5">
        <v>265.85000000000002</v>
      </c>
      <c r="Y1088" s="5">
        <v>926450</v>
      </c>
      <c r="Z1088" s="5">
        <v>249275992.15000001</v>
      </c>
      <c r="AA1088" s="5">
        <v>12842</v>
      </c>
      <c r="AB1088" s="5" t="s">
        <v>85</v>
      </c>
      <c r="AC1088" s="5">
        <v>1</v>
      </c>
    </row>
    <row r="1089" spans="1:29" x14ac:dyDescent="0.3">
      <c r="A1089" s="34">
        <v>46274</v>
      </c>
      <c r="B1089" s="34">
        <v>46274</v>
      </c>
      <c r="C1089" s="5" t="s">
        <v>78</v>
      </c>
      <c r="D1089" s="5" t="s">
        <v>79</v>
      </c>
      <c r="E1089" s="5" t="s">
        <v>80</v>
      </c>
      <c r="F1089" s="5">
        <v>14116</v>
      </c>
      <c r="G1089" s="5" t="s">
        <v>3358</v>
      </c>
      <c r="H1089" s="5" t="s">
        <v>3359</v>
      </c>
      <c r="I1089" s="5" t="s">
        <v>212</v>
      </c>
      <c r="N1089" s="5" t="s">
        <v>3360</v>
      </c>
      <c r="O1089" s="5">
        <v>883</v>
      </c>
      <c r="P1089" s="5">
        <v>902</v>
      </c>
      <c r="Q1089" s="5">
        <v>883</v>
      </c>
      <c r="R1089" s="5">
        <v>898.8</v>
      </c>
      <c r="S1089" s="5">
        <v>901.9</v>
      </c>
      <c r="T1089" s="5">
        <v>892.95</v>
      </c>
      <c r="V1089" s="5">
        <v>898.78</v>
      </c>
      <c r="Y1089" s="5">
        <v>6229</v>
      </c>
      <c r="Z1089" s="5">
        <v>5571482.4500000002</v>
      </c>
      <c r="AA1089" s="5">
        <v>417</v>
      </c>
      <c r="AB1089" s="5" t="s">
        <v>85</v>
      </c>
      <c r="AC1089" s="5">
        <v>1</v>
      </c>
    </row>
    <row r="1090" spans="1:29" x14ac:dyDescent="0.3">
      <c r="A1090" s="34">
        <v>46274</v>
      </c>
      <c r="B1090" s="34">
        <v>46274</v>
      </c>
      <c r="C1090" s="5" t="s">
        <v>78</v>
      </c>
      <c r="D1090" s="5" t="s">
        <v>79</v>
      </c>
      <c r="E1090" s="5" t="s">
        <v>80</v>
      </c>
      <c r="F1090" s="5">
        <v>5617</v>
      </c>
      <c r="G1090" s="5" t="s">
        <v>3361</v>
      </c>
      <c r="H1090" s="5" t="s">
        <v>3362</v>
      </c>
      <c r="I1090" s="5" t="s">
        <v>234</v>
      </c>
      <c r="N1090" s="5" t="s">
        <v>3363</v>
      </c>
      <c r="O1090" s="5">
        <v>130</v>
      </c>
      <c r="P1090" s="5">
        <v>133.5</v>
      </c>
      <c r="Q1090" s="5">
        <v>125.1</v>
      </c>
      <c r="R1090" s="5">
        <v>128.19</v>
      </c>
      <c r="S1090" s="5">
        <v>129</v>
      </c>
      <c r="T1090" s="5">
        <v>129.6</v>
      </c>
      <c r="V1090" s="5">
        <v>128.26</v>
      </c>
      <c r="Y1090" s="5">
        <v>269989</v>
      </c>
      <c r="Z1090" s="5">
        <v>34808955.619999997</v>
      </c>
      <c r="AA1090" s="5">
        <v>917</v>
      </c>
      <c r="AB1090" s="5" t="s">
        <v>85</v>
      </c>
      <c r="AC1090" s="5">
        <v>1</v>
      </c>
    </row>
    <row r="1091" spans="1:29" x14ac:dyDescent="0.3">
      <c r="A1091" s="34">
        <v>46274</v>
      </c>
      <c r="B1091" s="34">
        <v>46274</v>
      </c>
      <c r="C1091" s="5" t="s">
        <v>78</v>
      </c>
      <c r="D1091" s="5" t="s">
        <v>79</v>
      </c>
      <c r="E1091" s="5" t="s">
        <v>80</v>
      </c>
      <c r="F1091" s="5">
        <v>759012</v>
      </c>
      <c r="G1091" s="5" t="s">
        <v>3364</v>
      </c>
      <c r="H1091" s="5" t="s">
        <v>3365</v>
      </c>
      <c r="I1091" s="5" t="s">
        <v>212</v>
      </c>
      <c r="N1091" s="5" t="s">
        <v>3366</v>
      </c>
      <c r="O1091" s="5">
        <v>170</v>
      </c>
      <c r="P1091" s="5">
        <v>174</v>
      </c>
      <c r="Q1091" s="5">
        <v>166.47</v>
      </c>
      <c r="R1091" s="5">
        <v>167.58</v>
      </c>
      <c r="S1091" s="5">
        <v>167.03</v>
      </c>
      <c r="T1091" s="5">
        <v>169.71</v>
      </c>
      <c r="V1091" s="5">
        <v>167.7</v>
      </c>
      <c r="Y1091" s="5">
        <v>362392</v>
      </c>
      <c r="Z1091" s="5">
        <v>60947914.420000002</v>
      </c>
      <c r="AA1091" s="5">
        <v>2528</v>
      </c>
      <c r="AB1091" s="5" t="s">
        <v>85</v>
      </c>
      <c r="AC1091" s="5">
        <v>1</v>
      </c>
    </row>
    <row r="1092" spans="1:29" x14ac:dyDescent="0.3">
      <c r="A1092" s="34">
        <v>46274</v>
      </c>
      <c r="B1092" s="34">
        <v>46274</v>
      </c>
      <c r="C1092" s="5" t="s">
        <v>78</v>
      </c>
      <c r="D1092" s="5" t="s">
        <v>79</v>
      </c>
      <c r="E1092" s="5" t="s">
        <v>80</v>
      </c>
      <c r="F1092" s="5">
        <v>24439</v>
      </c>
      <c r="G1092" s="5" t="s">
        <v>3367</v>
      </c>
      <c r="H1092" s="5" t="s">
        <v>3368</v>
      </c>
      <c r="I1092" s="5" t="s">
        <v>313</v>
      </c>
      <c r="N1092" s="5" t="s">
        <v>3369</v>
      </c>
      <c r="O1092" s="5">
        <v>220.7</v>
      </c>
      <c r="P1092" s="5">
        <v>220.7</v>
      </c>
      <c r="Q1092" s="5">
        <v>211.05</v>
      </c>
      <c r="R1092" s="5">
        <v>214.35</v>
      </c>
      <c r="S1092" s="5">
        <v>214.4</v>
      </c>
      <c r="T1092" s="5">
        <v>216.3</v>
      </c>
      <c r="V1092" s="5">
        <v>214.35</v>
      </c>
      <c r="Y1092" s="5">
        <v>27900</v>
      </c>
      <c r="Z1092" s="5">
        <v>6001620</v>
      </c>
      <c r="AA1092" s="5">
        <v>78</v>
      </c>
      <c r="AB1092" s="5" t="s">
        <v>85</v>
      </c>
      <c r="AC1092" s="5">
        <v>300</v>
      </c>
    </row>
    <row r="1093" spans="1:29" x14ac:dyDescent="0.3">
      <c r="A1093" s="34">
        <v>46274</v>
      </c>
      <c r="B1093" s="34">
        <v>46274</v>
      </c>
      <c r="C1093" s="5" t="s">
        <v>78</v>
      </c>
      <c r="D1093" s="5" t="s">
        <v>79</v>
      </c>
      <c r="E1093" s="5" t="s">
        <v>80</v>
      </c>
      <c r="F1093" s="5">
        <v>14339</v>
      </c>
      <c r="G1093" s="5" t="s">
        <v>3370</v>
      </c>
      <c r="H1093" s="5" t="s">
        <v>3371</v>
      </c>
      <c r="I1093" s="5" t="s">
        <v>212</v>
      </c>
      <c r="N1093" s="5" t="s">
        <v>3372</v>
      </c>
      <c r="O1093" s="5">
        <v>745</v>
      </c>
      <c r="P1093" s="5">
        <v>782</v>
      </c>
      <c r="Q1093" s="5">
        <v>740</v>
      </c>
      <c r="R1093" s="5">
        <v>758.5</v>
      </c>
      <c r="S1093" s="5">
        <v>760</v>
      </c>
      <c r="T1093" s="5">
        <v>750.8</v>
      </c>
      <c r="V1093" s="5">
        <v>758.45</v>
      </c>
      <c r="Y1093" s="5">
        <v>52614</v>
      </c>
      <c r="Z1093" s="5">
        <v>39843828.799999997</v>
      </c>
      <c r="AA1093" s="5">
        <v>2852</v>
      </c>
      <c r="AB1093" s="5" t="s">
        <v>85</v>
      </c>
      <c r="AC1093" s="5">
        <v>1</v>
      </c>
    </row>
    <row r="1094" spans="1:29" x14ac:dyDescent="0.3">
      <c r="A1094" s="34">
        <v>46274</v>
      </c>
      <c r="B1094" s="34">
        <v>46274</v>
      </c>
      <c r="C1094" s="5" t="s">
        <v>78</v>
      </c>
      <c r="D1094" s="5" t="s">
        <v>79</v>
      </c>
      <c r="E1094" s="5" t="s">
        <v>80</v>
      </c>
      <c r="F1094" s="5">
        <v>27351</v>
      </c>
      <c r="G1094" s="5" t="s">
        <v>3373</v>
      </c>
      <c r="H1094" s="5" t="s">
        <v>3374</v>
      </c>
      <c r="I1094" s="5" t="s">
        <v>392</v>
      </c>
      <c r="N1094" s="5" t="s">
        <v>3375</v>
      </c>
      <c r="O1094" s="5">
        <v>91.05</v>
      </c>
      <c r="P1094" s="5">
        <v>96.85</v>
      </c>
      <c r="Q1094" s="5">
        <v>90</v>
      </c>
      <c r="R1094" s="5">
        <v>96.85</v>
      </c>
      <c r="S1094" s="5">
        <v>96.85</v>
      </c>
      <c r="T1094" s="5">
        <v>92.25</v>
      </c>
      <c r="V1094" s="5">
        <v>96.85</v>
      </c>
      <c r="Y1094" s="5">
        <v>99200</v>
      </c>
      <c r="Z1094" s="5">
        <v>9453680</v>
      </c>
      <c r="AA1094" s="5">
        <v>85</v>
      </c>
      <c r="AB1094" s="5" t="s">
        <v>85</v>
      </c>
      <c r="AC1094" s="5">
        <v>800</v>
      </c>
    </row>
    <row r="1095" spans="1:29" x14ac:dyDescent="0.3">
      <c r="A1095" s="34">
        <v>46274</v>
      </c>
      <c r="B1095" s="34">
        <v>46274</v>
      </c>
      <c r="C1095" s="5" t="s">
        <v>78</v>
      </c>
      <c r="D1095" s="5" t="s">
        <v>79</v>
      </c>
      <c r="E1095" s="5" t="s">
        <v>80</v>
      </c>
      <c r="F1095" s="5">
        <v>6944</v>
      </c>
      <c r="G1095" s="5" t="s">
        <v>3376</v>
      </c>
      <c r="H1095" s="5" t="s">
        <v>3377</v>
      </c>
      <c r="I1095" s="5" t="s">
        <v>212</v>
      </c>
      <c r="N1095" s="5" t="s">
        <v>3378</v>
      </c>
      <c r="O1095" s="5">
        <v>1040.4000000000001</v>
      </c>
      <c r="P1095" s="5">
        <v>1041</v>
      </c>
      <c r="Q1095" s="5">
        <v>1004</v>
      </c>
      <c r="R1095" s="5">
        <v>1020.5</v>
      </c>
      <c r="S1095" s="5">
        <v>1030</v>
      </c>
      <c r="T1095" s="5">
        <v>1040.4000000000001</v>
      </c>
      <c r="V1095" s="5">
        <v>1020.55</v>
      </c>
      <c r="Y1095" s="5">
        <v>98699</v>
      </c>
      <c r="Z1095" s="5">
        <v>100711808.3</v>
      </c>
      <c r="AA1095" s="5">
        <v>8783</v>
      </c>
      <c r="AB1095" s="5" t="s">
        <v>85</v>
      </c>
      <c r="AC1095" s="5">
        <v>1</v>
      </c>
    </row>
    <row r="1096" spans="1:29" x14ac:dyDescent="0.3">
      <c r="A1096" s="34">
        <v>46274</v>
      </c>
      <c r="B1096" s="34">
        <v>46274</v>
      </c>
      <c r="C1096" s="5" t="s">
        <v>78</v>
      </c>
      <c r="D1096" s="5" t="s">
        <v>79</v>
      </c>
      <c r="E1096" s="5" t="s">
        <v>80</v>
      </c>
      <c r="F1096" s="5">
        <v>757525</v>
      </c>
      <c r="G1096" s="5" t="s">
        <v>3379</v>
      </c>
      <c r="H1096" s="5" t="s">
        <v>3380</v>
      </c>
      <c r="I1096" s="5" t="s">
        <v>313</v>
      </c>
      <c r="N1096" s="5" t="s">
        <v>3381</v>
      </c>
      <c r="O1096" s="5">
        <v>20.45</v>
      </c>
      <c r="P1096" s="5">
        <v>21.3</v>
      </c>
      <c r="Q1096" s="5">
        <v>19.600000000000001</v>
      </c>
      <c r="R1096" s="5">
        <v>20.399999999999999</v>
      </c>
      <c r="S1096" s="5">
        <v>20</v>
      </c>
      <c r="T1096" s="5">
        <v>20.2</v>
      </c>
      <c r="V1096" s="5">
        <v>20.399999999999999</v>
      </c>
      <c r="Y1096" s="5">
        <v>36000</v>
      </c>
      <c r="Z1096" s="5">
        <v>734250</v>
      </c>
      <c r="AA1096" s="5">
        <v>12</v>
      </c>
      <c r="AB1096" s="5" t="s">
        <v>85</v>
      </c>
      <c r="AC1096" s="5">
        <v>3000</v>
      </c>
    </row>
    <row r="1097" spans="1:29" x14ac:dyDescent="0.3">
      <c r="A1097" s="34">
        <v>46274</v>
      </c>
      <c r="B1097" s="34">
        <v>46274</v>
      </c>
      <c r="C1097" s="5" t="s">
        <v>78</v>
      </c>
      <c r="D1097" s="5" t="s">
        <v>79</v>
      </c>
      <c r="E1097" s="5" t="s">
        <v>80</v>
      </c>
      <c r="F1097" s="5">
        <v>4957</v>
      </c>
      <c r="G1097" s="5" t="s">
        <v>3382</v>
      </c>
      <c r="H1097" s="5" t="s">
        <v>3383</v>
      </c>
      <c r="I1097" s="5" t="s">
        <v>212</v>
      </c>
      <c r="N1097" s="5" t="s">
        <v>3384</v>
      </c>
      <c r="O1097" s="5">
        <v>1.64</v>
      </c>
      <c r="P1097" s="5">
        <v>1.64</v>
      </c>
      <c r="Q1097" s="5">
        <v>1.54</v>
      </c>
      <c r="R1097" s="5">
        <v>1.59</v>
      </c>
      <c r="S1097" s="5">
        <v>1.61</v>
      </c>
      <c r="T1097" s="5">
        <v>1.59</v>
      </c>
      <c r="V1097" s="5">
        <v>1.59</v>
      </c>
      <c r="Y1097" s="5">
        <v>2752465</v>
      </c>
      <c r="Z1097" s="5">
        <v>4343823.75</v>
      </c>
      <c r="AA1097" s="5">
        <v>1508</v>
      </c>
      <c r="AB1097" s="5" t="s">
        <v>85</v>
      </c>
      <c r="AC1097" s="5">
        <v>1</v>
      </c>
    </row>
    <row r="1098" spans="1:29" x14ac:dyDescent="0.3">
      <c r="A1098" s="34">
        <v>46274</v>
      </c>
      <c r="B1098" s="34">
        <v>46274</v>
      </c>
      <c r="C1098" s="5" t="s">
        <v>78</v>
      </c>
      <c r="D1098" s="5" t="s">
        <v>79</v>
      </c>
      <c r="E1098" s="5" t="s">
        <v>80</v>
      </c>
      <c r="F1098" s="5">
        <v>21399</v>
      </c>
      <c r="G1098" s="5" t="s">
        <v>3385</v>
      </c>
      <c r="H1098" s="5" t="s">
        <v>3386</v>
      </c>
      <c r="I1098" s="5" t="s">
        <v>212</v>
      </c>
      <c r="N1098" s="5" t="s">
        <v>3387</v>
      </c>
      <c r="O1098" s="5">
        <v>120.8</v>
      </c>
      <c r="P1098" s="5">
        <v>120.8</v>
      </c>
      <c r="Q1098" s="5">
        <v>114.05</v>
      </c>
      <c r="R1098" s="5">
        <v>115.99</v>
      </c>
      <c r="S1098" s="5">
        <v>116</v>
      </c>
      <c r="T1098" s="5">
        <v>118.63</v>
      </c>
      <c r="V1098" s="5">
        <v>115.99</v>
      </c>
      <c r="Y1098" s="5">
        <v>8609</v>
      </c>
      <c r="Z1098" s="5">
        <v>1000334.59</v>
      </c>
      <c r="AA1098" s="5">
        <v>174</v>
      </c>
      <c r="AB1098" s="5" t="s">
        <v>85</v>
      </c>
      <c r="AC1098" s="5">
        <v>1</v>
      </c>
    </row>
    <row r="1099" spans="1:29" x14ac:dyDescent="0.3">
      <c r="A1099" s="34">
        <v>46274</v>
      </c>
      <c r="B1099" s="34">
        <v>46274</v>
      </c>
      <c r="C1099" s="5" t="s">
        <v>78</v>
      </c>
      <c r="D1099" s="5" t="s">
        <v>79</v>
      </c>
      <c r="E1099" s="5" t="s">
        <v>80</v>
      </c>
      <c r="F1099" s="5">
        <v>5475</v>
      </c>
      <c r="G1099" s="5" t="s">
        <v>3388</v>
      </c>
      <c r="H1099" s="5" t="s">
        <v>3389</v>
      </c>
      <c r="I1099" s="5" t="s">
        <v>212</v>
      </c>
      <c r="N1099" s="5" t="s">
        <v>3390</v>
      </c>
      <c r="O1099" s="5">
        <v>2525.6999999999998</v>
      </c>
      <c r="P1099" s="5">
        <v>2553.3000000000002</v>
      </c>
      <c r="Q1099" s="5">
        <v>2488.1</v>
      </c>
      <c r="R1099" s="5">
        <v>2493.9</v>
      </c>
      <c r="S1099" s="5">
        <v>2498</v>
      </c>
      <c r="T1099" s="5">
        <v>2525.6999999999998</v>
      </c>
      <c r="V1099" s="5">
        <v>2493.73</v>
      </c>
      <c r="Y1099" s="5">
        <v>237008</v>
      </c>
      <c r="Z1099" s="5">
        <v>593408781.79999995</v>
      </c>
      <c r="AA1099" s="5">
        <v>16667</v>
      </c>
      <c r="AB1099" s="5" t="s">
        <v>85</v>
      </c>
      <c r="AC1099" s="5">
        <v>1</v>
      </c>
    </row>
    <row r="1100" spans="1:29" x14ac:dyDescent="0.3">
      <c r="A1100" s="34">
        <v>46274</v>
      </c>
      <c r="B1100" s="34">
        <v>46274</v>
      </c>
      <c r="C1100" s="5" t="s">
        <v>78</v>
      </c>
      <c r="D1100" s="5" t="s">
        <v>79</v>
      </c>
      <c r="E1100" s="5" t="s">
        <v>80</v>
      </c>
      <c r="F1100" s="5">
        <v>25800</v>
      </c>
      <c r="G1100" s="5" t="s">
        <v>3391</v>
      </c>
      <c r="H1100" s="5" t="s">
        <v>3392</v>
      </c>
      <c r="I1100" s="5" t="s">
        <v>212</v>
      </c>
      <c r="N1100" s="5" t="s">
        <v>3393</v>
      </c>
      <c r="O1100" s="5">
        <v>181.99</v>
      </c>
      <c r="P1100" s="5">
        <v>186.79</v>
      </c>
      <c r="Q1100" s="5">
        <v>180.29</v>
      </c>
      <c r="R1100" s="5">
        <v>181.95</v>
      </c>
      <c r="S1100" s="5">
        <v>181.5</v>
      </c>
      <c r="T1100" s="5">
        <v>183.61</v>
      </c>
      <c r="V1100" s="5">
        <v>181.98</v>
      </c>
      <c r="Y1100" s="5">
        <v>1610615</v>
      </c>
      <c r="Z1100" s="5">
        <v>295414085.27999997</v>
      </c>
      <c r="AA1100" s="5">
        <v>19386</v>
      </c>
      <c r="AB1100" s="5" t="s">
        <v>85</v>
      </c>
      <c r="AC1100" s="5">
        <v>1</v>
      </c>
    </row>
    <row r="1101" spans="1:29" x14ac:dyDescent="0.3">
      <c r="A1101" s="34">
        <v>46274</v>
      </c>
      <c r="B1101" s="34">
        <v>46274</v>
      </c>
      <c r="C1101" s="5" t="s">
        <v>78</v>
      </c>
      <c r="D1101" s="5" t="s">
        <v>79</v>
      </c>
      <c r="E1101" s="5" t="s">
        <v>80</v>
      </c>
      <c r="F1101" s="5">
        <v>7982</v>
      </c>
      <c r="G1101" s="5" t="s">
        <v>3394</v>
      </c>
      <c r="H1101" s="5" t="s">
        <v>3395</v>
      </c>
      <c r="I1101" s="5" t="s">
        <v>212</v>
      </c>
      <c r="N1101" s="5" t="s">
        <v>3396</v>
      </c>
      <c r="O1101" s="5">
        <v>6920</v>
      </c>
      <c r="P1101" s="5">
        <v>6966</v>
      </c>
      <c r="Q1101" s="5">
        <v>6735.5</v>
      </c>
      <c r="R1101" s="5">
        <v>6752.5</v>
      </c>
      <c r="S1101" s="5">
        <v>6778</v>
      </c>
      <c r="T1101" s="5">
        <v>6975.5</v>
      </c>
      <c r="V1101" s="5">
        <v>6752.63</v>
      </c>
      <c r="Y1101" s="5">
        <v>36942</v>
      </c>
      <c r="Z1101" s="5">
        <v>252058653</v>
      </c>
      <c r="AA1101" s="5">
        <v>10474</v>
      </c>
      <c r="AB1101" s="5" t="s">
        <v>85</v>
      </c>
      <c r="AC1101" s="5">
        <v>1</v>
      </c>
    </row>
    <row r="1102" spans="1:29" x14ac:dyDescent="0.3">
      <c r="A1102" s="34">
        <v>46274</v>
      </c>
      <c r="B1102" s="34">
        <v>46274</v>
      </c>
      <c r="C1102" s="5" t="s">
        <v>78</v>
      </c>
      <c r="D1102" s="5" t="s">
        <v>79</v>
      </c>
      <c r="E1102" s="5" t="s">
        <v>80</v>
      </c>
      <c r="F1102" s="5">
        <v>1100</v>
      </c>
      <c r="G1102" s="5" t="s">
        <v>3397</v>
      </c>
      <c r="H1102" s="5" t="s">
        <v>3398</v>
      </c>
      <c r="I1102" s="5" t="s">
        <v>212</v>
      </c>
      <c r="N1102" s="5" t="s">
        <v>3399</v>
      </c>
      <c r="O1102" s="5">
        <v>822.4</v>
      </c>
      <c r="P1102" s="5">
        <v>822.4</v>
      </c>
      <c r="Q1102" s="5">
        <v>809</v>
      </c>
      <c r="R1102" s="5">
        <v>814.6</v>
      </c>
      <c r="S1102" s="5">
        <v>814</v>
      </c>
      <c r="T1102" s="5">
        <v>819.15</v>
      </c>
      <c r="V1102" s="5">
        <v>814.6</v>
      </c>
      <c r="Y1102" s="5">
        <v>35097</v>
      </c>
      <c r="Z1102" s="5">
        <v>28577622.600000001</v>
      </c>
      <c r="AA1102" s="5">
        <v>4128</v>
      </c>
      <c r="AB1102" s="5" t="s">
        <v>85</v>
      </c>
      <c r="AC1102" s="5">
        <v>1</v>
      </c>
    </row>
    <row r="1103" spans="1:29" x14ac:dyDescent="0.3">
      <c r="A1103" s="34">
        <v>46274</v>
      </c>
      <c r="B1103" s="34">
        <v>46274</v>
      </c>
      <c r="C1103" s="5" t="s">
        <v>78</v>
      </c>
      <c r="D1103" s="5" t="s">
        <v>79</v>
      </c>
      <c r="E1103" s="5" t="s">
        <v>80</v>
      </c>
      <c r="F1103" s="5">
        <v>8510</v>
      </c>
      <c r="G1103" s="5" t="s">
        <v>3400</v>
      </c>
      <c r="H1103" s="5" t="s">
        <v>3401</v>
      </c>
      <c r="I1103" s="5" t="s">
        <v>212</v>
      </c>
      <c r="N1103" s="5" t="s">
        <v>3402</v>
      </c>
      <c r="O1103" s="5">
        <v>53.94</v>
      </c>
      <c r="P1103" s="5">
        <v>54.1</v>
      </c>
      <c r="Q1103" s="5">
        <v>53.3</v>
      </c>
      <c r="R1103" s="5">
        <v>53.51</v>
      </c>
      <c r="S1103" s="5">
        <v>53.32</v>
      </c>
      <c r="T1103" s="5">
        <v>53.94</v>
      </c>
      <c r="V1103" s="5">
        <v>53.51</v>
      </c>
      <c r="Y1103" s="5">
        <v>411512</v>
      </c>
      <c r="Z1103" s="5">
        <v>22119556.449999999</v>
      </c>
      <c r="AA1103" s="5">
        <v>3232</v>
      </c>
      <c r="AB1103" s="5" t="s">
        <v>85</v>
      </c>
      <c r="AC1103" s="5">
        <v>1</v>
      </c>
    </row>
    <row r="1104" spans="1:29" x14ac:dyDescent="0.3">
      <c r="A1104" s="34">
        <v>46274</v>
      </c>
      <c r="B1104" s="34">
        <v>46274</v>
      </c>
      <c r="C1104" s="5" t="s">
        <v>78</v>
      </c>
      <c r="D1104" s="5" t="s">
        <v>79</v>
      </c>
      <c r="E1104" s="5" t="s">
        <v>80</v>
      </c>
      <c r="F1104" s="5">
        <v>760179</v>
      </c>
      <c r="G1104" s="5" t="s">
        <v>3403</v>
      </c>
      <c r="H1104" s="5" t="s">
        <v>3404</v>
      </c>
      <c r="I1104" s="5" t="s">
        <v>234</v>
      </c>
      <c r="N1104" s="5" t="s">
        <v>3405</v>
      </c>
      <c r="O1104" s="5">
        <v>119.65</v>
      </c>
      <c r="P1104" s="5">
        <v>123.89</v>
      </c>
      <c r="Q1104" s="5">
        <v>115.7</v>
      </c>
      <c r="R1104" s="5">
        <v>116.56</v>
      </c>
      <c r="S1104" s="5">
        <v>117.64</v>
      </c>
      <c r="T1104" s="5">
        <v>118.39</v>
      </c>
      <c r="V1104" s="5">
        <v>116.44</v>
      </c>
      <c r="Y1104" s="5">
        <v>144468</v>
      </c>
      <c r="Z1104" s="5">
        <v>17189296.98</v>
      </c>
      <c r="AA1104" s="5">
        <v>946</v>
      </c>
      <c r="AB1104" s="5" t="s">
        <v>85</v>
      </c>
      <c r="AC1104" s="5">
        <v>1</v>
      </c>
    </row>
    <row r="1105" spans="1:29" x14ac:dyDescent="0.3">
      <c r="A1105" s="34">
        <v>46274</v>
      </c>
      <c r="B1105" s="34">
        <v>46274</v>
      </c>
      <c r="C1105" s="5" t="s">
        <v>78</v>
      </c>
      <c r="D1105" s="5" t="s">
        <v>79</v>
      </c>
      <c r="E1105" s="5" t="s">
        <v>80</v>
      </c>
      <c r="F1105" s="5">
        <v>3693</v>
      </c>
      <c r="G1105" s="5" t="s">
        <v>3406</v>
      </c>
      <c r="H1105" s="5" t="s">
        <v>3407</v>
      </c>
      <c r="I1105" s="5" t="s">
        <v>212</v>
      </c>
      <c r="N1105" s="5" t="s">
        <v>3408</v>
      </c>
      <c r="O1105" s="5">
        <v>1.98</v>
      </c>
      <c r="P1105" s="5">
        <v>2</v>
      </c>
      <c r="Q1105" s="5">
        <v>1.72</v>
      </c>
      <c r="R1105" s="5">
        <v>1.94</v>
      </c>
      <c r="S1105" s="5">
        <v>1.93</v>
      </c>
      <c r="T1105" s="5">
        <v>1.94</v>
      </c>
      <c r="V1105" s="5">
        <v>1.94</v>
      </c>
      <c r="Y1105" s="5">
        <v>237823</v>
      </c>
      <c r="Z1105" s="5">
        <v>458293.59</v>
      </c>
      <c r="AA1105" s="5">
        <v>258</v>
      </c>
      <c r="AB1105" s="5" t="s">
        <v>85</v>
      </c>
      <c r="AC1105" s="5">
        <v>1</v>
      </c>
    </row>
    <row r="1106" spans="1:29" x14ac:dyDescent="0.3">
      <c r="A1106" s="34">
        <v>46274</v>
      </c>
      <c r="B1106" s="34">
        <v>46274</v>
      </c>
      <c r="C1106" s="5" t="s">
        <v>78</v>
      </c>
      <c r="D1106" s="5" t="s">
        <v>79</v>
      </c>
      <c r="E1106" s="5" t="s">
        <v>80</v>
      </c>
      <c r="F1106" s="5">
        <v>25023</v>
      </c>
      <c r="G1106" s="5" t="s">
        <v>3409</v>
      </c>
      <c r="H1106" s="5" t="s">
        <v>3410</v>
      </c>
      <c r="I1106" s="5" t="s">
        <v>212</v>
      </c>
      <c r="N1106" s="5" t="s">
        <v>3411</v>
      </c>
      <c r="O1106" s="5">
        <v>23.85</v>
      </c>
      <c r="P1106" s="5">
        <v>24.42</v>
      </c>
      <c r="Q1106" s="5">
        <v>23.3</v>
      </c>
      <c r="R1106" s="5">
        <v>23.64</v>
      </c>
      <c r="S1106" s="5">
        <v>23.45</v>
      </c>
      <c r="T1106" s="5">
        <v>23.26</v>
      </c>
      <c r="V1106" s="5">
        <v>23.62</v>
      </c>
      <c r="Y1106" s="5">
        <v>3083761</v>
      </c>
      <c r="Z1106" s="5">
        <v>74483141.730000004</v>
      </c>
      <c r="AA1106" s="5">
        <v>4670</v>
      </c>
      <c r="AB1106" s="5" t="s">
        <v>85</v>
      </c>
      <c r="AC1106" s="5">
        <v>1</v>
      </c>
    </row>
    <row r="1107" spans="1:29" x14ac:dyDescent="0.3">
      <c r="A1107" s="34">
        <v>46274</v>
      </c>
      <c r="B1107" s="34">
        <v>46274</v>
      </c>
      <c r="C1107" s="5" t="s">
        <v>78</v>
      </c>
      <c r="D1107" s="5" t="s">
        <v>79</v>
      </c>
      <c r="E1107" s="5" t="s">
        <v>80</v>
      </c>
      <c r="F1107" s="5">
        <v>14052</v>
      </c>
      <c r="G1107" s="5" t="s">
        <v>3412</v>
      </c>
      <c r="H1107" s="5" t="s">
        <v>3413</v>
      </c>
      <c r="I1107" s="5" t="s">
        <v>313</v>
      </c>
      <c r="N1107" s="5" t="s">
        <v>3414</v>
      </c>
      <c r="O1107" s="5">
        <v>555</v>
      </c>
      <c r="P1107" s="5">
        <v>599.9</v>
      </c>
      <c r="Q1107" s="5">
        <v>551</v>
      </c>
      <c r="R1107" s="5">
        <v>561</v>
      </c>
      <c r="S1107" s="5">
        <v>561</v>
      </c>
      <c r="T1107" s="5">
        <v>575</v>
      </c>
      <c r="V1107" s="5">
        <v>561</v>
      </c>
      <c r="Y1107" s="5">
        <v>1750</v>
      </c>
      <c r="Z1107" s="5">
        <v>991225</v>
      </c>
      <c r="AA1107" s="5">
        <v>7</v>
      </c>
      <c r="AB1107" s="5" t="s">
        <v>85</v>
      </c>
      <c r="AC1107" s="5">
        <v>250</v>
      </c>
    </row>
    <row r="1108" spans="1:29" x14ac:dyDescent="0.3">
      <c r="A1108" s="34">
        <v>46274</v>
      </c>
      <c r="B1108" s="34">
        <v>46274</v>
      </c>
      <c r="C1108" s="5" t="s">
        <v>78</v>
      </c>
      <c r="D1108" s="5" t="s">
        <v>79</v>
      </c>
      <c r="E1108" s="5" t="s">
        <v>80</v>
      </c>
      <c r="F1108" s="5">
        <v>7862</v>
      </c>
      <c r="G1108" s="5" t="s">
        <v>3415</v>
      </c>
      <c r="H1108" s="5" t="s">
        <v>3416</v>
      </c>
      <c r="I1108" s="5" t="s">
        <v>212</v>
      </c>
      <c r="N1108" s="5" t="s">
        <v>3417</v>
      </c>
      <c r="O1108" s="5">
        <v>656.2</v>
      </c>
      <c r="P1108" s="5">
        <v>672.7</v>
      </c>
      <c r="Q1108" s="5">
        <v>647</v>
      </c>
      <c r="R1108" s="5">
        <v>659.25</v>
      </c>
      <c r="S1108" s="5">
        <v>661</v>
      </c>
      <c r="T1108" s="5">
        <v>656.2</v>
      </c>
      <c r="V1108" s="5">
        <v>659.11</v>
      </c>
      <c r="Y1108" s="5">
        <v>237847</v>
      </c>
      <c r="Z1108" s="5">
        <v>157114176.59999999</v>
      </c>
      <c r="AA1108" s="5">
        <v>10781</v>
      </c>
      <c r="AB1108" s="5" t="s">
        <v>85</v>
      </c>
      <c r="AC1108" s="5">
        <v>1</v>
      </c>
    </row>
    <row r="1109" spans="1:29" x14ac:dyDescent="0.3">
      <c r="A1109" s="34">
        <v>46274</v>
      </c>
      <c r="B1109" s="34">
        <v>46274</v>
      </c>
      <c r="C1109" s="5" t="s">
        <v>78</v>
      </c>
      <c r="D1109" s="5" t="s">
        <v>79</v>
      </c>
      <c r="E1109" s="5" t="s">
        <v>80</v>
      </c>
      <c r="F1109" s="5">
        <v>16783</v>
      </c>
      <c r="G1109" s="5" t="s">
        <v>3418</v>
      </c>
      <c r="H1109" s="5" t="s">
        <v>3419</v>
      </c>
      <c r="I1109" s="5" t="s">
        <v>212</v>
      </c>
      <c r="N1109" s="5" t="s">
        <v>3420</v>
      </c>
      <c r="O1109" s="5">
        <v>4774</v>
      </c>
      <c r="P1109" s="5">
        <v>4825</v>
      </c>
      <c r="Q1109" s="5">
        <v>4638.8</v>
      </c>
      <c r="R1109" s="5">
        <v>4673</v>
      </c>
      <c r="S1109" s="5">
        <v>4673</v>
      </c>
      <c r="T1109" s="5">
        <v>4750</v>
      </c>
      <c r="V1109" s="5">
        <v>4672.74</v>
      </c>
      <c r="Y1109" s="5">
        <v>1094528</v>
      </c>
      <c r="Z1109" s="5">
        <v>5172195348.1999998</v>
      </c>
      <c r="AA1109" s="5">
        <v>92415</v>
      </c>
      <c r="AB1109" s="5" t="s">
        <v>85</v>
      </c>
      <c r="AC1109" s="5">
        <v>1</v>
      </c>
    </row>
    <row r="1110" spans="1:29" x14ac:dyDescent="0.3">
      <c r="A1110" s="34">
        <v>46274</v>
      </c>
      <c r="B1110" s="34">
        <v>46274</v>
      </c>
      <c r="C1110" s="5" t="s">
        <v>78</v>
      </c>
      <c r="D1110" s="5" t="s">
        <v>79</v>
      </c>
      <c r="E1110" s="5" t="s">
        <v>80</v>
      </c>
      <c r="F1110" s="5">
        <v>13662</v>
      </c>
      <c r="G1110" s="5" t="s">
        <v>3421</v>
      </c>
      <c r="H1110" s="5" t="s">
        <v>3422</v>
      </c>
      <c r="I1110" s="5" t="s">
        <v>234</v>
      </c>
      <c r="N1110" s="5" t="s">
        <v>3423</v>
      </c>
      <c r="O1110" s="5">
        <v>368.5</v>
      </c>
      <c r="P1110" s="5">
        <v>371.4</v>
      </c>
      <c r="Q1110" s="5">
        <v>361.45</v>
      </c>
      <c r="R1110" s="5">
        <v>363.95</v>
      </c>
      <c r="S1110" s="5">
        <v>363.9</v>
      </c>
      <c r="T1110" s="5">
        <v>368.5</v>
      </c>
      <c r="V1110" s="5">
        <v>363.95</v>
      </c>
      <c r="Y1110" s="5">
        <v>1750</v>
      </c>
      <c r="Z1110" s="5">
        <v>646772.69999999995</v>
      </c>
      <c r="AA1110" s="5">
        <v>25</v>
      </c>
      <c r="AB1110" s="5" t="s">
        <v>85</v>
      </c>
      <c r="AC1110" s="5">
        <v>1</v>
      </c>
    </row>
    <row r="1111" spans="1:29" x14ac:dyDescent="0.3">
      <c r="A1111" s="34">
        <v>46274</v>
      </c>
      <c r="B1111" s="34">
        <v>46274</v>
      </c>
      <c r="C1111" s="5" t="s">
        <v>78</v>
      </c>
      <c r="D1111" s="5" t="s">
        <v>79</v>
      </c>
      <c r="E1111" s="5" t="s">
        <v>80</v>
      </c>
      <c r="F1111" s="5">
        <v>17922</v>
      </c>
      <c r="G1111" s="5" t="s">
        <v>3424</v>
      </c>
      <c r="H1111" s="5" t="s">
        <v>3425</v>
      </c>
      <c r="I1111" s="5" t="s">
        <v>212</v>
      </c>
      <c r="N1111" s="5" t="s">
        <v>3426</v>
      </c>
      <c r="O1111" s="5">
        <v>29.89</v>
      </c>
      <c r="P1111" s="5">
        <v>29.89</v>
      </c>
      <c r="Q1111" s="5">
        <v>27.61</v>
      </c>
      <c r="R1111" s="5">
        <v>27.91</v>
      </c>
      <c r="S1111" s="5">
        <v>28.24</v>
      </c>
      <c r="T1111" s="5">
        <v>29.51</v>
      </c>
      <c r="V1111" s="5">
        <v>27.91</v>
      </c>
      <c r="Y1111" s="5">
        <v>193204</v>
      </c>
      <c r="Z1111" s="5">
        <v>5560284.9500000002</v>
      </c>
      <c r="AA1111" s="5">
        <v>1149</v>
      </c>
      <c r="AB1111" s="5" t="s">
        <v>85</v>
      </c>
      <c r="AC1111" s="5">
        <v>1</v>
      </c>
    </row>
    <row r="1112" spans="1:29" x14ac:dyDescent="0.3">
      <c r="A1112" s="34">
        <v>46274</v>
      </c>
      <c r="B1112" s="34">
        <v>46274</v>
      </c>
      <c r="C1112" s="5" t="s">
        <v>78</v>
      </c>
      <c r="D1112" s="5" t="s">
        <v>79</v>
      </c>
      <c r="E1112" s="5" t="s">
        <v>80</v>
      </c>
      <c r="F1112" s="5">
        <v>759461</v>
      </c>
      <c r="G1112" s="5" t="s">
        <v>3427</v>
      </c>
      <c r="H1112" s="5" t="s">
        <v>3428</v>
      </c>
      <c r="I1112" s="5" t="s">
        <v>212</v>
      </c>
      <c r="N1112" s="5" t="s">
        <v>3429</v>
      </c>
      <c r="O1112" s="5">
        <v>165</v>
      </c>
      <c r="P1112" s="5">
        <v>168</v>
      </c>
      <c r="Q1112" s="5">
        <v>160.30000000000001</v>
      </c>
      <c r="R1112" s="5">
        <v>164.83</v>
      </c>
      <c r="S1112" s="5">
        <v>167</v>
      </c>
      <c r="T1112" s="5">
        <v>161.86000000000001</v>
      </c>
      <c r="V1112" s="5">
        <v>164.83</v>
      </c>
      <c r="Y1112" s="5">
        <v>113076</v>
      </c>
      <c r="Z1112" s="5">
        <v>18614477.620000001</v>
      </c>
      <c r="AA1112" s="5">
        <v>2151</v>
      </c>
      <c r="AB1112" s="5" t="s">
        <v>85</v>
      </c>
      <c r="AC1112" s="5">
        <v>1</v>
      </c>
    </row>
    <row r="1113" spans="1:29" x14ac:dyDescent="0.3">
      <c r="A1113" s="34">
        <v>46274</v>
      </c>
      <c r="B1113" s="34">
        <v>46274</v>
      </c>
      <c r="C1113" s="5" t="s">
        <v>78</v>
      </c>
      <c r="D1113" s="5" t="s">
        <v>79</v>
      </c>
      <c r="E1113" s="5" t="s">
        <v>80</v>
      </c>
      <c r="F1113" s="5">
        <v>277</v>
      </c>
      <c r="G1113" s="5" t="s">
        <v>3430</v>
      </c>
      <c r="H1113" s="5" t="s">
        <v>3431</v>
      </c>
      <c r="I1113" s="5" t="s">
        <v>212</v>
      </c>
      <c r="N1113" s="5" t="s">
        <v>3432</v>
      </c>
      <c r="O1113" s="5">
        <v>348.1</v>
      </c>
      <c r="P1113" s="5">
        <v>353.75</v>
      </c>
      <c r="Q1113" s="5">
        <v>343.15</v>
      </c>
      <c r="R1113" s="5">
        <v>349.9</v>
      </c>
      <c r="S1113" s="5">
        <v>348.7</v>
      </c>
      <c r="T1113" s="5">
        <v>348.1</v>
      </c>
      <c r="V1113" s="5">
        <v>349.91</v>
      </c>
      <c r="Y1113" s="5">
        <v>1164539</v>
      </c>
      <c r="Z1113" s="5">
        <v>407216470.75</v>
      </c>
      <c r="AA1113" s="5">
        <v>20384</v>
      </c>
      <c r="AB1113" s="5" t="s">
        <v>85</v>
      </c>
      <c r="AC1113" s="5">
        <v>1</v>
      </c>
    </row>
    <row r="1114" spans="1:29" x14ac:dyDescent="0.3">
      <c r="A1114" s="34">
        <v>46274</v>
      </c>
      <c r="B1114" s="34">
        <v>46274</v>
      </c>
      <c r="C1114" s="5" t="s">
        <v>78</v>
      </c>
      <c r="D1114" s="5" t="s">
        <v>79</v>
      </c>
      <c r="E1114" s="5" t="s">
        <v>80</v>
      </c>
      <c r="F1114" s="5">
        <v>2188</v>
      </c>
      <c r="G1114" s="5" t="s">
        <v>3433</v>
      </c>
      <c r="H1114" s="5" t="s">
        <v>3434</v>
      </c>
      <c r="I1114" s="5" t="s">
        <v>212</v>
      </c>
      <c r="N1114" s="5" t="s">
        <v>3435</v>
      </c>
      <c r="O1114" s="5">
        <v>42.08</v>
      </c>
      <c r="P1114" s="5">
        <v>43.7</v>
      </c>
      <c r="Q1114" s="5">
        <v>41.34</v>
      </c>
      <c r="R1114" s="5">
        <v>42.03</v>
      </c>
      <c r="S1114" s="5">
        <v>43.7</v>
      </c>
      <c r="T1114" s="5">
        <v>41.89</v>
      </c>
      <c r="V1114" s="5">
        <v>42.03</v>
      </c>
      <c r="Y1114" s="5">
        <v>256006</v>
      </c>
      <c r="Z1114" s="5">
        <v>10719077.35</v>
      </c>
      <c r="AA1114" s="5">
        <v>987</v>
      </c>
      <c r="AB1114" s="5" t="s">
        <v>85</v>
      </c>
      <c r="AC1114" s="5">
        <v>1</v>
      </c>
    </row>
    <row r="1115" spans="1:29" x14ac:dyDescent="0.3">
      <c r="A1115" s="34">
        <v>46274</v>
      </c>
      <c r="B1115" s="34">
        <v>46274</v>
      </c>
      <c r="C1115" s="5" t="s">
        <v>78</v>
      </c>
      <c r="D1115" s="5" t="s">
        <v>79</v>
      </c>
      <c r="E1115" s="5" t="s">
        <v>80</v>
      </c>
      <c r="F1115" s="5">
        <v>10905</v>
      </c>
      <c r="G1115" s="5" t="s">
        <v>3436</v>
      </c>
      <c r="H1115" s="5" t="s">
        <v>3437</v>
      </c>
      <c r="I1115" s="5" t="s">
        <v>212</v>
      </c>
      <c r="N1115" s="5" t="s">
        <v>3438</v>
      </c>
      <c r="O1115" s="5">
        <v>291.01</v>
      </c>
      <c r="P1115" s="5">
        <v>297.39999999999998</v>
      </c>
      <c r="Q1115" s="5">
        <v>271.10000000000002</v>
      </c>
      <c r="R1115" s="5">
        <v>274.31</v>
      </c>
      <c r="S1115" s="5">
        <v>272.06</v>
      </c>
      <c r="T1115" s="5">
        <v>288.19</v>
      </c>
      <c r="V1115" s="5">
        <v>274.27</v>
      </c>
      <c r="Y1115" s="5">
        <v>3610543</v>
      </c>
      <c r="Z1115" s="5">
        <v>1019163902.24</v>
      </c>
      <c r="AA1115" s="5">
        <v>56612</v>
      </c>
      <c r="AB1115" s="5" t="s">
        <v>85</v>
      </c>
      <c r="AC1115" s="5">
        <v>1</v>
      </c>
    </row>
    <row r="1116" spans="1:29" x14ac:dyDescent="0.3">
      <c r="A1116" s="34">
        <v>46274</v>
      </c>
      <c r="B1116" s="34">
        <v>46274</v>
      </c>
      <c r="C1116" s="5" t="s">
        <v>78</v>
      </c>
      <c r="D1116" s="5" t="s">
        <v>79</v>
      </c>
      <c r="E1116" s="5" t="s">
        <v>80</v>
      </c>
      <c r="F1116" s="5">
        <v>758842</v>
      </c>
      <c r="G1116" s="5" t="s">
        <v>3439</v>
      </c>
      <c r="H1116" s="5" t="s">
        <v>3440</v>
      </c>
      <c r="I1116" s="5" t="s">
        <v>614</v>
      </c>
      <c r="N1116" s="5" t="s">
        <v>3441</v>
      </c>
      <c r="O1116" s="5">
        <v>17.46</v>
      </c>
      <c r="P1116" s="5">
        <v>17.88</v>
      </c>
      <c r="Q1116" s="5">
        <v>16.8</v>
      </c>
      <c r="R1116" s="5">
        <v>17.47</v>
      </c>
      <c r="S1116" s="5">
        <v>17.5</v>
      </c>
      <c r="T1116" s="5">
        <v>17.46</v>
      </c>
      <c r="V1116" s="5">
        <v>17.47</v>
      </c>
      <c r="Y1116" s="5">
        <v>59726</v>
      </c>
      <c r="Z1116" s="5">
        <v>1036327.42</v>
      </c>
      <c r="AA1116" s="5">
        <v>452</v>
      </c>
      <c r="AB1116" s="5" t="s">
        <v>85</v>
      </c>
      <c r="AC1116" s="5">
        <v>1</v>
      </c>
    </row>
    <row r="1117" spans="1:29" x14ac:dyDescent="0.3">
      <c r="A1117" s="34">
        <v>46274</v>
      </c>
      <c r="B1117" s="34">
        <v>46274</v>
      </c>
      <c r="C1117" s="5" t="s">
        <v>78</v>
      </c>
      <c r="D1117" s="5" t="s">
        <v>79</v>
      </c>
      <c r="E1117" s="5" t="s">
        <v>80</v>
      </c>
      <c r="F1117" s="5">
        <v>6600</v>
      </c>
      <c r="G1117" s="5" t="s">
        <v>3442</v>
      </c>
      <c r="H1117" s="5" t="s">
        <v>3443</v>
      </c>
      <c r="I1117" s="5" t="s">
        <v>212</v>
      </c>
      <c r="N1117" s="5" t="s">
        <v>3444</v>
      </c>
      <c r="O1117" s="5">
        <v>12.86</v>
      </c>
      <c r="P1117" s="5">
        <v>12.92</v>
      </c>
      <c r="Q1117" s="5">
        <v>12.08</v>
      </c>
      <c r="R1117" s="5">
        <v>12.19</v>
      </c>
      <c r="S1117" s="5">
        <v>12.17</v>
      </c>
      <c r="T1117" s="5">
        <v>12.86</v>
      </c>
      <c r="V1117" s="5">
        <v>12.2</v>
      </c>
      <c r="Y1117" s="5">
        <v>235975</v>
      </c>
      <c r="Z1117" s="5">
        <v>2923742.26</v>
      </c>
      <c r="AA1117" s="5">
        <v>774</v>
      </c>
      <c r="AB1117" s="5" t="s">
        <v>85</v>
      </c>
      <c r="AC1117" s="5">
        <v>1</v>
      </c>
    </row>
    <row r="1118" spans="1:29" x14ac:dyDescent="0.3">
      <c r="A1118" s="34">
        <v>46274</v>
      </c>
      <c r="B1118" s="34">
        <v>46274</v>
      </c>
      <c r="C1118" s="5" t="s">
        <v>78</v>
      </c>
      <c r="D1118" s="5" t="s">
        <v>79</v>
      </c>
      <c r="E1118" s="5" t="s">
        <v>80</v>
      </c>
      <c r="F1118" s="5">
        <v>11905</v>
      </c>
      <c r="G1118" s="5" t="s">
        <v>3445</v>
      </c>
      <c r="H1118" s="5" t="s">
        <v>3446</v>
      </c>
      <c r="I1118" s="5" t="s">
        <v>212</v>
      </c>
      <c r="N1118" s="5" t="s">
        <v>3447</v>
      </c>
      <c r="O1118" s="5">
        <v>334.45</v>
      </c>
      <c r="P1118" s="5">
        <v>336</v>
      </c>
      <c r="Q1118" s="5">
        <v>327</v>
      </c>
      <c r="R1118" s="5">
        <v>329</v>
      </c>
      <c r="S1118" s="5">
        <v>328.75</v>
      </c>
      <c r="T1118" s="5">
        <v>333.65</v>
      </c>
      <c r="V1118" s="5">
        <v>329.01</v>
      </c>
      <c r="Y1118" s="5">
        <v>1392398</v>
      </c>
      <c r="Z1118" s="5">
        <v>459953692.94999999</v>
      </c>
      <c r="AA1118" s="5">
        <v>21257</v>
      </c>
      <c r="AB1118" s="5" t="s">
        <v>85</v>
      </c>
      <c r="AC1118" s="5">
        <v>1</v>
      </c>
    </row>
    <row r="1119" spans="1:29" x14ac:dyDescent="0.3">
      <c r="A1119" s="34">
        <v>46274</v>
      </c>
      <c r="B1119" s="34">
        <v>46274</v>
      </c>
      <c r="C1119" s="5" t="s">
        <v>78</v>
      </c>
      <c r="D1119" s="5" t="s">
        <v>79</v>
      </c>
      <c r="E1119" s="5" t="s">
        <v>80</v>
      </c>
      <c r="F1119" s="5">
        <v>31942</v>
      </c>
      <c r="G1119" s="5" t="s">
        <v>3448</v>
      </c>
      <c r="H1119" s="5" t="s">
        <v>3449</v>
      </c>
      <c r="I1119" s="5" t="s">
        <v>313</v>
      </c>
      <c r="N1119" s="5" t="s">
        <v>3450</v>
      </c>
      <c r="O1119" s="5">
        <v>83.3</v>
      </c>
      <c r="P1119" s="5">
        <v>85.5</v>
      </c>
      <c r="Q1119" s="5">
        <v>82.5</v>
      </c>
      <c r="R1119" s="5">
        <v>84</v>
      </c>
      <c r="S1119" s="5">
        <v>84</v>
      </c>
      <c r="T1119" s="5">
        <v>83.7</v>
      </c>
      <c r="V1119" s="5">
        <v>84</v>
      </c>
      <c r="Y1119" s="5">
        <v>15600</v>
      </c>
      <c r="Z1119" s="5">
        <v>1311000</v>
      </c>
      <c r="AA1119" s="5">
        <v>12</v>
      </c>
      <c r="AB1119" s="5" t="s">
        <v>85</v>
      </c>
      <c r="AC1119" s="5">
        <v>1200</v>
      </c>
    </row>
    <row r="1120" spans="1:29" x14ac:dyDescent="0.3">
      <c r="A1120" s="34">
        <v>46274</v>
      </c>
      <c r="B1120" s="34">
        <v>46274</v>
      </c>
      <c r="C1120" s="5" t="s">
        <v>78</v>
      </c>
      <c r="D1120" s="5" t="s">
        <v>79</v>
      </c>
      <c r="E1120" s="5" t="s">
        <v>80</v>
      </c>
      <c r="F1120" s="5">
        <v>11896</v>
      </c>
      <c r="G1120" s="5" t="s">
        <v>3451</v>
      </c>
      <c r="H1120" s="5" t="s">
        <v>3452</v>
      </c>
      <c r="I1120" s="5" t="s">
        <v>212</v>
      </c>
      <c r="N1120" s="5" t="s">
        <v>3453</v>
      </c>
      <c r="O1120" s="5">
        <v>80.25</v>
      </c>
      <c r="P1120" s="5">
        <v>81.25</v>
      </c>
      <c r="Q1120" s="5">
        <v>79.47</v>
      </c>
      <c r="R1120" s="5">
        <v>80.12</v>
      </c>
      <c r="S1120" s="5">
        <v>80.150000000000006</v>
      </c>
      <c r="T1120" s="5">
        <v>81.08</v>
      </c>
      <c r="V1120" s="5">
        <v>80.12</v>
      </c>
      <c r="Y1120" s="5">
        <v>235168</v>
      </c>
      <c r="Z1120" s="5">
        <v>18818641.719999999</v>
      </c>
      <c r="AA1120" s="5">
        <v>2078</v>
      </c>
      <c r="AB1120" s="5" t="s">
        <v>85</v>
      </c>
      <c r="AC1120" s="5">
        <v>1</v>
      </c>
    </row>
    <row r="1121" spans="1:29" x14ac:dyDescent="0.3">
      <c r="A1121" s="34">
        <v>46274</v>
      </c>
      <c r="B1121" s="34">
        <v>46274</v>
      </c>
      <c r="C1121" s="5" t="s">
        <v>78</v>
      </c>
      <c r="D1121" s="5" t="s">
        <v>79</v>
      </c>
      <c r="E1121" s="5" t="s">
        <v>80</v>
      </c>
      <c r="F1121" s="5">
        <v>1289</v>
      </c>
      <c r="G1121" s="5" t="s">
        <v>3454</v>
      </c>
      <c r="H1121" s="5" t="s">
        <v>3455</v>
      </c>
      <c r="I1121" s="5" t="s">
        <v>212</v>
      </c>
      <c r="N1121" s="5" t="s">
        <v>3456</v>
      </c>
      <c r="O1121" s="5">
        <v>60.5</v>
      </c>
      <c r="P1121" s="5">
        <v>61.4</v>
      </c>
      <c r="Q1121" s="5">
        <v>56.62</v>
      </c>
      <c r="R1121" s="5">
        <v>57.35</v>
      </c>
      <c r="S1121" s="5">
        <v>57.5</v>
      </c>
      <c r="T1121" s="5">
        <v>60.17</v>
      </c>
      <c r="V1121" s="5">
        <v>57.33</v>
      </c>
      <c r="Y1121" s="5">
        <v>137857</v>
      </c>
      <c r="Z1121" s="5">
        <v>8127012.4299999997</v>
      </c>
      <c r="AA1121" s="5">
        <v>1914</v>
      </c>
      <c r="AB1121" s="5" t="s">
        <v>85</v>
      </c>
      <c r="AC1121" s="5">
        <v>1</v>
      </c>
    </row>
    <row r="1122" spans="1:29" x14ac:dyDescent="0.3">
      <c r="A1122" s="34">
        <v>46274</v>
      </c>
      <c r="B1122" s="34">
        <v>46274</v>
      </c>
      <c r="C1122" s="5" t="s">
        <v>78</v>
      </c>
      <c r="D1122" s="5" t="s">
        <v>79</v>
      </c>
      <c r="E1122" s="5" t="s">
        <v>80</v>
      </c>
      <c r="F1122" s="5">
        <v>1127</v>
      </c>
      <c r="G1122" s="5" t="s">
        <v>3457</v>
      </c>
      <c r="H1122" s="5" t="s">
        <v>3458</v>
      </c>
      <c r="I1122" s="5" t="s">
        <v>212</v>
      </c>
      <c r="N1122" s="5" t="s">
        <v>3459</v>
      </c>
      <c r="O1122" s="5">
        <v>434</v>
      </c>
      <c r="P1122" s="5">
        <v>434</v>
      </c>
      <c r="Q1122" s="5">
        <v>423.65</v>
      </c>
      <c r="R1122" s="5">
        <v>426.3</v>
      </c>
      <c r="S1122" s="5">
        <v>426.2</v>
      </c>
      <c r="T1122" s="5">
        <v>433.05</v>
      </c>
      <c r="V1122" s="5">
        <v>426.3</v>
      </c>
      <c r="Y1122" s="5">
        <v>136963</v>
      </c>
      <c r="Z1122" s="5">
        <v>58428076.600000001</v>
      </c>
      <c r="AA1122" s="5">
        <v>5824</v>
      </c>
      <c r="AB1122" s="5" t="s">
        <v>85</v>
      </c>
      <c r="AC1122" s="5">
        <v>1</v>
      </c>
    </row>
    <row r="1123" spans="1:29" x14ac:dyDescent="0.3">
      <c r="A1123" s="34">
        <v>46274</v>
      </c>
      <c r="B1123" s="34">
        <v>46274</v>
      </c>
      <c r="C1123" s="5" t="s">
        <v>78</v>
      </c>
      <c r="D1123" s="5" t="s">
        <v>79</v>
      </c>
      <c r="E1123" s="5" t="s">
        <v>80</v>
      </c>
      <c r="F1123" s="5">
        <v>16696</v>
      </c>
      <c r="G1123" s="5" t="s">
        <v>3460</v>
      </c>
      <c r="H1123" s="5" t="s">
        <v>3461</v>
      </c>
      <c r="I1123" s="5" t="s">
        <v>212</v>
      </c>
      <c r="N1123" s="5" t="s">
        <v>3462</v>
      </c>
      <c r="O1123" s="5">
        <v>132.44</v>
      </c>
      <c r="P1123" s="5">
        <v>134.9</v>
      </c>
      <c r="Q1123" s="5">
        <v>130.72999999999999</v>
      </c>
      <c r="R1123" s="5">
        <v>133.66999999999999</v>
      </c>
      <c r="S1123" s="5">
        <v>133.1</v>
      </c>
      <c r="T1123" s="5">
        <v>131.96</v>
      </c>
      <c r="V1123" s="5">
        <v>133.68</v>
      </c>
      <c r="Y1123" s="5">
        <v>580475</v>
      </c>
      <c r="Z1123" s="5">
        <v>77216881.299999997</v>
      </c>
      <c r="AA1123" s="5">
        <v>6837</v>
      </c>
      <c r="AB1123" s="5" t="s">
        <v>85</v>
      </c>
      <c r="AC1123" s="5">
        <v>1</v>
      </c>
    </row>
    <row r="1124" spans="1:29" x14ac:dyDescent="0.3">
      <c r="A1124" s="34">
        <v>46274</v>
      </c>
      <c r="B1124" s="34">
        <v>46274</v>
      </c>
      <c r="C1124" s="5" t="s">
        <v>78</v>
      </c>
      <c r="D1124" s="5" t="s">
        <v>79</v>
      </c>
      <c r="E1124" s="5" t="s">
        <v>80</v>
      </c>
      <c r="F1124" s="5">
        <v>1139</v>
      </c>
      <c r="G1124" s="5" t="s">
        <v>3463</v>
      </c>
      <c r="H1124" s="5" t="s">
        <v>3464</v>
      </c>
      <c r="I1124" s="5" t="s">
        <v>212</v>
      </c>
      <c r="N1124" s="5" t="s">
        <v>3465</v>
      </c>
      <c r="O1124" s="5">
        <v>139.15</v>
      </c>
      <c r="P1124" s="5">
        <v>139.16</v>
      </c>
      <c r="Q1124" s="5">
        <v>136.94999999999999</v>
      </c>
      <c r="R1124" s="5">
        <v>137.15</v>
      </c>
      <c r="S1124" s="5">
        <v>137.03</v>
      </c>
      <c r="T1124" s="5">
        <v>138.72999999999999</v>
      </c>
      <c r="V1124" s="5">
        <v>137.15</v>
      </c>
      <c r="Y1124" s="5">
        <v>73159</v>
      </c>
      <c r="Z1124" s="5">
        <v>10050159.050000001</v>
      </c>
      <c r="AA1124" s="5">
        <v>1781</v>
      </c>
      <c r="AB1124" s="5" t="s">
        <v>85</v>
      </c>
      <c r="AC1124" s="5">
        <v>1</v>
      </c>
    </row>
    <row r="1125" spans="1:29" x14ac:dyDescent="0.3">
      <c r="A1125" s="34">
        <v>46274</v>
      </c>
      <c r="B1125" s="34">
        <v>46274</v>
      </c>
      <c r="C1125" s="5" t="s">
        <v>78</v>
      </c>
      <c r="D1125" s="5" t="s">
        <v>79</v>
      </c>
      <c r="E1125" s="5" t="s">
        <v>80</v>
      </c>
      <c r="F1125" s="5">
        <v>17839</v>
      </c>
      <c r="G1125" s="5" t="s">
        <v>3466</v>
      </c>
      <c r="H1125" s="5" t="s">
        <v>3467</v>
      </c>
      <c r="I1125" s="5" t="s">
        <v>212</v>
      </c>
      <c r="N1125" s="5" t="s">
        <v>3468</v>
      </c>
      <c r="O1125" s="5">
        <v>105</v>
      </c>
      <c r="P1125" s="5">
        <v>105</v>
      </c>
      <c r="Q1125" s="5">
        <v>100</v>
      </c>
      <c r="R1125" s="5">
        <v>102.2</v>
      </c>
      <c r="S1125" s="5">
        <v>103.77</v>
      </c>
      <c r="T1125" s="5">
        <v>101.81</v>
      </c>
      <c r="V1125" s="5">
        <v>102.2</v>
      </c>
      <c r="Y1125" s="5">
        <v>3083</v>
      </c>
      <c r="Z1125" s="5">
        <v>318066.40000000002</v>
      </c>
      <c r="AA1125" s="5">
        <v>76</v>
      </c>
      <c r="AB1125" s="5" t="s">
        <v>85</v>
      </c>
      <c r="AC1125" s="5">
        <v>1</v>
      </c>
    </row>
    <row r="1126" spans="1:29" x14ac:dyDescent="0.3">
      <c r="A1126" s="34">
        <v>46274</v>
      </c>
      <c r="B1126" s="34">
        <v>46274</v>
      </c>
      <c r="C1126" s="5" t="s">
        <v>78</v>
      </c>
      <c r="D1126" s="5" t="s">
        <v>79</v>
      </c>
      <c r="E1126" s="5" t="s">
        <v>80</v>
      </c>
      <c r="F1126" s="5">
        <v>1576</v>
      </c>
      <c r="G1126" s="5" t="s">
        <v>3469</v>
      </c>
      <c r="H1126" s="5" t="s">
        <v>3470</v>
      </c>
      <c r="I1126" s="5" t="s">
        <v>212</v>
      </c>
      <c r="N1126" s="5" t="s">
        <v>3471</v>
      </c>
      <c r="O1126" s="5">
        <v>7525</v>
      </c>
      <c r="P1126" s="5">
        <v>7540</v>
      </c>
      <c r="Q1126" s="5">
        <v>7455</v>
      </c>
      <c r="R1126" s="5">
        <v>7479.5</v>
      </c>
      <c r="S1126" s="5">
        <v>7470</v>
      </c>
      <c r="T1126" s="5">
        <v>7530.5</v>
      </c>
      <c r="V1126" s="5">
        <v>7479.67</v>
      </c>
      <c r="Y1126" s="5">
        <v>11889</v>
      </c>
      <c r="Z1126" s="5">
        <v>89035681.5</v>
      </c>
      <c r="AA1126" s="5">
        <v>3799</v>
      </c>
      <c r="AB1126" s="5" t="s">
        <v>85</v>
      </c>
      <c r="AC1126" s="5">
        <v>1</v>
      </c>
    </row>
    <row r="1127" spans="1:29" x14ac:dyDescent="0.3">
      <c r="A1127" s="34">
        <v>46274</v>
      </c>
      <c r="B1127" s="34">
        <v>46274</v>
      </c>
      <c r="C1127" s="5" t="s">
        <v>78</v>
      </c>
      <c r="D1127" s="5" t="s">
        <v>79</v>
      </c>
      <c r="E1127" s="5" t="s">
        <v>80</v>
      </c>
      <c r="F1127" s="5">
        <v>9294</v>
      </c>
      <c r="G1127" s="5" t="s">
        <v>3472</v>
      </c>
      <c r="H1127" s="5" t="s">
        <v>3473</v>
      </c>
      <c r="I1127" s="5" t="s">
        <v>234</v>
      </c>
      <c r="N1127" s="5" t="s">
        <v>3474</v>
      </c>
      <c r="O1127" s="5">
        <v>43.5</v>
      </c>
      <c r="P1127" s="5">
        <v>43.5</v>
      </c>
      <c r="Q1127" s="5">
        <v>42.16</v>
      </c>
      <c r="R1127" s="5">
        <v>42.33</v>
      </c>
      <c r="S1127" s="5">
        <v>42.59</v>
      </c>
      <c r="T1127" s="5">
        <v>42.99</v>
      </c>
      <c r="V1127" s="5">
        <v>42.33</v>
      </c>
      <c r="Y1127" s="5">
        <v>17885</v>
      </c>
      <c r="Z1127" s="5">
        <v>760940.68</v>
      </c>
      <c r="AA1127" s="5">
        <v>101</v>
      </c>
      <c r="AB1127" s="5" t="s">
        <v>85</v>
      </c>
      <c r="AC1127" s="5">
        <v>1</v>
      </c>
    </row>
    <row r="1128" spans="1:29" x14ac:dyDescent="0.3">
      <c r="A1128" s="34">
        <v>46274</v>
      </c>
      <c r="B1128" s="34">
        <v>46274</v>
      </c>
      <c r="C1128" s="5" t="s">
        <v>78</v>
      </c>
      <c r="D1128" s="5" t="s">
        <v>79</v>
      </c>
      <c r="E1128" s="5" t="s">
        <v>80</v>
      </c>
      <c r="F1128" s="5">
        <v>2365</v>
      </c>
      <c r="G1128" s="5" t="s">
        <v>3475</v>
      </c>
      <c r="H1128" s="5" t="s">
        <v>3476</v>
      </c>
      <c r="I1128" s="5" t="s">
        <v>313</v>
      </c>
      <c r="N1128" s="5" t="s">
        <v>3477</v>
      </c>
      <c r="O1128" s="5">
        <v>86.35</v>
      </c>
      <c r="P1128" s="5">
        <v>86.35</v>
      </c>
      <c r="Q1128" s="5">
        <v>78.150000000000006</v>
      </c>
      <c r="R1128" s="5">
        <v>81.55</v>
      </c>
      <c r="S1128" s="5">
        <v>78.150000000000006</v>
      </c>
      <c r="T1128" s="5">
        <v>82.25</v>
      </c>
      <c r="V1128" s="5">
        <v>81.55</v>
      </c>
      <c r="Y1128" s="5">
        <v>6250</v>
      </c>
      <c r="Z1128" s="5">
        <v>513300</v>
      </c>
      <c r="AA1128" s="5">
        <v>18</v>
      </c>
      <c r="AB1128" s="5" t="s">
        <v>85</v>
      </c>
      <c r="AC1128" s="5">
        <v>250</v>
      </c>
    </row>
    <row r="1129" spans="1:29" x14ac:dyDescent="0.3">
      <c r="A1129" s="34">
        <v>46274</v>
      </c>
      <c r="B1129" s="34">
        <v>46274</v>
      </c>
      <c r="C1129" s="5" t="s">
        <v>78</v>
      </c>
      <c r="D1129" s="5" t="s">
        <v>79</v>
      </c>
      <c r="E1129" s="5" t="s">
        <v>80</v>
      </c>
      <c r="F1129" s="5">
        <v>759048</v>
      </c>
      <c r="G1129" s="5" t="s">
        <v>3478</v>
      </c>
      <c r="H1129" s="5" t="s">
        <v>3479</v>
      </c>
      <c r="I1129" s="5" t="s">
        <v>212</v>
      </c>
      <c r="N1129" s="5" t="s">
        <v>3480</v>
      </c>
      <c r="O1129" s="5">
        <v>129.86000000000001</v>
      </c>
      <c r="P1129" s="5">
        <v>129.87</v>
      </c>
      <c r="Q1129" s="5">
        <v>126.91</v>
      </c>
      <c r="R1129" s="5">
        <v>127.21</v>
      </c>
      <c r="S1129" s="5">
        <v>127</v>
      </c>
      <c r="T1129" s="5">
        <v>129.61000000000001</v>
      </c>
      <c r="V1129" s="5">
        <v>127.22</v>
      </c>
      <c r="Y1129" s="5">
        <v>328663</v>
      </c>
      <c r="Z1129" s="5">
        <v>41947666.719999999</v>
      </c>
      <c r="AA1129" s="5">
        <v>4274</v>
      </c>
      <c r="AB1129" s="5" t="s">
        <v>85</v>
      </c>
      <c r="AC1129" s="5">
        <v>1</v>
      </c>
    </row>
    <row r="1130" spans="1:29" x14ac:dyDescent="0.3">
      <c r="A1130" s="34">
        <v>46274</v>
      </c>
      <c r="B1130" s="34">
        <v>46274</v>
      </c>
      <c r="C1130" s="5" t="s">
        <v>78</v>
      </c>
      <c r="D1130" s="5" t="s">
        <v>79</v>
      </c>
      <c r="E1130" s="5" t="s">
        <v>80</v>
      </c>
      <c r="F1130" s="5">
        <v>764688</v>
      </c>
      <c r="G1130" s="5" t="s">
        <v>3481</v>
      </c>
      <c r="H1130" s="5" t="s">
        <v>3482</v>
      </c>
      <c r="I1130" s="5" t="s">
        <v>212</v>
      </c>
      <c r="N1130" s="5" t="s">
        <v>3483</v>
      </c>
      <c r="O1130" s="5">
        <v>72</v>
      </c>
      <c r="P1130" s="5">
        <v>74</v>
      </c>
      <c r="Q1130" s="5">
        <v>65</v>
      </c>
      <c r="R1130" s="5">
        <v>66.430000000000007</v>
      </c>
      <c r="S1130" s="5">
        <v>66.39</v>
      </c>
      <c r="T1130" s="5">
        <v>71.52</v>
      </c>
      <c r="V1130" s="5">
        <v>66.41</v>
      </c>
      <c r="Y1130" s="5">
        <v>17482</v>
      </c>
      <c r="Z1130" s="5">
        <v>1151564.75</v>
      </c>
      <c r="AA1130" s="5">
        <v>307</v>
      </c>
      <c r="AB1130" s="5" t="s">
        <v>85</v>
      </c>
      <c r="AC1130" s="5">
        <v>1</v>
      </c>
    </row>
    <row r="1131" spans="1:29" x14ac:dyDescent="0.3">
      <c r="A1131" s="34">
        <v>46274</v>
      </c>
      <c r="B1131" s="34">
        <v>46274</v>
      </c>
      <c r="C1131" s="5" t="s">
        <v>78</v>
      </c>
      <c r="D1131" s="5" t="s">
        <v>79</v>
      </c>
      <c r="E1131" s="5" t="s">
        <v>80</v>
      </c>
      <c r="F1131" s="5">
        <v>17357</v>
      </c>
      <c r="G1131" s="5" t="s">
        <v>3484</v>
      </c>
      <c r="H1131" s="5" t="s">
        <v>3485</v>
      </c>
      <c r="I1131" s="5" t="s">
        <v>212</v>
      </c>
      <c r="N1131" s="5" t="s">
        <v>3486</v>
      </c>
      <c r="O1131" s="5">
        <v>1579.5</v>
      </c>
      <c r="P1131" s="5">
        <v>1600</v>
      </c>
      <c r="Q1131" s="5">
        <v>1562</v>
      </c>
      <c r="R1131" s="5">
        <v>1588.8</v>
      </c>
      <c r="S1131" s="5">
        <v>1570.4</v>
      </c>
      <c r="T1131" s="5">
        <v>1551.7</v>
      </c>
      <c r="V1131" s="5">
        <v>1588.8</v>
      </c>
      <c r="Y1131" s="5">
        <v>229</v>
      </c>
      <c r="Z1131" s="5">
        <v>363717.3</v>
      </c>
      <c r="AA1131" s="5">
        <v>41</v>
      </c>
      <c r="AB1131" s="5" t="s">
        <v>85</v>
      </c>
      <c r="AC1131" s="5">
        <v>1</v>
      </c>
    </row>
    <row r="1132" spans="1:29" x14ac:dyDescent="0.3">
      <c r="A1132" s="34">
        <v>46274</v>
      </c>
      <c r="B1132" s="34">
        <v>46274</v>
      </c>
      <c r="C1132" s="5" t="s">
        <v>78</v>
      </c>
      <c r="D1132" s="5" t="s">
        <v>79</v>
      </c>
      <c r="E1132" s="5" t="s">
        <v>80</v>
      </c>
      <c r="F1132" s="5">
        <v>1186</v>
      </c>
      <c r="G1132" s="5" t="s">
        <v>3487</v>
      </c>
      <c r="H1132" s="5" t="s">
        <v>3488</v>
      </c>
      <c r="I1132" s="5" t="s">
        <v>212</v>
      </c>
      <c r="N1132" s="5" t="s">
        <v>3489</v>
      </c>
      <c r="O1132" s="5">
        <v>2959.3</v>
      </c>
      <c r="P1132" s="5">
        <v>3033.9</v>
      </c>
      <c r="Q1132" s="5">
        <v>2938.6</v>
      </c>
      <c r="R1132" s="5">
        <v>3026.2</v>
      </c>
      <c r="S1132" s="5">
        <v>3019.8</v>
      </c>
      <c r="T1132" s="5">
        <v>2959.3</v>
      </c>
      <c r="V1132" s="5">
        <v>3026.18</v>
      </c>
      <c r="Y1132" s="5">
        <v>1560855</v>
      </c>
      <c r="Z1132" s="5">
        <v>4680413085.3999996</v>
      </c>
      <c r="AA1132" s="5">
        <v>100445</v>
      </c>
      <c r="AB1132" s="5" t="s">
        <v>85</v>
      </c>
      <c r="AC1132" s="5">
        <v>1</v>
      </c>
    </row>
    <row r="1133" spans="1:29" x14ac:dyDescent="0.3">
      <c r="A1133" s="34">
        <v>46274</v>
      </c>
      <c r="B1133" s="34">
        <v>46274</v>
      </c>
      <c r="C1133" s="5" t="s">
        <v>78</v>
      </c>
      <c r="D1133" s="5" t="s">
        <v>79</v>
      </c>
      <c r="E1133" s="5" t="s">
        <v>80</v>
      </c>
      <c r="F1133" s="5">
        <v>1153</v>
      </c>
      <c r="G1133" s="5" t="s">
        <v>3490</v>
      </c>
      <c r="H1133" s="5" t="s">
        <v>3491</v>
      </c>
      <c r="I1133" s="5" t="s">
        <v>212</v>
      </c>
      <c r="N1133" s="5" t="s">
        <v>3492</v>
      </c>
      <c r="O1133" s="5">
        <v>2928.2</v>
      </c>
      <c r="P1133" s="5">
        <v>2959.6</v>
      </c>
      <c r="Q1133" s="5">
        <v>2875</v>
      </c>
      <c r="R1133" s="5">
        <v>2890.2</v>
      </c>
      <c r="S1133" s="5">
        <v>2919.8</v>
      </c>
      <c r="T1133" s="5">
        <v>2928.2</v>
      </c>
      <c r="V1133" s="5">
        <v>2889.89</v>
      </c>
      <c r="Y1133" s="5">
        <v>29124</v>
      </c>
      <c r="Z1133" s="5">
        <v>85062461.900000006</v>
      </c>
      <c r="AA1133" s="5">
        <v>7447</v>
      </c>
      <c r="AB1133" s="5" t="s">
        <v>85</v>
      </c>
      <c r="AC1133" s="5">
        <v>1</v>
      </c>
    </row>
    <row r="1134" spans="1:29" x14ac:dyDescent="0.3">
      <c r="A1134" s="34">
        <v>46274</v>
      </c>
      <c r="B1134" s="34">
        <v>46274</v>
      </c>
      <c r="C1134" s="5" t="s">
        <v>78</v>
      </c>
      <c r="D1134" s="5" t="s">
        <v>79</v>
      </c>
      <c r="E1134" s="5" t="s">
        <v>80</v>
      </c>
      <c r="F1134" s="5">
        <v>7406</v>
      </c>
      <c r="G1134" s="5" t="s">
        <v>3493</v>
      </c>
      <c r="H1134" s="5" t="s">
        <v>3494</v>
      </c>
      <c r="I1134" s="5" t="s">
        <v>212</v>
      </c>
      <c r="N1134" s="5" t="s">
        <v>3495</v>
      </c>
      <c r="O1134" s="5">
        <v>2486.9</v>
      </c>
      <c r="P1134" s="5">
        <v>2486.9</v>
      </c>
      <c r="Q1134" s="5">
        <v>2400.1</v>
      </c>
      <c r="R1134" s="5">
        <v>2435</v>
      </c>
      <c r="S1134" s="5">
        <v>2435</v>
      </c>
      <c r="T1134" s="5">
        <v>2474.5</v>
      </c>
      <c r="V1134" s="5">
        <v>2435.04</v>
      </c>
      <c r="Y1134" s="5">
        <v>424753</v>
      </c>
      <c r="Z1134" s="5">
        <v>1032144201.1</v>
      </c>
      <c r="AA1134" s="5">
        <v>34891</v>
      </c>
      <c r="AB1134" s="5" t="s">
        <v>85</v>
      </c>
      <c r="AC1134" s="5">
        <v>1</v>
      </c>
    </row>
    <row r="1135" spans="1:29" x14ac:dyDescent="0.3">
      <c r="A1135" s="34">
        <v>46274</v>
      </c>
      <c r="B1135" s="34">
        <v>46274</v>
      </c>
      <c r="C1135" s="5" t="s">
        <v>78</v>
      </c>
      <c r="D1135" s="5" t="s">
        <v>79</v>
      </c>
      <c r="E1135" s="5" t="s">
        <v>80</v>
      </c>
      <c r="F1135" s="5">
        <v>1415</v>
      </c>
      <c r="G1135" s="5" t="s">
        <v>3496</v>
      </c>
      <c r="H1135" s="5" t="s">
        <v>3497</v>
      </c>
      <c r="I1135" s="5" t="s">
        <v>212</v>
      </c>
      <c r="N1135" s="5" t="s">
        <v>3498</v>
      </c>
      <c r="O1135" s="5">
        <v>126.62</v>
      </c>
      <c r="P1135" s="5">
        <v>128.24</v>
      </c>
      <c r="Q1135" s="5">
        <v>123.47</v>
      </c>
      <c r="R1135" s="5">
        <v>125.94</v>
      </c>
      <c r="S1135" s="5">
        <v>125.05</v>
      </c>
      <c r="T1135" s="5">
        <v>126.62</v>
      </c>
      <c r="V1135" s="5">
        <v>125.94</v>
      </c>
      <c r="Y1135" s="5">
        <v>118903</v>
      </c>
      <c r="Z1135" s="5">
        <v>14950889.07</v>
      </c>
      <c r="AA1135" s="5">
        <v>1705</v>
      </c>
      <c r="AB1135" s="5" t="s">
        <v>85</v>
      </c>
      <c r="AC1135" s="5">
        <v>1</v>
      </c>
    </row>
    <row r="1136" spans="1:29" x14ac:dyDescent="0.3">
      <c r="A1136" s="34">
        <v>46274</v>
      </c>
      <c r="B1136" s="34">
        <v>46274</v>
      </c>
      <c r="C1136" s="5" t="s">
        <v>78</v>
      </c>
      <c r="D1136" s="5" t="s">
        <v>79</v>
      </c>
      <c r="E1136" s="5" t="s">
        <v>80</v>
      </c>
      <c r="F1136" s="5">
        <v>11956</v>
      </c>
      <c r="G1136" s="5" t="s">
        <v>3499</v>
      </c>
      <c r="H1136" s="5" t="s">
        <v>3500</v>
      </c>
      <c r="I1136" s="5" t="s">
        <v>212</v>
      </c>
      <c r="N1136" s="5" t="s">
        <v>3501</v>
      </c>
      <c r="O1136" s="5">
        <v>1432.1</v>
      </c>
      <c r="P1136" s="5">
        <v>1487.4</v>
      </c>
      <c r="Q1136" s="5">
        <v>1431.8</v>
      </c>
      <c r="R1136" s="5">
        <v>1480.4</v>
      </c>
      <c r="S1136" s="5">
        <v>1483.3</v>
      </c>
      <c r="T1136" s="5">
        <v>1428.6</v>
      </c>
      <c r="V1136" s="5">
        <v>1480.39</v>
      </c>
      <c r="Y1136" s="5">
        <v>565564</v>
      </c>
      <c r="Z1136" s="5">
        <v>834011624.79999995</v>
      </c>
      <c r="AA1136" s="5">
        <v>39315</v>
      </c>
      <c r="AB1136" s="5" t="s">
        <v>85</v>
      </c>
      <c r="AC1136" s="5">
        <v>1</v>
      </c>
    </row>
    <row r="1137" spans="1:29" x14ac:dyDescent="0.3">
      <c r="A1137" s="34">
        <v>46274</v>
      </c>
      <c r="B1137" s="34">
        <v>46274</v>
      </c>
      <c r="C1137" s="5" t="s">
        <v>78</v>
      </c>
      <c r="D1137" s="5" t="s">
        <v>79</v>
      </c>
      <c r="E1137" s="5" t="s">
        <v>80</v>
      </c>
      <c r="F1137" s="5">
        <v>17167</v>
      </c>
      <c r="G1137" s="5" t="s">
        <v>3502</v>
      </c>
      <c r="H1137" s="5" t="s">
        <v>3503</v>
      </c>
      <c r="I1137" s="5" t="s">
        <v>313</v>
      </c>
      <c r="N1137" s="5" t="s">
        <v>3504</v>
      </c>
      <c r="O1137" s="5">
        <v>158</v>
      </c>
      <c r="P1137" s="5">
        <v>166.45</v>
      </c>
      <c r="Q1137" s="5">
        <v>157.1</v>
      </c>
      <c r="R1137" s="5">
        <v>166.45</v>
      </c>
      <c r="S1137" s="5">
        <v>166.45</v>
      </c>
      <c r="T1137" s="5">
        <v>158.55000000000001</v>
      </c>
      <c r="V1137" s="5">
        <v>166.45</v>
      </c>
      <c r="Y1137" s="5">
        <v>36750</v>
      </c>
      <c r="Z1137" s="5">
        <v>6076687.5</v>
      </c>
      <c r="AA1137" s="5">
        <v>33</v>
      </c>
      <c r="AB1137" s="5" t="s">
        <v>85</v>
      </c>
      <c r="AC1137" s="5">
        <v>750</v>
      </c>
    </row>
    <row r="1138" spans="1:29" x14ac:dyDescent="0.3">
      <c r="A1138" s="34">
        <v>46274</v>
      </c>
      <c r="B1138" s="34">
        <v>46274</v>
      </c>
      <c r="C1138" s="5" t="s">
        <v>78</v>
      </c>
      <c r="D1138" s="5" t="s">
        <v>79</v>
      </c>
      <c r="E1138" s="5" t="s">
        <v>80</v>
      </c>
      <c r="F1138" s="5">
        <v>14599</v>
      </c>
      <c r="G1138" s="5" t="s">
        <v>3505</v>
      </c>
      <c r="H1138" s="5" t="s">
        <v>3506</v>
      </c>
      <c r="I1138" s="5" t="s">
        <v>212</v>
      </c>
      <c r="N1138" s="5" t="s">
        <v>3507</v>
      </c>
      <c r="O1138" s="5">
        <v>29.77</v>
      </c>
      <c r="P1138" s="5">
        <v>29.9</v>
      </c>
      <c r="Q1138" s="5">
        <v>27.84</v>
      </c>
      <c r="R1138" s="5">
        <v>27.84</v>
      </c>
      <c r="S1138" s="5">
        <v>27.84</v>
      </c>
      <c r="T1138" s="5">
        <v>29.3</v>
      </c>
      <c r="V1138" s="5">
        <v>27.84</v>
      </c>
      <c r="Y1138" s="5">
        <v>51751</v>
      </c>
      <c r="Z1138" s="5">
        <v>1467371.88</v>
      </c>
      <c r="AA1138" s="5">
        <v>405</v>
      </c>
      <c r="AB1138" s="5" t="s">
        <v>85</v>
      </c>
      <c r="AC1138" s="5">
        <v>1</v>
      </c>
    </row>
    <row r="1139" spans="1:29" x14ac:dyDescent="0.3">
      <c r="A1139" s="34">
        <v>46274</v>
      </c>
      <c r="B1139" s="34">
        <v>46274</v>
      </c>
      <c r="C1139" s="5" t="s">
        <v>78</v>
      </c>
      <c r="D1139" s="5" t="s">
        <v>79</v>
      </c>
      <c r="E1139" s="5" t="s">
        <v>80</v>
      </c>
      <c r="F1139" s="5">
        <v>13735</v>
      </c>
      <c r="G1139" s="5" t="s">
        <v>3508</v>
      </c>
      <c r="H1139" s="5" t="s">
        <v>3509</v>
      </c>
      <c r="I1139" s="5" t="s">
        <v>212</v>
      </c>
      <c r="N1139" s="5" t="s">
        <v>3510</v>
      </c>
      <c r="O1139" s="5">
        <v>140</v>
      </c>
      <c r="P1139" s="5">
        <v>140</v>
      </c>
      <c r="Q1139" s="5">
        <v>136.32</v>
      </c>
      <c r="R1139" s="5">
        <v>139.03</v>
      </c>
      <c r="S1139" s="5">
        <v>138</v>
      </c>
      <c r="T1139" s="5">
        <v>139.29</v>
      </c>
      <c r="V1139" s="5">
        <v>139.36000000000001</v>
      </c>
      <c r="Y1139" s="5">
        <v>7507</v>
      </c>
      <c r="Z1139" s="5">
        <v>1037652.31</v>
      </c>
      <c r="AA1139" s="5">
        <v>283</v>
      </c>
      <c r="AB1139" s="5" t="s">
        <v>85</v>
      </c>
      <c r="AC1139" s="5">
        <v>1</v>
      </c>
    </row>
    <row r="1140" spans="1:29" x14ac:dyDescent="0.3">
      <c r="A1140" s="34">
        <v>46274</v>
      </c>
      <c r="B1140" s="34">
        <v>46274</v>
      </c>
      <c r="C1140" s="5" t="s">
        <v>78</v>
      </c>
      <c r="D1140" s="5" t="s">
        <v>79</v>
      </c>
      <c r="E1140" s="5" t="s">
        <v>80</v>
      </c>
      <c r="F1140" s="5">
        <v>24932</v>
      </c>
      <c r="G1140" s="5" t="s">
        <v>3511</v>
      </c>
      <c r="H1140" s="5" t="s">
        <v>3512</v>
      </c>
      <c r="I1140" s="5" t="s">
        <v>212</v>
      </c>
      <c r="N1140" s="5" t="s">
        <v>3513</v>
      </c>
      <c r="O1140" s="5">
        <v>10.91</v>
      </c>
      <c r="P1140" s="5">
        <v>11.4</v>
      </c>
      <c r="Q1140" s="5">
        <v>10.65</v>
      </c>
      <c r="R1140" s="5">
        <v>11.3</v>
      </c>
      <c r="S1140" s="5">
        <v>11.3</v>
      </c>
      <c r="T1140" s="5">
        <v>10.91</v>
      </c>
      <c r="V1140" s="5">
        <v>10.91</v>
      </c>
      <c r="Y1140" s="5">
        <v>5859</v>
      </c>
      <c r="Z1140" s="5">
        <v>64230.720000000001</v>
      </c>
      <c r="AA1140" s="5">
        <v>29</v>
      </c>
      <c r="AB1140" s="5" t="s">
        <v>85</v>
      </c>
      <c r="AC1140" s="5">
        <v>1</v>
      </c>
    </row>
    <row r="1141" spans="1:29" x14ac:dyDescent="0.3">
      <c r="A1141" s="34">
        <v>46274</v>
      </c>
      <c r="B1141" s="34">
        <v>46274</v>
      </c>
      <c r="C1141" s="5" t="s">
        <v>78</v>
      </c>
      <c r="D1141" s="5" t="s">
        <v>79</v>
      </c>
      <c r="E1141" s="5" t="s">
        <v>80</v>
      </c>
      <c r="F1141" s="5">
        <v>758572</v>
      </c>
      <c r="G1141" s="5" t="s">
        <v>3514</v>
      </c>
      <c r="H1141" s="5" t="s">
        <v>3515</v>
      </c>
      <c r="I1141" s="5" t="s">
        <v>212</v>
      </c>
      <c r="N1141" s="5" t="s">
        <v>3516</v>
      </c>
      <c r="O1141" s="5">
        <v>45.98</v>
      </c>
      <c r="P1141" s="5">
        <v>45.98</v>
      </c>
      <c r="Q1141" s="5">
        <v>43.62</v>
      </c>
      <c r="R1141" s="5">
        <v>44.72</v>
      </c>
      <c r="S1141" s="5">
        <v>45.35</v>
      </c>
      <c r="T1141" s="5">
        <v>45.34</v>
      </c>
      <c r="V1141" s="5">
        <v>44.72</v>
      </c>
      <c r="Y1141" s="5">
        <v>25542</v>
      </c>
      <c r="Z1141" s="5">
        <v>1145134.8999999999</v>
      </c>
      <c r="AA1141" s="5">
        <v>505</v>
      </c>
      <c r="AB1141" s="5" t="s">
        <v>85</v>
      </c>
      <c r="AC1141" s="5">
        <v>1</v>
      </c>
    </row>
    <row r="1142" spans="1:29" x14ac:dyDescent="0.3">
      <c r="A1142" s="34">
        <v>46274</v>
      </c>
      <c r="B1142" s="34">
        <v>46274</v>
      </c>
      <c r="C1142" s="5" t="s">
        <v>78</v>
      </c>
      <c r="D1142" s="5" t="s">
        <v>79</v>
      </c>
      <c r="E1142" s="5" t="s">
        <v>80</v>
      </c>
      <c r="F1142" s="5">
        <v>393</v>
      </c>
      <c r="G1142" s="5" t="s">
        <v>3517</v>
      </c>
      <c r="H1142" s="5" t="s">
        <v>3518</v>
      </c>
      <c r="I1142" s="5" t="s">
        <v>212</v>
      </c>
      <c r="N1142" s="5" t="s">
        <v>3519</v>
      </c>
      <c r="O1142" s="5">
        <v>1.88</v>
      </c>
      <c r="P1142" s="5">
        <v>1.88</v>
      </c>
      <c r="Q1142" s="5">
        <v>1.8</v>
      </c>
      <c r="R1142" s="5">
        <v>1.82</v>
      </c>
      <c r="S1142" s="5">
        <v>1.85</v>
      </c>
      <c r="T1142" s="5">
        <v>1.87</v>
      </c>
      <c r="V1142" s="5">
        <v>1.82</v>
      </c>
      <c r="Y1142" s="5">
        <v>384976</v>
      </c>
      <c r="Z1142" s="5">
        <v>707450.68</v>
      </c>
      <c r="AA1142" s="5">
        <v>318</v>
      </c>
      <c r="AB1142" s="5" t="s">
        <v>85</v>
      </c>
      <c r="AC1142" s="5">
        <v>1</v>
      </c>
    </row>
    <row r="1143" spans="1:29" x14ac:dyDescent="0.3">
      <c r="A1143" s="34">
        <v>46274</v>
      </c>
      <c r="B1143" s="34">
        <v>46274</v>
      </c>
      <c r="C1143" s="5" t="s">
        <v>78</v>
      </c>
      <c r="D1143" s="5" t="s">
        <v>79</v>
      </c>
      <c r="E1143" s="5" t="s">
        <v>80</v>
      </c>
      <c r="F1143" s="5">
        <v>761025</v>
      </c>
      <c r="G1143" s="5" t="s">
        <v>3520</v>
      </c>
      <c r="H1143" s="5" t="s">
        <v>3521</v>
      </c>
      <c r="I1143" s="5" t="s">
        <v>212</v>
      </c>
      <c r="N1143" s="5" t="s">
        <v>3522</v>
      </c>
      <c r="O1143" s="5">
        <v>24.02</v>
      </c>
      <c r="P1143" s="5">
        <v>24.49</v>
      </c>
      <c r="Q1143" s="5">
        <v>23.63</v>
      </c>
      <c r="R1143" s="5">
        <v>24.4</v>
      </c>
      <c r="S1143" s="5">
        <v>24.39</v>
      </c>
      <c r="T1143" s="5">
        <v>24.53</v>
      </c>
      <c r="V1143" s="5">
        <v>24.4</v>
      </c>
      <c r="Y1143" s="5">
        <v>186663</v>
      </c>
      <c r="Z1143" s="5">
        <v>4545081.3600000003</v>
      </c>
      <c r="AA1143" s="5">
        <v>569</v>
      </c>
      <c r="AB1143" s="5" t="s">
        <v>85</v>
      </c>
      <c r="AC1143" s="5">
        <v>1</v>
      </c>
    </row>
    <row r="1144" spans="1:29" x14ac:dyDescent="0.3">
      <c r="A1144" s="34">
        <v>46274</v>
      </c>
      <c r="B1144" s="34">
        <v>46274</v>
      </c>
      <c r="C1144" s="5" t="s">
        <v>78</v>
      </c>
      <c r="D1144" s="5" t="s">
        <v>79</v>
      </c>
      <c r="E1144" s="5" t="s">
        <v>80</v>
      </c>
      <c r="F1144" s="5">
        <v>9764</v>
      </c>
      <c r="G1144" s="5" t="s">
        <v>3523</v>
      </c>
      <c r="H1144" s="5" t="s">
        <v>3524</v>
      </c>
      <c r="I1144" s="5" t="s">
        <v>313</v>
      </c>
      <c r="N1144" s="5" t="s">
        <v>3525</v>
      </c>
      <c r="O1144" s="5">
        <v>11.7</v>
      </c>
      <c r="P1144" s="5">
        <v>11.8</v>
      </c>
      <c r="Q1144" s="5">
        <v>11.3</v>
      </c>
      <c r="R1144" s="5">
        <v>11.6</v>
      </c>
      <c r="S1144" s="5">
        <v>11.75</v>
      </c>
      <c r="T1144" s="5">
        <v>11.25</v>
      </c>
      <c r="V1144" s="5">
        <v>11.6</v>
      </c>
      <c r="Y1144" s="5">
        <v>69000</v>
      </c>
      <c r="Z1144" s="5">
        <v>809500</v>
      </c>
      <c r="AA1144" s="5">
        <v>36</v>
      </c>
      <c r="AB1144" s="5" t="s">
        <v>85</v>
      </c>
      <c r="AC1144" s="5">
        <v>1000</v>
      </c>
    </row>
    <row r="1145" spans="1:29" x14ac:dyDescent="0.3">
      <c r="A1145" s="34">
        <v>46274</v>
      </c>
      <c r="B1145" s="34">
        <v>46274</v>
      </c>
      <c r="C1145" s="5" t="s">
        <v>78</v>
      </c>
      <c r="D1145" s="5" t="s">
        <v>79</v>
      </c>
      <c r="E1145" s="5" t="s">
        <v>80</v>
      </c>
      <c r="F1145" s="5">
        <v>17424</v>
      </c>
      <c r="G1145" s="5" t="s">
        <v>3526</v>
      </c>
      <c r="H1145" s="5" t="s">
        <v>3527</v>
      </c>
      <c r="I1145" s="5" t="s">
        <v>212</v>
      </c>
      <c r="N1145" s="5" t="s">
        <v>3528</v>
      </c>
      <c r="O1145" s="5">
        <v>864.9</v>
      </c>
      <c r="P1145" s="5">
        <v>865</v>
      </c>
      <c r="Q1145" s="5">
        <v>847.1</v>
      </c>
      <c r="R1145" s="5">
        <v>849.8</v>
      </c>
      <c r="S1145" s="5">
        <v>848</v>
      </c>
      <c r="T1145" s="5">
        <v>861.45</v>
      </c>
      <c r="V1145" s="5">
        <v>849.8</v>
      </c>
      <c r="Y1145" s="5">
        <v>114371</v>
      </c>
      <c r="Z1145" s="5">
        <v>97516580.150000006</v>
      </c>
      <c r="AA1145" s="5">
        <v>7116</v>
      </c>
      <c r="AB1145" s="5" t="s">
        <v>85</v>
      </c>
      <c r="AC1145" s="5">
        <v>1</v>
      </c>
    </row>
    <row r="1146" spans="1:29" x14ac:dyDescent="0.3">
      <c r="A1146" s="34">
        <v>46274</v>
      </c>
      <c r="B1146" s="34">
        <v>46274</v>
      </c>
      <c r="C1146" s="5" t="s">
        <v>78</v>
      </c>
      <c r="D1146" s="5" t="s">
        <v>79</v>
      </c>
      <c r="E1146" s="5" t="s">
        <v>80</v>
      </c>
      <c r="F1146" s="5">
        <v>23590</v>
      </c>
      <c r="G1146" s="5" t="s">
        <v>3529</v>
      </c>
      <c r="H1146" s="5" t="s">
        <v>3530</v>
      </c>
      <c r="I1146" s="5" t="s">
        <v>212</v>
      </c>
      <c r="N1146" s="5" t="s">
        <v>3531</v>
      </c>
      <c r="O1146" s="5">
        <v>601</v>
      </c>
      <c r="P1146" s="5">
        <v>610</v>
      </c>
      <c r="Q1146" s="5">
        <v>595.20000000000005</v>
      </c>
      <c r="R1146" s="5">
        <v>597.54999999999995</v>
      </c>
      <c r="S1146" s="5">
        <v>595.20000000000005</v>
      </c>
      <c r="T1146" s="5">
        <v>598.79999999999995</v>
      </c>
      <c r="V1146" s="5">
        <v>599.17999999999995</v>
      </c>
      <c r="Y1146" s="5">
        <v>418</v>
      </c>
      <c r="Z1146" s="5">
        <v>250510.75</v>
      </c>
      <c r="AA1146" s="5">
        <v>56</v>
      </c>
      <c r="AB1146" s="5" t="s">
        <v>85</v>
      </c>
      <c r="AC1146" s="5">
        <v>1</v>
      </c>
    </row>
    <row r="1147" spans="1:29" x14ac:dyDescent="0.3">
      <c r="A1147" s="34">
        <v>46274</v>
      </c>
      <c r="B1147" s="34">
        <v>46274</v>
      </c>
      <c r="C1147" s="5" t="s">
        <v>78</v>
      </c>
      <c r="D1147" s="5" t="s">
        <v>79</v>
      </c>
      <c r="E1147" s="5" t="s">
        <v>80</v>
      </c>
      <c r="F1147" s="5">
        <v>760116</v>
      </c>
      <c r="G1147" s="5" t="s">
        <v>3532</v>
      </c>
      <c r="H1147" s="5" t="s">
        <v>3533</v>
      </c>
      <c r="I1147" s="5" t="s">
        <v>212</v>
      </c>
      <c r="N1147" s="5" t="s">
        <v>3534</v>
      </c>
      <c r="O1147" s="5">
        <v>56.51</v>
      </c>
      <c r="P1147" s="5">
        <v>59.48</v>
      </c>
      <c r="Q1147" s="5">
        <v>56.5</v>
      </c>
      <c r="R1147" s="5">
        <v>59.03</v>
      </c>
      <c r="S1147" s="5">
        <v>59.27</v>
      </c>
      <c r="T1147" s="5">
        <v>57.13</v>
      </c>
      <c r="V1147" s="5">
        <v>59.03</v>
      </c>
      <c r="Y1147" s="5">
        <v>58650</v>
      </c>
      <c r="Z1147" s="5">
        <v>3421758.98</v>
      </c>
      <c r="AA1147" s="5">
        <v>1208</v>
      </c>
      <c r="AB1147" s="5" t="s">
        <v>85</v>
      </c>
      <c r="AC1147" s="5">
        <v>1</v>
      </c>
    </row>
    <row r="1148" spans="1:29" x14ac:dyDescent="0.3">
      <c r="A1148" s="34">
        <v>46274</v>
      </c>
      <c r="B1148" s="34">
        <v>46274</v>
      </c>
      <c r="C1148" s="5" t="s">
        <v>78</v>
      </c>
      <c r="D1148" s="5" t="s">
        <v>79</v>
      </c>
      <c r="E1148" s="5" t="s">
        <v>80</v>
      </c>
      <c r="F1148" s="5">
        <v>1570</v>
      </c>
      <c r="G1148" s="5" t="s">
        <v>3535</v>
      </c>
      <c r="H1148" s="5" t="s">
        <v>3536</v>
      </c>
      <c r="I1148" s="5" t="s">
        <v>212</v>
      </c>
      <c r="N1148" s="5" t="s">
        <v>3537</v>
      </c>
      <c r="O1148" s="5">
        <v>1305</v>
      </c>
      <c r="P1148" s="5">
        <v>1352</v>
      </c>
      <c r="Q1148" s="5">
        <v>1297.7</v>
      </c>
      <c r="R1148" s="5">
        <v>1305.4000000000001</v>
      </c>
      <c r="S1148" s="5">
        <v>1305</v>
      </c>
      <c r="T1148" s="5">
        <v>1285.2</v>
      </c>
      <c r="V1148" s="5">
        <v>1305.3599999999999</v>
      </c>
      <c r="Y1148" s="5">
        <v>875591</v>
      </c>
      <c r="Z1148" s="5">
        <v>1155925983.9000001</v>
      </c>
      <c r="AA1148" s="5">
        <v>51019</v>
      </c>
      <c r="AB1148" s="5" t="s">
        <v>85</v>
      </c>
      <c r="AC1148" s="5">
        <v>1</v>
      </c>
    </row>
    <row r="1149" spans="1:29" x14ac:dyDescent="0.3">
      <c r="A1149" s="34">
        <v>46274</v>
      </c>
      <c r="B1149" s="34">
        <v>46274</v>
      </c>
      <c r="C1149" s="5" t="s">
        <v>78</v>
      </c>
      <c r="D1149" s="5" t="s">
        <v>79</v>
      </c>
      <c r="E1149" s="5" t="s">
        <v>80</v>
      </c>
      <c r="F1149" s="5">
        <v>13528</v>
      </c>
      <c r="G1149" s="5" t="s">
        <v>3538</v>
      </c>
      <c r="H1149" s="5" t="s">
        <v>3539</v>
      </c>
      <c r="I1149" s="5" t="s">
        <v>212</v>
      </c>
      <c r="N1149" s="5" t="s">
        <v>3540</v>
      </c>
      <c r="O1149" s="5">
        <v>97.02</v>
      </c>
      <c r="P1149" s="5">
        <v>98.73</v>
      </c>
      <c r="Q1149" s="5">
        <v>96.26</v>
      </c>
      <c r="R1149" s="5">
        <v>98.65</v>
      </c>
      <c r="S1149" s="5">
        <v>98.65</v>
      </c>
      <c r="T1149" s="5">
        <v>97</v>
      </c>
      <c r="V1149" s="5">
        <v>98.65</v>
      </c>
      <c r="Y1149" s="5">
        <v>11994804</v>
      </c>
      <c r="Z1149" s="5">
        <v>1173244873.6700001</v>
      </c>
      <c r="AA1149" s="5">
        <v>41612</v>
      </c>
      <c r="AB1149" s="5" t="s">
        <v>85</v>
      </c>
      <c r="AC1149" s="5">
        <v>1</v>
      </c>
    </row>
    <row r="1150" spans="1:29" x14ac:dyDescent="0.3">
      <c r="A1150" s="34">
        <v>46274</v>
      </c>
      <c r="B1150" s="34">
        <v>46274</v>
      </c>
      <c r="C1150" s="5" t="s">
        <v>78</v>
      </c>
      <c r="D1150" s="5" t="s">
        <v>79</v>
      </c>
      <c r="E1150" s="5" t="s">
        <v>80</v>
      </c>
      <c r="F1150" s="5">
        <v>8529</v>
      </c>
      <c r="G1150" s="5" t="s">
        <v>3541</v>
      </c>
      <c r="H1150" s="5" t="s">
        <v>3542</v>
      </c>
      <c r="I1150" s="5" t="s">
        <v>212</v>
      </c>
      <c r="N1150" s="5" t="s">
        <v>3543</v>
      </c>
      <c r="O1150" s="5">
        <v>96.2</v>
      </c>
      <c r="P1150" s="5">
        <v>96.55</v>
      </c>
      <c r="Q1150" s="5">
        <v>94</v>
      </c>
      <c r="R1150" s="5">
        <v>94.82</v>
      </c>
      <c r="S1150" s="5">
        <v>94.51</v>
      </c>
      <c r="T1150" s="5">
        <v>95.61</v>
      </c>
      <c r="V1150" s="5">
        <v>94.82</v>
      </c>
      <c r="Y1150" s="5">
        <v>1211553</v>
      </c>
      <c r="Z1150" s="5">
        <v>115200614.84</v>
      </c>
      <c r="AA1150" s="5">
        <v>9148</v>
      </c>
      <c r="AB1150" s="5" t="s">
        <v>85</v>
      </c>
      <c r="AC1150" s="5">
        <v>1</v>
      </c>
    </row>
    <row r="1151" spans="1:29" x14ac:dyDescent="0.3">
      <c r="A1151" s="34">
        <v>46274</v>
      </c>
      <c r="B1151" s="34">
        <v>46274</v>
      </c>
      <c r="C1151" s="5" t="s">
        <v>78</v>
      </c>
      <c r="D1151" s="5" t="s">
        <v>79</v>
      </c>
      <c r="E1151" s="5" t="s">
        <v>80</v>
      </c>
      <c r="F1151" s="5">
        <v>18571</v>
      </c>
      <c r="G1151" s="5" t="s">
        <v>3544</v>
      </c>
      <c r="H1151" s="5" t="s">
        <v>3545</v>
      </c>
      <c r="I1151" s="5" t="s">
        <v>212</v>
      </c>
      <c r="N1151" s="5" t="s">
        <v>3546</v>
      </c>
      <c r="O1151" s="5">
        <v>558</v>
      </c>
      <c r="P1151" s="5">
        <v>562</v>
      </c>
      <c r="Q1151" s="5">
        <v>536.5</v>
      </c>
      <c r="R1151" s="5">
        <v>539.54999999999995</v>
      </c>
      <c r="S1151" s="5">
        <v>541.9</v>
      </c>
      <c r="T1151" s="5">
        <v>553.4</v>
      </c>
      <c r="V1151" s="5">
        <v>539.58000000000004</v>
      </c>
      <c r="Y1151" s="5">
        <v>303293</v>
      </c>
      <c r="Z1151" s="5">
        <v>166056253.65000001</v>
      </c>
      <c r="AA1151" s="5">
        <v>10605</v>
      </c>
      <c r="AB1151" s="5" t="s">
        <v>85</v>
      </c>
      <c r="AC1151" s="5">
        <v>1</v>
      </c>
    </row>
    <row r="1152" spans="1:29" x14ac:dyDescent="0.3">
      <c r="A1152" s="34">
        <v>46274</v>
      </c>
      <c r="B1152" s="34">
        <v>46274</v>
      </c>
      <c r="C1152" s="5" t="s">
        <v>78</v>
      </c>
      <c r="D1152" s="5" t="s">
        <v>79</v>
      </c>
      <c r="E1152" s="5" t="s">
        <v>80</v>
      </c>
      <c r="F1152" s="5">
        <v>757862</v>
      </c>
      <c r="G1152" s="5" t="s">
        <v>3547</v>
      </c>
      <c r="H1152" s="5" t="s">
        <v>3548</v>
      </c>
      <c r="I1152" s="5" t="s">
        <v>212</v>
      </c>
      <c r="N1152" s="5" t="s">
        <v>3549</v>
      </c>
      <c r="O1152" s="5">
        <v>672.2</v>
      </c>
      <c r="P1152" s="5">
        <v>687.75</v>
      </c>
      <c r="Q1152" s="5">
        <v>658</v>
      </c>
      <c r="R1152" s="5">
        <v>675.8</v>
      </c>
      <c r="S1152" s="5">
        <v>676.5</v>
      </c>
      <c r="T1152" s="5">
        <v>665.15</v>
      </c>
      <c r="V1152" s="5">
        <v>675.79</v>
      </c>
      <c r="Y1152" s="5">
        <v>1154375</v>
      </c>
      <c r="Z1152" s="5">
        <v>779906059.39999998</v>
      </c>
      <c r="AA1152" s="5">
        <v>38503</v>
      </c>
      <c r="AB1152" s="5" t="s">
        <v>85</v>
      </c>
      <c r="AC1152" s="5">
        <v>1</v>
      </c>
    </row>
    <row r="1153" spans="1:29" x14ac:dyDescent="0.3">
      <c r="A1153" s="34">
        <v>46274</v>
      </c>
      <c r="B1153" s="34">
        <v>46274</v>
      </c>
      <c r="C1153" s="5" t="s">
        <v>78</v>
      </c>
      <c r="D1153" s="5" t="s">
        <v>79</v>
      </c>
      <c r="E1153" s="5" t="s">
        <v>80</v>
      </c>
      <c r="F1153" s="5">
        <v>23799</v>
      </c>
      <c r="G1153" s="5" t="s">
        <v>3550</v>
      </c>
      <c r="H1153" s="5" t="s">
        <v>3551</v>
      </c>
      <c r="I1153" s="5" t="s">
        <v>212</v>
      </c>
      <c r="N1153" s="5" t="s">
        <v>3552</v>
      </c>
      <c r="O1153" s="5">
        <v>256.25</v>
      </c>
      <c r="P1153" s="5">
        <v>259.05</v>
      </c>
      <c r="Q1153" s="5">
        <v>252.9</v>
      </c>
      <c r="R1153" s="5">
        <v>253.3</v>
      </c>
      <c r="S1153" s="5">
        <v>252.9</v>
      </c>
      <c r="T1153" s="5">
        <v>259.14999999999998</v>
      </c>
      <c r="V1153" s="5">
        <v>253.31</v>
      </c>
      <c r="Y1153" s="5">
        <v>187554</v>
      </c>
      <c r="Z1153" s="5">
        <v>47611094.450000003</v>
      </c>
      <c r="AA1153" s="5">
        <v>7171</v>
      </c>
      <c r="AB1153" s="5" t="s">
        <v>85</v>
      </c>
      <c r="AC1153" s="5">
        <v>1</v>
      </c>
    </row>
    <row r="1154" spans="1:29" x14ac:dyDescent="0.3">
      <c r="A1154" s="34">
        <v>46274</v>
      </c>
      <c r="B1154" s="34">
        <v>46274</v>
      </c>
      <c r="C1154" s="5" t="s">
        <v>78</v>
      </c>
      <c r="D1154" s="5" t="s">
        <v>79</v>
      </c>
      <c r="E1154" s="5" t="s">
        <v>80</v>
      </c>
      <c r="F1154" s="5">
        <v>6964</v>
      </c>
      <c r="G1154" s="5" t="s">
        <v>3553</v>
      </c>
      <c r="H1154" s="5" t="s">
        <v>3554</v>
      </c>
      <c r="I1154" s="5" t="s">
        <v>212</v>
      </c>
      <c r="N1154" s="5" t="s">
        <v>3555</v>
      </c>
      <c r="O1154" s="5">
        <v>325</v>
      </c>
      <c r="P1154" s="5">
        <v>330.2</v>
      </c>
      <c r="Q1154" s="5">
        <v>323</v>
      </c>
      <c r="R1154" s="5">
        <v>325.85000000000002</v>
      </c>
      <c r="S1154" s="5">
        <v>325</v>
      </c>
      <c r="T1154" s="5">
        <v>327.45</v>
      </c>
      <c r="V1154" s="5">
        <v>325.83999999999997</v>
      </c>
      <c r="Y1154" s="5">
        <v>39458</v>
      </c>
      <c r="Z1154" s="5">
        <v>12822928.949999999</v>
      </c>
      <c r="AA1154" s="5">
        <v>1696</v>
      </c>
      <c r="AB1154" s="5" t="s">
        <v>85</v>
      </c>
      <c r="AC1154" s="5">
        <v>1</v>
      </c>
    </row>
    <row r="1155" spans="1:29" x14ac:dyDescent="0.3">
      <c r="A1155" s="34">
        <v>46274</v>
      </c>
      <c r="B1155" s="34">
        <v>46274</v>
      </c>
      <c r="C1155" s="5" t="s">
        <v>78</v>
      </c>
      <c r="D1155" s="5" t="s">
        <v>79</v>
      </c>
      <c r="E1155" s="5" t="s">
        <v>80</v>
      </c>
      <c r="F1155" s="5">
        <v>14687</v>
      </c>
      <c r="G1155" s="5" t="s">
        <v>3556</v>
      </c>
      <c r="H1155" s="5" t="s">
        <v>3557</v>
      </c>
      <c r="I1155" s="5" t="s">
        <v>212</v>
      </c>
      <c r="N1155" s="5" t="s">
        <v>3558</v>
      </c>
      <c r="O1155" s="5">
        <v>400</v>
      </c>
      <c r="P1155" s="5">
        <v>463.5</v>
      </c>
      <c r="Q1155" s="5">
        <v>400</v>
      </c>
      <c r="R1155" s="5">
        <v>463.5</v>
      </c>
      <c r="S1155" s="5">
        <v>463.5</v>
      </c>
      <c r="T1155" s="5">
        <v>386.25</v>
      </c>
      <c r="V1155" s="5">
        <v>463.98</v>
      </c>
      <c r="Y1155" s="5">
        <v>1188458</v>
      </c>
      <c r="Z1155" s="5">
        <v>538129419.79999995</v>
      </c>
      <c r="AA1155" s="5">
        <v>15901</v>
      </c>
      <c r="AB1155" s="5" t="s">
        <v>85</v>
      </c>
      <c r="AC1155" s="5">
        <v>1</v>
      </c>
    </row>
    <row r="1156" spans="1:29" x14ac:dyDescent="0.3">
      <c r="A1156" s="34">
        <v>46274</v>
      </c>
      <c r="B1156" s="34">
        <v>46274</v>
      </c>
      <c r="C1156" s="5" t="s">
        <v>78</v>
      </c>
      <c r="D1156" s="5" t="s">
        <v>79</v>
      </c>
      <c r="E1156" s="5" t="s">
        <v>80</v>
      </c>
      <c r="F1156" s="5">
        <v>3963</v>
      </c>
      <c r="G1156" s="5" t="s">
        <v>3559</v>
      </c>
      <c r="H1156" s="5" t="s">
        <v>3560</v>
      </c>
      <c r="I1156" s="5" t="s">
        <v>212</v>
      </c>
      <c r="N1156" s="5" t="s">
        <v>3561</v>
      </c>
      <c r="O1156" s="5">
        <v>435.95</v>
      </c>
      <c r="P1156" s="5">
        <v>439.9</v>
      </c>
      <c r="Q1156" s="5">
        <v>430</v>
      </c>
      <c r="R1156" s="5">
        <v>431.7</v>
      </c>
      <c r="S1156" s="5">
        <v>433</v>
      </c>
      <c r="T1156" s="5">
        <v>435.6</v>
      </c>
      <c r="V1156" s="5">
        <v>431.73</v>
      </c>
      <c r="Y1156" s="5">
        <v>111213</v>
      </c>
      <c r="Z1156" s="5">
        <v>48239827.950000003</v>
      </c>
      <c r="AA1156" s="5">
        <v>4432</v>
      </c>
      <c r="AB1156" s="5" t="s">
        <v>85</v>
      </c>
      <c r="AC1156" s="5">
        <v>1</v>
      </c>
    </row>
    <row r="1157" spans="1:29" x14ac:dyDescent="0.3">
      <c r="A1157" s="34">
        <v>46274</v>
      </c>
      <c r="B1157" s="34">
        <v>46274</v>
      </c>
      <c r="C1157" s="5" t="s">
        <v>78</v>
      </c>
      <c r="D1157" s="5" t="s">
        <v>79</v>
      </c>
      <c r="E1157" s="5" t="s">
        <v>80</v>
      </c>
      <c r="F1157" s="5">
        <v>25941</v>
      </c>
      <c r="G1157" s="5" t="s">
        <v>3562</v>
      </c>
      <c r="H1157" s="5" t="s">
        <v>3563</v>
      </c>
      <c r="I1157" s="5" t="s">
        <v>212</v>
      </c>
      <c r="N1157" s="5" t="s">
        <v>3564</v>
      </c>
      <c r="O1157" s="5">
        <v>243.52</v>
      </c>
      <c r="P1157" s="5">
        <v>244.19</v>
      </c>
      <c r="Q1157" s="5">
        <v>237.5</v>
      </c>
      <c r="R1157" s="5">
        <v>238.46</v>
      </c>
      <c r="S1157" s="5">
        <v>237.61</v>
      </c>
      <c r="T1157" s="5">
        <v>244.37</v>
      </c>
      <c r="V1157" s="5">
        <v>238.5</v>
      </c>
      <c r="Y1157" s="5">
        <v>53461</v>
      </c>
      <c r="Z1157" s="5">
        <v>12848249.4</v>
      </c>
      <c r="AA1157" s="5">
        <v>1540</v>
      </c>
      <c r="AB1157" s="5" t="s">
        <v>85</v>
      </c>
      <c r="AC1157" s="5">
        <v>1</v>
      </c>
    </row>
    <row r="1158" spans="1:29" x14ac:dyDescent="0.3">
      <c r="A1158" s="34">
        <v>46274</v>
      </c>
      <c r="B1158" s="34">
        <v>46274</v>
      </c>
      <c r="C1158" s="5" t="s">
        <v>78</v>
      </c>
      <c r="D1158" s="5" t="s">
        <v>79</v>
      </c>
      <c r="E1158" s="5" t="s">
        <v>80</v>
      </c>
      <c r="F1158" s="5">
        <v>13409</v>
      </c>
      <c r="G1158" s="5" t="s">
        <v>3565</v>
      </c>
      <c r="H1158" s="5" t="s">
        <v>3566</v>
      </c>
      <c r="I1158" s="5" t="s">
        <v>212</v>
      </c>
      <c r="N1158" s="5" t="s">
        <v>3567</v>
      </c>
      <c r="O1158" s="5">
        <v>245</v>
      </c>
      <c r="P1158" s="5">
        <v>255</v>
      </c>
      <c r="Q1158" s="5">
        <v>243.99</v>
      </c>
      <c r="R1158" s="5">
        <v>253.04</v>
      </c>
      <c r="S1158" s="5">
        <v>252.5</v>
      </c>
      <c r="T1158" s="5">
        <v>245.71</v>
      </c>
      <c r="V1158" s="5">
        <v>253.05</v>
      </c>
      <c r="Y1158" s="5">
        <v>3124495</v>
      </c>
      <c r="Z1158" s="5">
        <v>786000222.63999999</v>
      </c>
      <c r="AA1158" s="5">
        <v>34767</v>
      </c>
      <c r="AB1158" s="5" t="s">
        <v>85</v>
      </c>
      <c r="AC1158" s="5">
        <v>1</v>
      </c>
    </row>
    <row r="1159" spans="1:29" x14ac:dyDescent="0.3">
      <c r="A1159" s="34">
        <v>46274</v>
      </c>
      <c r="B1159" s="34">
        <v>46274</v>
      </c>
      <c r="C1159" s="5" t="s">
        <v>78</v>
      </c>
      <c r="D1159" s="5" t="s">
        <v>79</v>
      </c>
      <c r="E1159" s="5" t="s">
        <v>80</v>
      </c>
      <c r="F1159" s="5">
        <v>1181</v>
      </c>
      <c r="G1159" s="5" t="s">
        <v>3568</v>
      </c>
      <c r="H1159" s="5" t="s">
        <v>3569</v>
      </c>
      <c r="I1159" s="5" t="s">
        <v>212</v>
      </c>
      <c r="N1159" s="5" t="s">
        <v>3570</v>
      </c>
      <c r="O1159" s="5">
        <v>2010</v>
      </c>
      <c r="P1159" s="5">
        <v>2010</v>
      </c>
      <c r="Q1159" s="5">
        <v>1972</v>
      </c>
      <c r="R1159" s="5">
        <v>1978.5</v>
      </c>
      <c r="S1159" s="5">
        <v>1978.5</v>
      </c>
      <c r="T1159" s="5">
        <v>2010</v>
      </c>
      <c r="V1159" s="5">
        <v>1977.68</v>
      </c>
      <c r="Y1159" s="5">
        <v>184308</v>
      </c>
      <c r="Z1159" s="5">
        <v>365864460.89999998</v>
      </c>
      <c r="AA1159" s="5">
        <v>16916</v>
      </c>
      <c r="AB1159" s="5" t="s">
        <v>85</v>
      </c>
      <c r="AC1159" s="5">
        <v>1</v>
      </c>
    </row>
    <row r="1160" spans="1:29" x14ac:dyDescent="0.3">
      <c r="A1160" s="34">
        <v>46274</v>
      </c>
      <c r="B1160" s="34">
        <v>46274</v>
      </c>
      <c r="C1160" s="5" t="s">
        <v>78</v>
      </c>
      <c r="D1160" s="5" t="s">
        <v>79</v>
      </c>
      <c r="E1160" s="5" t="s">
        <v>80</v>
      </c>
      <c r="F1160" s="5">
        <v>144</v>
      </c>
      <c r="G1160" s="5" t="s">
        <v>3571</v>
      </c>
      <c r="H1160" s="5" t="s">
        <v>3572</v>
      </c>
      <c r="I1160" s="5" t="s">
        <v>212</v>
      </c>
      <c r="N1160" s="5" t="s">
        <v>3573</v>
      </c>
      <c r="O1160" s="5">
        <v>675</v>
      </c>
      <c r="P1160" s="5">
        <v>679.25</v>
      </c>
      <c r="Q1160" s="5">
        <v>657.9</v>
      </c>
      <c r="R1160" s="5">
        <v>674.65</v>
      </c>
      <c r="S1160" s="5">
        <v>673.5</v>
      </c>
      <c r="T1160" s="5">
        <v>673.6</v>
      </c>
      <c r="V1160" s="5">
        <v>674.65</v>
      </c>
      <c r="Y1160" s="5">
        <v>322590</v>
      </c>
      <c r="Z1160" s="5">
        <v>216921120.25</v>
      </c>
      <c r="AA1160" s="5">
        <v>16953</v>
      </c>
      <c r="AB1160" s="5" t="s">
        <v>85</v>
      </c>
      <c r="AC1160" s="5">
        <v>1</v>
      </c>
    </row>
    <row r="1161" spans="1:29" x14ac:dyDescent="0.3">
      <c r="A1161" s="34">
        <v>46274</v>
      </c>
      <c r="B1161" s="34">
        <v>46274</v>
      </c>
      <c r="C1161" s="5" t="s">
        <v>78</v>
      </c>
      <c r="D1161" s="5" t="s">
        <v>79</v>
      </c>
      <c r="E1161" s="5" t="s">
        <v>80</v>
      </c>
      <c r="F1161" s="5">
        <v>10099</v>
      </c>
      <c r="G1161" s="5" t="s">
        <v>3574</v>
      </c>
      <c r="H1161" s="5" t="s">
        <v>3575</v>
      </c>
      <c r="I1161" s="5" t="s">
        <v>212</v>
      </c>
      <c r="N1161" s="5" t="s">
        <v>3576</v>
      </c>
      <c r="O1161" s="5">
        <v>867.95</v>
      </c>
      <c r="P1161" s="5">
        <v>867.95</v>
      </c>
      <c r="Q1161" s="5">
        <v>856.1</v>
      </c>
      <c r="R1161" s="5">
        <v>863.8</v>
      </c>
      <c r="S1161" s="5">
        <v>863.8</v>
      </c>
      <c r="T1161" s="5">
        <v>865</v>
      </c>
      <c r="V1161" s="5">
        <v>863.81</v>
      </c>
      <c r="Y1161" s="5">
        <v>1440335</v>
      </c>
      <c r="Z1161" s="5">
        <v>1243362919.25</v>
      </c>
      <c r="AA1161" s="5">
        <v>28933</v>
      </c>
      <c r="AB1161" s="5" t="s">
        <v>85</v>
      </c>
      <c r="AC1161" s="5">
        <v>1</v>
      </c>
    </row>
    <row r="1162" spans="1:29" x14ac:dyDescent="0.3">
      <c r="A1162" s="34">
        <v>46274</v>
      </c>
      <c r="B1162" s="34">
        <v>46274</v>
      </c>
      <c r="C1162" s="5" t="s">
        <v>78</v>
      </c>
      <c r="D1162" s="5" t="s">
        <v>79</v>
      </c>
      <c r="E1162" s="5" t="s">
        <v>80</v>
      </c>
      <c r="F1162" s="5">
        <v>10925</v>
      </c>
      <c r="G1162" s="5" t="s">
        <v>3577</v>
      </c>
      <c r="H1162" s="5" t="s">
        <v>3578</v>
      </c>
      <c r="I1162" s="5" t="s">
        <v>212</v>
      </c>
      <c r="N1162" s="5" t="s">
        <v>3579</v>
      </c>
      <c r="O1162" s="5">
        <v>1135.5999999999999</v>
      </c>
      <c r="P1162" s="5">
        <v>1143</v>
      </c>
      <c r="Q1162" s="5">
        <v>1124.4000000000001</v>
      </c>
      <c r="R1162" s="5">
        <v>1133.4000000000001</v>
      </c>
      <c r="S1162" s="5">
        <v>1127</v>
      </c>
      <c r="T1162" s="5">
        <v>1144</v>
      </c>
      <c r="V1162" s="5">
        <v>1133.29</v>
      </c>
      <c r="Y1162" s="5">
        <v>45380</v>
      </c>
      <c r="Z1162" s="5">
        <v>51427759.600000001</v>
      </c>
      <c r="AA1162" s="5">
        <v>5786</v>
      </c>
      <c r="AB1162" s="5" t="s">
        <v>85</v>
      </c>
      <c r="AC1162" s="5">
        <v>1</v>
      </c>
    </row>
    <row r="1163" spans="1:29" x14ac:dyDescent="0.3">
      <c r="A1163" s="34">
        <v>46274</v>
      </c>
      <c r="B1163" s="34">
        <v>46274</v>
      </c>
      <c r="C1163" s="5" t="s">
        <v>78</v>
      </c>
      <c r="D1163" s="5" t="s">
        <v>79</v>
      </c>
      <c r="E1163" s="5" t="s">
        <v>80</v>
      </c>
      <c r="F1163" s="5">
        <v>17875</v>
      </c>
      <c r="G1163" s="5" t="s">
        <v>3580</v>
      </c>
      <c r="H1163" s="5" t="s">
        <v>3581</v>
      </c>
      <c r="I1163" s="5" t="s">
        <v>212</v>
      </c>
      <c r="N1163" s="5" t="s">
        <v>3582</v>
      </c>
      <c r="O1163" s="5">
        <v>1905.5</v>
      </c>
      <c r="P1163" s="5">
        <v>1908.2</v>
      </c>
      <c r="Q1163" s="5">
        <v>1855</v>
      </c>
      <c r="R1163" s="5">
        <v>1857.1</v>
      </c>
      <c r="S1163" s="5">
        <v>1857.1</v>
      </c>
      <c r="T1163" s="5">
        <v>1906.6</v>
      </c>
      <c r="V1163" s="5">
        <v>1857.1</v>
      </c>
      <c r="Y1163" s="5">
        <v>538632</v>
      </c>
      <c r="Z1163" s="5">
        <v>1011781504.3</v>
      </c>
      <c r="AA1163" s="5">
        <v>21317</v>
      </c>
      <c r="AB1163" s="5" t="s">
        <v>85</v>
      </c>
      <c r="AC1163" s="5">
        <v>1</v>
      </c>
    </row>
    <row r="1164" spans="1:29" x14ac:dyDescent="0.3">
      <c r="A1164" s="34">
        <v>46274</v>
      </c>
      <c r="B1164" s="34">
        <v>46274</v>
      </c>
      <c r="C1164" s="5" t="s">
        <v>78</v>
      </c>
      <c r="D1164" s="5" t="s">
        <v>79</v>
      </c>
      <c r="E1164" s="5" t="s">
        <v>80</v>
      </c>
      <c r="F1164" s="5">
        <v>765280</v>
      </c>
      <c r="G1164" s="5" t="s">
        <v>3583</v>
      </c>
      <c r="H1164" s="5" t="s">
        <v>3584</v>
      </c>
      <c r="I1164" s="5" t="s">
        <v>3585</v>
      </c>
      <c r="N1164" s="5" t="s">
        <v>3586</v>
      </c>
      <c r="O1164" s="5">
        <v>100</v>
      </c>
      <c r="P1164" s="5">
        <v>100</v>
      </c>
      <c r="Q1164" s="5">
        <v>100</v>
      </c>
      <c r="R1164" s="5">
        <v>100</v>
      </c>
      <c r="S1164" s="5">
        <v>100</v>
      </c>
      <c r="T1164" s="5">
        <v>99</v>
      </c>
      <c r="V1164" s="5">
        <v>100</v>
      </c>
      <c r="Y1164" s="5">
        <v>800</v>
      </c>
      <c r="Z1164" s="5">
        <v>80000</v>
      </c>
      <c r="AA1164" s="5">
        <v>2</v>
      </c>
      <c r="AB1164" s="5" t="s">
        <v>85</v>
      </c>
      <c r="AC1164" s="5">
        <v>1</v>
      </c>
    </row>
    <row r="1165" spans="1:29" x14ac:dyDescent="0.3">
      <c r="A1165" s="34">
        <v>46274</v>
      </c>
      <c r="B1165" s="34">
        <v>46274</v>
      </c>
      <c r="C1165" s="5" t="s">
        <v>78</v>
      </c>
      <c r="D1165" s="5" t="s">
        <v>79</v>
      </c>
      <c r="E1165" s="5" t="s">
        <v>80</v>
      </c>
      <c r="F1165" s="5">
        <v>28894</v>
      </c>
      <c r="G1165" s="5" t="s">
        <v>3587</v>
      </c>
      <c r="H1165" s="5" t="s">
        <v>3588</v>
      </c>
      <c r="I1165" s="5" t="s">
        <v>3585</v>
      </c>
      <c r="N1165" s="5" t="s">
        <v>3589</v>
      </c>
      <c r="O1165" s="5">
        <v>101</v>
      </c>
      <c r="P1165" s="5">
        <v>101</v>
      </c>
      <c r="Q1165" s="5">
        <v>101</v>
      </c>
      <c r="R1165" s="5">
        <v>101</v>
      </c>
      <c r="S1165" s="5">
        <v>101</v>
      </c>
      <c r="T1165" s="5">
        <v>100.5</v>
      </c>
      <c r="V1165" s="5">
        <v>101</v>
      </c>
      <c r="Y1165" s="5">
        <v>500</v>
      </c>
      <c r="Z1165" s="5">
        <v>50500</v>
      </c>
      <c r="AA1165" s="5">
        <v>1</v>
      </c>
      <c r="AB1165" s="5" t="s">
        <v>85</v>
      </c>
      <c r="AC1165" s="5">
        <v>1</v>
      </c>
    </row>
    <row r="1166" spans="1:29" x14ac:dyDescent="0.3">
      <c r="A1166" s="34">
        <v>46274</v>
      </c>
      <c r="B1166" s="34">
        <v>46274</v>
      </c>
      <c r="C1166" s="5" t="s">
        <v>78</v>
      </c>
      <c r="D1166" s="5" t="s">
        <v>79</v>
      </c>
      <c r="E1166" s="5" t="s">
        <v>80</v>
      </c>
      <c r="F1166" s="5">
        <v>27273</v>
      </c>
      <c r="G1166" s="5" t="s">
        <v>3590</v>
      </c>
      <c r="H1166" s="5" t="s">
        <v>3591</v>
      </c>
      <c r="I1166" s="5" t="s">
        <v>3585</v>
      </c>
      <c r="N1166" s="5" t="s">
        <v>3592</v>
      </c>
      <c r="O1166" s="5">
        <v>99.99</v>
      </c>
      <c r="P1166" s="5">
        <v>99.99</v>
      </c>
      <c r="Q1166" s="5">
        <v>99.99</v>
      </c>
      <c r="R1166" s="5">
        <v>99.99</v>
      </c>
      <c r="S1166" s="5">
        <v>99.99</v>
      </c>
      <c r="T1166" s="5">
        <v>101</v>
      </c>
      <c r="V1166" s="5">
        <v>99.99</v>
      </c>
      <c r="Y1166" s="5">
        <v>1</v>
      </c>
      <c r="Z1166" s="5">
        <v>99.99</v>
      </c>
      <c r="AA1166" s="5">
        <v>1</v>
      </c>
      <c r="AB1166" s="5" t="s">
        <v>85</v>
      </c>
      <c r="AC1166" s="5">
        <v>1</v>
      </c>
    </row>
    <row r="1167" spans="1:29" x14ac:dyDescent="0.3">
      <c r="A1167" s="34">
        <v>46274</v>
      </c>
      <c r="B1167" s="34">
        <v>46274</v>
      </c>
      <c r="C1167" s="5" t="s">
        <v>78</v>
      </c>
      <c r="D1167" s="5" t="s">
        <v>79</v>
      </c>
      <c r="E1167" s="5" t="s">
        <v>80</v>
      </c>
      <c r="F1167" s="5">
        <v>27127</v>
      </c>
      <c r="G1167" s="5" t="s">
        <v>3593</v>
      </c>
      <c r="H1167" s="5" t="s">
        <v>3594</v>
      </c>
      <c r="I1167" s="5" t="s">
        <v>3585</v>
      </c>
      <c r="N1167" s="5" t="s">
        <v>3595</v>
      </c>
      <c r="O1167" s="5">
        <v>99.01</v>
      </c>
      <c r="P1167" s="5">
        <v>99.01</v>
      </c>
      <c r="Q1167" s="5">
        <v>99.01</v>
      </c>
      <c r="R1167" s="5">
        <v>99.01</v>
      </c>
      <c r="S1167" s="5">
        <v>99.01</v>
      </c>
      <c r="T1167" s="5">
        <v>99.29</v>
      </c>
      <c r="V1167" s="5">
        <v>99.01</v>
      </c>
      <c r="Y1167" s="5">
        <v>400</v>
      </c>
      <c r="Z1167" s="5">
        <v>39604</v>
      </c>
      <c r="AA1167" s="5">
        <v>1</v>
      </c>
      <c r="AB1167" s="5" t="s">
        <v>85</v>
      </c>
      <c r="AC1167" s="5">
        <v>1</v>
      </c>
    </row>
    <row r="1168" spans="1:29" x14ac:dyDescent="0.3">
      <c r="A1168" s="34">
        <v>46274</v>
      </c>
      <c r="B1168" s="34">
        <v>46274</v>
      </c>
      <c r="C1168" s="5" t="s">
        <v>78</v>
      </c>
      <c r="D1168" s="5" t="s">
        <v>79</v>
      </c>
      <c r="E1168" s="5" t="s">
        <v>80</v>
      </c>
      <c r="F1168" s="5">
        <v>24705</v>
      </c>
      <c r="G1168" s="5" t="s">
        <v>3596</v>
      </c>
      <c r="H1168" s="5" t="s">
        <v>3597</v>
      </c>
      <c r="I1168" s="5" t="s">
        <v>3585</v>
      </c>
      <c r="N1168" s="5" t="s">
        <v>3598</v>
      </c>
      <c r="O1168" s="5">
        <v>98</v>
      </c>
      <c r="P1168" s="5">
        <v>98</v>
      </c>
      <c r="Q1168" s="5">
        <v>98</v>
      </c>
      <c r="R1168" s="5">
        <v>98</v>
      </c>
      <c r="S1168" s="5">
        <v>98</v>
      </c>
      <c r="T1168" s="5">
        <v>101.25</v>
      </c>
      <c r="V1168" s="5">
        <v>98</v>
      </c>
      <c r="Y1168" s="5">
        <v>10</v>
      </c>
      <c r="Z1168" s="5">
        <v>980</v>
      </c>
      <c r="AA1168" s="5">
        <v>1</v>
      </c>
      <c r="AB1168" s="5" t="s">
        <v>85</v>
      </c>
      <c r="AC1168" s="5">
        <v>1</v>
      </c>
    </row>
    <row r="1169" spans="1:29" x14ac:dyDescent="0.3">
      <c r="A1169" s="34">
        <v>46274</v>
      </c>
      <c r="B1169" s="34">
        <v>46274</v>
      </c>
      <c r="C1169" s="5" t="s">
        <v>78</v>
      </c>
      <c r="D1169" s="5" t="s">
        <v>79</v>
      </c>
      <c r="E1169" s="5" t="s">
        <v>80</v>
      </c>
      <c r="F1169" s="5">
        <v>27819</v>
      </c>
      <c r="G1169" s="5" t="s">
        <v>3599</v>
      </c>
      <c r="H1169" s="5" t="s">
        <v>3600</v>
      </c>
      <c r="I1169" s="5" t="s">
        <v>3585</v>
      </c>
      <c r="N1169" s="5" t="s">
        <v>3601</v>
      </c>
      <c r="O1169" s="5">
        <v>94.5</v>
      </c>
      <c r="P1169" s="5">
        <v>94.5</v>
      </c>
      <c r="Q1169" s="5">
        <v>94.5</v>
      </c>
      <c r="R1169" s="5">
        <v>94.5</v>
      </c>
      <c r="S1169" s="5">
        <v>94.5</v>
      </c>
      <c r="T1169" s="5">
        <v>94.5</v>
      </c>
      <c r="V1169" s="5">
        <v>94.5</v>
      </c>
      <c r="Y1169" s="5">
        <v>50</v>
      </c>
      <c r="Z1169" s="5">
        <v>4725</v>
      </c>
      <c r="AA1169" s="5">
        <v>1</v>
      </c>
      <c r="AB1169" s="5" t="s">
        <v>85</v>
      </c>
      <c r="AC1169" s="5">
        <v>1</v>
      </c>
    </row>
    <row r="1170" spans="1:29" x14ac:dyDescent="0.3">
      <c r="A1170" s="34">
        <v>46274</v>
      </c>
      <c r="B1170" s="34">
        <v>46274</v>
      </c>
      <c r="C1170" s="5" t="s">
        <v>78</v>
      </c>
      <c r="D1170" s="5" t="s">
        <v>79</v>
      </c>
      <c r="E1170" s="5" t="s">
        <v>80</v>
      </c>
      <c r="F1170" s="5">
        <v>27170</v>
      </c>
      <c r="G1170" s="5" t="s">
        <v>3602</v>
      </c>
      <c r="H1170" s="5" t="s">
        <v>3603</v>
      </c>
      <c r="I1170" s="5" t="s">
        <v>3585</v>
      </c>
      <c r="N1170" s="5" t="s">
        <v>3604</v>
      </c>
      <c r="O1170" s="5">
        <v>95.8</v>
      </c>
      <c r="P1170" s="5">
        <v>95.8</v>
      </c>
      <c r="Q1170" s="5">
        <v>95</v>
      </c>
      <c r="R1170" s="5">
        <v>95.3</v>
      </c>
      <c r="S1170" s="5">
        <v>95.3</v>
      </c>
      <c r="T1170" s="5">
        <v>95.5</v>
      </c>
      <c r="V1170" s="5">
        <v>95.3</v>
      </c>
      <c r="Y1170" s="5">
        <v>5613</v>
      </c>
      <c r="Z1170" s="5">
        <v>534608.35</v>
      </c>
      <c r="AA1170" s="5">
        <v>37</v>
      </c>
      <c r="AB1170" s="5" t="s">
        <v>85</v>
      </c>
      <c r="AC1170" s="5">
        <v>1</v>
      </c>
    </row>
    <row r="1171" spans="1:29" x14ac:dyDescent="0.3">
      <c r="A1171" s="34">
        <v>46274</v>
      </c>
      <c r="B1171" s="34">
        <v>46274</v>
      </c>
      <c r="C1171" s="5" t="s">
        <v>78</v>
      </c>
      <c r="D1171" s="5" t="s">
        <v>79</v>
      </c>
      <c r="E1171" s="5" t="s">
        <v>80</v>
      </c>
      <c r="F1171" s="5">
        <v>6695</v>
      </c>
      <c r="G1171" s="5" t="s">
        <v>3605</v>
      </c>
      <c r="H1171" s="5" t="s">
        <v>3606</v>
      </c>
      <c r="I1171" s="5" t="s">
        <v>3585</v>
      </c>
      <c r="N1171" s="5" t="s">
        <v>3607</v>
      </c>
      <c r="O1171" s="5">
        <v>101.21</v>
      </c>
      <c r="P1171" s="5">
        <v>101.21</v>
      </c>
      <c r="Q1171" s="5">
        <v>101.21</v>
      </c>
      <c r="R1171" s="5">
        <v>101.21</v>
      </c>
      <c r="S1171" s="5">
        <v>101.21</v>
      </c>
      <c r="T1171" s="5">
        <v>101.95</v>
      </c>
      <c r="V1171" s="5">
        <v>101.21</v>
      </c>
      <c r="Y1171" s="5">
        <v>1</v>
      </c>
      <c r="Z1171" s="5">
        <v>101.21</v>
      </c>
      <c r="AA1171" s="5">
        <v>1</v>
      </c>
      <c r="AB1171" s="5" t="s">
        <v>85</v>
      </c>
      <c r="AC1171" s="5">
        <v>1</v>
      </c>
    </row>
    <row r="1172" spans="1:29" x14ac:dyDescent="0.3">
      <c r="A1172" s="34">
        <v>46274</v>
      </c>
      <c r="B1172" s="34">
        <v>46274</v>
      </c>
      <c r="C1172" s="5" t="s">
        <v>78</v>
      </c>
      <c r="D1172" s="5" t="s">
        <v>79</v>
      </c>
      <c r="E1172" s="5" t="s">
        <v>80</v>
      </c>
      <c r="F1172" s="5">
        <v>5012</v>
      </c>
      <c r="G1172" s="5" t="s">
        <v>3608</v>
      </c>
      <c r="H1172" s="5" t="s">
        <v>3609</v>
      </c>
      <c r="I1172" s="5" t="s">
        <v>3585</v>
      </c>
      <c r="N1172" s="5" t="s">
        <v>3610</v>
      </c>
      <c r="O1172" s="5">
        <v>99.99</v>
      </c>
      <c r="P1172" s="5">
        <v>99.99</v>
      </c>
      <c r="Q1172" s="5">
        <v>99.99</v>
      </c>
      <c r="R1172" s="5">
        <v>99.99</v>
      </c>
      <c r="S1172" s="5">
        <v>99.99</v>
      </c>
      <c r="T1172" s="5">
        <v>99.99</v>
      </c>
      <c r="V1172" s="5">
        <v>99.99</v>
      </c>
      <c r="Y1172" s="5">
        <v>1</v>
      </c>
      <c r="Z1172" s="5">
        <v>99.99</v>
      </c>
      <c r="AA1172" s="5">
        <v>1</v>
      </c>
      <c r="AB1172" s="5" t="s">
        <v>85</v>
      </c>
      <c r="AC1172" s="5">
        <v>1</v>
      </c>
    </row>
    <row r="1173" spans="1:29" x14ac:dyDescent="0.3">
      <c r="A1173" s="34">
        <v>46274</v>
      </c>
      <c r="B1173" s="34">
        <v>46274</v>
      </c>
      <c r="C1173" s="5" t="s">
        <v>78</v>
      </c>
      <c r="D1173" s="5" t="s">
        <v>79</v>
      </c>
      <c r="E1173" s="5" t="s">
        <v>80</v>
      </c>
      <c r="F1173" s="5">
        <v>756890</v>
      </c>
      <c r="G1173" s="5" t="s">
        <v>3611</v>
      </c>
      <c r="H1173" s="5" t="s">
        <v>3612</v>
      </c>
      <c r="I1173" s="5" t="s">
        <v>3585</v>
      </c>
      <c r="N1173" s="5" t="s">
        <v>3613</v>
      </c>
      <c r="O1173" s="5">
        <v>101</v>
      </c>
      <c r="P1173" s="5">
        <v>101</v>
      </c>
      <c r="Q1173" s="5">
        <v>99</v>
      </c>
      <c r="R1173" s="5">
        <v>99</v>
      </c>
      <c r="S1173" s="5">
        <v>99</v>
      </c>
      <c r="T1173" s="5">
        <v>99.3</v>
      </c>
      <c r="V1173" s="5">
        <v>99</v>
      </c>
      <c r="Y1173" s="5">
        <v>3994</v>
      </c>
      <c r="Z1173" s="5">
        <v>395408</v>
      </c>
      <c r="AA1173" s="5">
        <v>3</v>
      </c>
      <c r="AB1173" s="5" t="s">
        <v>85</v>
      </c>
      <c r="AC1173" s="5">
        <v>1</v>
      </c>
    </row>
    <row r="1174" spans="1:29" x14ac:dyDescent="0.3">
      <c r="A1174" s="34">
        <v>46274</v>
      </c>
      <c r="B1174" s="34">
        <v>46274</v>
      </c>
      <c r="C1174" s="5" t="s">
        <v>78</v>
      </c>
      <c r="D1174" s="5" t="s">
        <v>79</v>
      </c>
      <c r="E1174" s="5" t="s">
        <v>80</v>
      </c>
      <c r="F1174" s="5">
        <v>761020</v>
      </c>
      <c r="G1174" s="5" t="s">
        <v>3614</v>
      </c>
      <c r="H1174" s="5" t="s">
        <v>3615</v>
      </c>
      <c r="I1174" s="5" t="s">
        <v>3585</v>
      </c>
      <c r="N1174" s="5" t="s">
        <v>3616</v>
      </c>
      <c r="O1174" s="5">
        <v>99.5</v>
      </c>
      <c r="P1174" s="5">
        <v>99.5</v>
      </c>
      <c r="Q1174" s="5">
        <v>99</v>
      </c>
      <c r="R1174" s="5">
        <v>99</v>
      </c>
      <c r="S1174" s="5">
        <v>99.5</v>
      </c>
      <c r="T1174" s="5">
        <v>99.5</v>
      </c>
      <c r="V1174" s="5">
        <v>99</v>
      </c>
      <c r="Y1174" s="5">
        <v>793</v>
      </c>
      <c r="Z1174" s="5">
        <v>78512.78</v>
      </c>
      <c r="AA1174" s="5">
        <v>4</v>
      </c>
      <c r="AB1174" s="5" t="s">
        <v>85</v>
      </c>
      <c r="AC1174" s="5">
        <v>1</v>
      </c>
    </row>
    <row r="1175" spans="1:29" x14ac:dyDescent="0.3">
      <c r="A1175" s="34">
        <v>46274</v>
      </c>
      <c r="B1175" s="34">
        <v>46274</v>
      </c>
      <c r="C1175" s="5" t="s">
        <v>78</v>
      </c>
      <c r="D1175" s="5" t="s">
        <v>79</v>
      </c>
      <c r="E1175" s="5" t="s">
        <v>80</v>
      </c>
      <c r="F1175" s="5">
        <v>759396</v>
      </c>
      <c r="G1175" s="5" t="s">
        <v>3617</v>
      </c>
      <c r="H1175" s="5" t="s">
        <v>3618</v>
      </c>
      <c r="I1175" s="5" t="s">
        <v>3585</v>
      </c>
      <c r="N1175" s="5" t="s">
        <v>3619</v>
      </c>
      <c r="O1175" s="5">
        <v>98.11</v>
      </c>
      <c r="P1175" s="5">
        <v>101.2</v>
      </c>
      <c r="Q1175" s="5">
        <v>98.11</v>
      </c>
      <c r="R1175" s="5">
        <v>101.2</v>
      </c>
      <c r="S1175" s="5">
        <v>101.2</v>
      </c>
      <c r="T1175" s="5">
        <v>98.6</v>
      </c>
      <c r="V1175" s="5">
        <v>101.2</v>
      </c>
      <c r="Y1175" s="5">
        <v>5601</v>
      </c>
      <c r="Z1175" s="5">
        <v>559663.19999999995</v>
      </c>
      <c r="AA1175" s="5">
        <v>9</v>
      </c>
      <c r="AB1175" s="5" t="s">
        <v>85</v>
      </c>
      <c r="AC1175" s="5">
        <v>1</v>
      </c>
    </row>
    <row r="1176" spans="1:29" x14ac:dyDescent="0.3">
      <c r="A1176" s="34">
        <v>46274</v>
      </c>
      <c r="B1176" s="34">
        <v>46274</v>
      </c>
      <c r="C1176" s="5" t="s">
        <v>78</v>
      </c>
      <c r="D1176" s="5" t="s">
        <v>79</v>
      </c>
      <c r="E1176" s="5" t="s">
        <v>80</v>
      </c>
      <c r="F1176" s="5">
        <v>7843</v>
      </c>
      <c r="G1176" s="5" t="s">
        <v>3620</v>
      </c>
      <c r="H1176" s="5" t="s">
        <v>3621</v>
      </c>
      <c r="I1176" s="5" t="s">
        <v>3585</v>
      </c>
      <c r="N1176" s="5" t="s">
        <v>3622</v>
      </c>
      <c r="O1176" s="5">
        <v>100</v>
      </c>
      <c r="P1176" s="5">
        <v>100.25</v>
      </c>
      <c r="Q1176" s="5">
        <v>100</v>
      </c>
      <c r="R1176" s="5">
        <v>100.25</v>
      </c>
      <c r="S1176" s="5">
        <v>100.25</v>
      </c>
      <c r="T1176" s="5">
        <v>100.3</v>
      </c>
      <c r="V1176" s="5">
        <v>100.25</v>
      </c>
      <c r="Y1176" s="5">
        <v>15001</v>
      </c>
      <c r="Z1176" s="5">
        <v>1503850</v>
      </c>
      <c r="AA1176" s="5">
        <v>2</v>
      </c>
      <c r="AB1176" s="5" t="s">
        <v>85</v>
      </c>
      <c r="AC1176" s="5">
        <v>1</v>
      </c>
    </row>
    <row r="1177" spans="1:29" x14ac:dyDescent="0.3">
      <c r="A1177" s="34">
        <v>46274</v>
      </c>
      <c r="B1177" s="34">
        <v>46274</v>
      </c>
      <c r="C1177" s="5" t="s">
        <v>78</v>
      </c>
      <c r="D1177" s="5" t="s">
        <v>79</v>
      </c>
      <c r="E1177" s="5" t="s">
        <v>80</v>
      </c>
      <c r="F1177" s="5">
        <v>956</v>
      </c>
      <c r="G1177" s="5" t="s">
        <v>3623</v>
      </c>
      <c r="H1177" s="5" t="s">
        <v>3624</v>
      </c>
      <c r="I1177" s="5" t="s">
        <v>3585</v>
      </c>
      <c r="N1177" s="5" t="s">
        <v>3625</v>
      </c>
      <c r="O1177" s="5">
        <v>92.6</v>
      </c>
      <c r="P1177" s="5">
        <v>92.6</v>
      </c>
      <c r="Q1177" s="5">
        <v>92.6</v>
      </c>
      <c r="R1177" s="5">
        <v>92.6</v>
      </c>
      <c r="S1177" s="5">
        <v>92.6</v>
      </c>
      <c r="T1177" s="5">
        <v>92.6</v>
      </c>
      <c r="V1177" s="5">
        <v>92.6</v>
      </c>
      <c r="Y1177" s="5">
        <v>1000</v>
      </c>
      <c r="Z1177" s="5">
        <v>92600</v>
      </c>
      <c r="AA1177" s="5">
        <v>2</v>
      </c>
      <c r="AB1177" s="5" t="s">
        <v>85</v>
      </c>
      <c r="AC1177" s="5">
        <v>1</v>
      </c>
    </row>
    <row r="1178" spans="1:29" x14ac:dyDescent="0.3">
      <c r="A1178" s="34">
        <v>46274</v>
      </c>
      <c r="B1178" s="34">
        <v>46274</v>
      </c>
      <c r="C1178" s="5" t="s">
        <v>78</v>
      </c>
      <c r="D1178" s="5" t="s">
        <v>79</v>
      </c>
      <c r="E1178" s="5" t="s">
        <v>80</v>
      </c>
      <c r="F1178" s="5">
        <v>757847</v>
      </c>
      <c r="G1178" s="5" t="s">
        <v>3626</v>
      </c>
      <c r="H1178" s="5" t="s">
        <v>3627</v>
      </c>
      <c r="I1178" s="5" t="s">
        <v>3585</v>
      </c>
      <c r="N1178" s="5" t="s">
        <v>3628</v>
      </c>
      <c r="O1178" s="5">
        <v>98</v>
      </c>
      <c r="P1178" s="5">
        <v>98</v>
      </c>
      <c r="Q1178" s="5">
        <v>97.98</v>
      </c>
      <c r="R1178" s="5">
        <v>97.98</v>
      </c>
      <c r="S1178" s="5">
        <v>97.98</v>
      </c>
      <c r="T1178" s="5">
        <v>97.7</v>
      </c>
      <c r="V1178" s="5">
        <v>97.98</v>
      </c>
      <c r="Y1178" s="5">
        <v>2500</v>
      </c>
      <c r="Z1178" s="5">
        <v>244960</v>
      </c>
      <c r="AA1178" s="5">
        <v>2</v>
      </c>
      <c r="AB1178" s="5" t="s">
        <v>85</v>
      </c>
      <c r="AC1178" s="5">
        <v>1</v>
      </c>
    </row>
    <row r="1179" spans="1:29" x14ac:dyDescent="0.3">
      <c r="A1179" s="34">
        <v>46274</v>
      </c>
      <c r="B1179" s="34">
        <v>46274</v>
      </c>
      <c r="C1179" s="5" t="s">
        <v>78</v>
      </c>
      <c r="D1179" s="5" t="s">
        <v>79</v>
      </c>
      <c r="E1179" s="5" t="s">
        <v>80</v>
      </c>
      <c r="F1179" s="5">
        <v>2317</v>
      </c>
      <c r="G1179" s="5" t="s">
        <v>3629</v>
      </c>
      <c r="H1179" s="5" t="s">
        <v>3630</v>
      </c>
      <c r="I1179" s="5" t="s">
        <v>3585</v>
      </c>
      <c r="N1179" s="5" t="s">
        <v>3631</v>
      </c>
      <c r="O1179" s="5">
        <v>91</v>
      </c>
      <c r="P1179" s="5">
        <v>91</v>
      </c>
      <c r="Q1179" s="5">
        <v>90.15</v>
      </c>
      <c r="R1179" s="5">
        <v>90.23</v>
      </c>
      <c r="S1179" s="5">
        <v>90.15</v>
      </c>
      <c r="T1179" s="5">
        <v>90.35</v>
      </c>
      <c r="V1179" s="5">
        <v>90.23</v>
      </c>
      <c r="Y1179" s="5">
        <v>46636</v>
      </c>
      <c r="Z1179" s="5">
        <v>4207321.25</v>
      </c>
      <c r="AA1179" s="5">
        <v>118</v>
      </c>
      <c r="AB1179" s="5" t="s">
        <v>85</v>
      </c>
      <c r="AC1179" s="5">
        <v>1</v>
      </c>
    </row>
    <row r="1180" spans="1:29" x14ac:dyDescent="0.3">
      <c r="A1180" s="34">
        <v>46274</v>
      </c>
      <c r="B1180" s="34">
        <v>46274</v>
      </c>
      <c r="C1180" s="5" t="s">
        <v>78</v>
      </c>
      <c r="D1180" s="5" t="s">
        <v>79</v>
      </c>
      <c r="E1180" s="5" t="s">
        <v>80</v>
      </c>
      <c r="F1180" s="5">
        <v>756014</v>
      </c>
      <c r="G1180" s="5" t="s">
        <v>3632</v>
      </c>
      <c r="H1180" s="5" t="s">
        <v>3633</v>
      </c>
      <c r="I1180" s="5" t="s">
        <v>3585</v>
      </c>
      <c r="N1180" s="5" t="s">
        <v>3634</v>
      </c>
      <c r="O1180" s="5">
        <v>93.49</v>
      </c>
      <c r="P1180" s="5">
        <v>93.49</v>
      </c>
      <c r="Q1180" s="5">
        <v>93.35</v>
      </c>
      <c r="R1180" s="5">
        <v>93.39</v>
      </c>
      <c r="S1180" s="5">
        <v>93.4</v>
      </c>
      <c r="T1180" s="5">
        <v>93.25</v>
      </c>
      <c r="V1180" s="5">
        <v>93.39</v>
      </c>
      <c r="Y1180" s="5">
        <v>2453</v>
      </c>
      <c r="Z1180" s="5">
        <v>229080.33</v>
      </c>
      <c r="AA1180" s="5">
        <v>6</v>
      </c>
      <c r="AB1180" s="5" t="s">
        <v>85</v>
      </c>
      <c r="AC1180" s="5">
        <v>1</v>
      </c>
    </row>
    <row r="1181" spans="1:29" x14ac:dyDescent="0.3">
      <c r="A1181" s="34">
        <v>46274</v>
      </c>
      <c r="B1181" s="34">
        <v>46274</v>
      </c>
      <c r="C1181" s="5" t="s">
        <v>78</v>
      </c>
      <c r="D1181" s="5" t="s">
        <v>79</v>
      </c>
      <c r="E1181" s="5" t="s">
        <v>80</v>
      </c>
      <c r="F1181" s="5">
        <v>763340</v>
      </c>
      <c r="G1181" s="5" t="s">
        <v>3635</v>
      </c>
      <c r="H1181" s="5" t="s">
        <v>3636</v>
      </c>
      <c r="I1181" s="5" t="s">
        <v>3585</v>
      </c>
      <c r="N1181" s="5" t="s">
        <v>3637</v>
      </c>
      <c r="O1181" s="5">
        <v>102.21</v>
      </c>
      <c r="P1181" s="5">
        <v>103.08</v>
      </c>
      <c r="Q1181" s="5">
        <v>102.21</v>
      </c>
      <c r="R1181" s="5">
        <v>103.08</v>
      </c>
      <c r="S1181" s="5">
        <v>103.08</v>
      </c>
      <c r="T1181" s="5">
        <v>103.1</v>
      </c>
      <c r="V1181" s="5">
        <v>103.08</v>
      </c>
      <c r="Y1181" s="5">
        <v>211</v>
      </c>
      <c r="Z1181" s="5">
        <v>21575.88</v>
      </c>
      <c r="AA1181" s="5">
        <v>4</v>
      </c>
      <c r="AB1181" s="5" t="s">
        <v>85</v>
      </c>
      <c r="AC1181" s="5">
        <v>1</v>
      </c>
    </row>
    <row r="1182" spans="1:29" x14ac:dyDescent="0.3">
      <c r="A1182" s="34">
        <v>46274</v>
      </c>
      <c r="B1182" s="34">
        <v>46274</v>
      </c>
      <c r="C1182" s="5" t="s">
        <v>78</v>
      </c>
      <c r="D1182" s="5" t="s">
        <v>79</v>
      </c>
      <c r="E1182" s="5" t="s">
        <v>80</v>
      </c>
      <c r="F1182" s="5">
        <v>6817</v>
      </c>
      <c r="G1182" s="5" t="s">
        <v>3638</v>
      </c>
      <c r="H1182" s="5" t="s">
        <v>3639</v>
      </c>
      <c r="I1182" s="5" t="s">
        <v>3585</v>
      </c>
      <c r="N1182" s="5" t="s">
        <v>3640</v>
      </c>
      <c r="O1182" s="5">
        <v>94</v>
      </c>
      <c r="P1182" s="5">
        <v>94</v>
      </c>
      <c r="Q1182" s="5">
        <v>93</v>
      </c>
      <c r="R1182" s="5">
        <v>93.89</v>
      </c>
      <c r="S1182" s="5">
        <v>93.89</v>
      </c>
      <c r="T1182" s="5">
        <v>93.89</v>
      </c>
      <c r="V1182" s="5">
        <v>93.89</v>
      </c>
      <c r="Y1182" s="5">
        <v>5357</v>
      </c>
      <c r="Z1182" s="5">
        <v>502957.73</v>
      </c>
      <c r="AA1182" s="5">
        <v>9</v>
      </c>
      <c r="AB1182" s="5" t="s">
        <v>85</v>
      </c>
      <c r="AC1182" s="5">
        <v>1</v>
      </c>
    </row>
    <row r="1183" spans="1:29" x14ac:dyDescent="0.3">
      <c r="A1183" s="34">
        <v>46274</v>
      </c>
      <c r="B1183" s="34">
        <v>46274</v>
      </c>
      <c r="C1183" s="5" t="s">
        <v>78</v>
      </c>
      <c r="D1183" s="5" t="s">
        <v>79</v>
      </c>
      <c r="E1183" s="5" t="s">
        <v>80</v>
      </c>
      <c r="F1183" s="5">
        <v>6696</v>
      </c>
      <c r="G1183" s="5" t="s">
        <v>3641</v>
      </c>
      <c r="H1183" s="5" t="s">
        <v>3642</v>
      </c>
      <c r="I1183" s="5" t="s">
        <v>3585</v>
      </c>
      <c r="N1183" s="5" t="s">
        <v>3643</v>
      </c>
      <c r="O1183" s="5">
        <v>96</v>
      </c>
      <c r="P1183" s="5">
        <v>96.4</v>
      </c>
      <c r="Q1183" s="5">
        <v>96</v>
      </c>
      <c r="R1183" s="5">
        <v>96.3</v>
      </c>
      <c r="S1183" s="5">
        <v>96.3</v>
      </c>
      <c r="T1183" s="5">
        <v>96.75</v>
      </c>
      <c r="V1183" s="5">
        <v>96.3</v>
      </c>
      <c r="Y1183" s="5">
        <v>2000</v>
      </c>
      <c r="Z1183" s="5">
        <v>192350</v>
      </c>
      <c r="AA1183" s="5">
        <v>3</v>
      </c>
      <c r="AB1183" s="5" t="s">
        <v>85</v>
      </c>
      <c r="AC1183" s="5">
        <v>1</v>
      </c>
    </row>
    <row r="1184" spans="1:29" x14ac:dyDescent="0.3">
      <c r="A1184" s="34">
        <v>46274</v>
      </c>
      <c r="B1184" s="34">
        <v>46274</v>
      </c>
      <c r="C1184" s="5" t="s">
        <v>78</v>
      </c>
      <c r="D1184" s="5" t="s">
        <v>79</v>
      </c>
      <c r="E1184" s="5" t="s">
        <v>80</v>
      </c>
      <c r="F1184" s="5">
        <v>23919</v>
      </c>
      <c r="G1184" s="5" t="s">
        <v>3644</v>
      </c>
      <c r="H1184" s="5" t="s">
        <v>3645</v>
      </c>
      <c r="I1184" s="5" t="s">
        <v>3585</v>
      </c>
      <c r="N1184" s="5" t="s">
        <v>3646</v>
      </c>
      <c r="O1184" s="5">
        <v>101.97</v>
      </c>
      <c r="P1184" s="5">
        <v>102.5</v>
      </c>
      <c r="Q1184" s="5">
        <v>101.19</v>
      </c>
      <c r="R1184" s="5">
        <v>101.19</v>
      </c>
      <c r="S1184" s="5">
        <v>101.19</v>
      </c>
      <c r="T1184" s="5">
        <v>103</v>
      </c>
      <c r="V1184" s="5">
        <v>101.19</v>
      </c>
      <c r="Y1184" s="5">
        <v>6800</v>
      </c>
      <c r="Z1184" s="5">
        <v>693766</v>
      </c>
      <c r="AA1184" s="5">
        <v>6</v>
      </c>
      <c r="AB1184" s="5" t="s">
        <v>85</v>
      </c>
      <c r="AC1184" s="5">
        <v>1</v>
      </c>
    </row>
    <row r="1185" spans="1:29" x14ac:dyDescent="0.3">
      <c r="A1185" s="34">
        <v>46274</v>
      </c>
      <c r="B1185" s="34">
        <v>46274</v>
      </c>
      <c r="C1185" s="5" t="s">
        <v>78</v>
      </c>
      <c r="D1185" s="5" t="s">
        <v>79</v>
      </c>
      <c r="E1185" s="5" t="s">
        <v>80</v>
      </c>
      <c r="F1185" s="5">
        <v>14970</v>
      </c>
      <c r="G1185" s="5" t="s">
        <v>3647</v>
      </c>
      <c r="H1185" s="5" t="s">
        <v>3648</v>
      </c>
      <c r="I1185" s="5" t="s">
        <v>3585</v>
      </c>
      <c r="N1185" s="5" t="s">
        <v>3649</v>
      </c>
      <c r="O1185" s="5">
        <v>103.6</v>
      </c>
      <c r="P1185" s="5">
        <v>103.6</v>
      </c>
      <c r="Q1185" s="5">
        <v>103.6</v>
      </c>
      <c r="R1185" s="5">
        <v>103.6</v>
      </c>
      <c r="S1185" s="5">
        <v>103.6</v>
      </c>
      <c r="T1185" s="5">
        <v>104.31</v>
      </c>
      <c r="V1185" s="5">
        <v>103.6</v>
      </c>
      <c r="Y1185" s="5">
        <v>100</v>
      </c>
      <c r="Z1185" s="5">
        <v>10360</v>
      </c>
      <c r="AA1185" s="5">
        <v>1</v>
      </c>
      <c r="AB1185" s="5" t="s">
        <v>85</v>
      </c>
      <c r="AC1185" s="5">
        <v>1</v>
      </c>
    </row>
    <row r="1186" spans="1:29" x14ac:dyDescent="0.3">
      <c r="A1186" s="34">
        <v>46274</v>
      </c>
      <c r="B1186" s="34">
        <v>46274</v>
      </c>
      <c r="C1186" s="5" t="s">
        <v>78</v>
      </c>
      <c r="D1186" s="5" t="s">
        <v>79</v>
      </c>
      <c r="E1186" s="5" t="s">
        <v>80</v>
      </c>
      <c r="F1186" s="5">
        <v>764295</v>
      </c>
      <c r="G1186" s="5" t="s">
        <v>3650</v>
      </c>
      <c r="H1186" s="5" t="s">
        <v>3651</v>
      </c>
      <c r="I1186" s="5" t="s">
        <v>3585</v>
      </c>
      <c r="N1186" s="5" t="s">
        <v>3652</v>
      </c>
      <c r="O1186" s="5">
        <v>101.75</v>
      </c>
      <c r="P1186" s="5">
        <v>101.75</v>
      </c>
      <c r="Q1186" s="5">
        <v>100.1</v>
      </c>
      <c r="R1186" s="5">
        <v>100.2</v>
      </c>
      <c r="S1186" s="5">
        <v>100.2</v>
      </c>
      <c r="T1186" s="5">
        <v>100.15</v>
      </c>
      <c r="V1186" s="5">
        <v>100.2</v>
      </c>
      <c r="Y1186" s="5">
        <v>589</v>
      </c>
      <c r="Z1186" s="5">
        <v>59346.47</v>
      </c>
      <c r="AA1186" s="5">
        <v>8</v>
      </c>
      <c r="AB1186" s="5" t="s">
        <v>85</v>
      </c>
      <c r="AC1186" s="5">
        <v>1</v>
      </c>
    </row>
    <row r="1187" spans="1:29" x14ac:dyDescent="0.3">
      <c r="A1187" s="34">
        <v>46274</v>
      </c>
      <c r="B1187" s="34">
        <v>46274</v>
      </c>
      <c r="C1187" s="5" t="s">
        <v>78</v>
      </c>
      <c r="D1187" s="5" t="s">
        <v>79</v>
      </c>
      <c r="E1187" s="5" t="s">
        <v>80</v>
      </c>
      <c r="F1187" s="5">
        <v>24949</v>
      </c>
      <c r="G1187" s="5" t="s">
        <v>3653</v>
      </c>
      <c r="H1187" s="5" t="s">
        <v>3654</v>
      </c>
      <c r="I1187" s="5" t="s">
        <v>3585</v>
      </c>
      <c r="N1187" s="5" t="s">
        <v>3655</v>
      </c>
      <c r="O1187" s="5">
        <v>95.49</v>
      </c>
      <c r="P1187" s="5">
        <v>95.49</v>
      </c>
      <c r="Q1187" s="5">
        <v>95.15</v>
      </c>
      <c r="R1187" s="5">
        <v>95.15</v>
      </c>
      <c r="S1187" s="5">
        <v>95.15</v>
      </c>
      <c r="T1187" s="5">
        <v>95.1</v>
      </c>
      <c r="V1187" s="5">
        <v>95.15</v>
      </c>
      <c r="Y1187" s="5">
        <v>2886</v>
      </c>
      <c r="Z1187" s="5">
        <v>274641.75</v>
      </c>
      <c r="AA1187" s="5">
        <v>21</v>
      </c>
      <c r="AB1187" s="5" t="s">
        <v>85</v>
      </c>
      <c r="AC1187" s="5">
        <v>1</v>
      </c>
    </row>
    <row r="1188" spans="1:29" x14ac:dyDescent="0.3">
      <c r="A1188" s="34">
        <v>46274</v>
      </c>
      <c r="B1188" s="34">
        <v>46274</v>
      </c>
      <c r="C1188" s="5" t="s">
        <v>78</v>
      </c>
      <c r="D1188" s="5" t="s">
        <v>79</v>
      </c>
      <c r="E1188" s="5" t="s">
        <v>80</v>
      </c>
      <c r="F1188" s="5">
        <v>15050</v>
      </c>
      <c r="G1188" s="5" t="s">
        <v>3656</v>
      </c>
      <c r="H1188" s="5" t="s">
        <v>3657</v>
      </c>
      <c r="I1188" s="5" t="s">
        <v>3585</v>
      </c>
      <c r="N1188" s="5" t="s">
        <v>3658</v>
      </c>
      <c r="O1188" s="5">
        <v>103.53</v>
      </c>
      <c r="P1188" s="5">
        <v>103.55</v>
      </c>
      <c r="Q1188" s="5">
        <v>103.53</v>
      </c>
      <c r="R1188" s="5">
        <v>103.55</v>
      </c>
      <c r="S1188" s="5">
        <v>103.55</v>
      </c>
      <c r="T1188" s="5">
        <v>103.53</v>
      </c>
      <c r="V1188" s="5">
        <v>103.55</v>
      </c>
      <c r="Y1188" s="5">
        <v>1974</v>
      </c>
      <c r="Z1188" s="5">
        <v>204388.22</v>
      </c>
      <c r="AA1188" s="5">
        <v>3</v>
      </c>
      <c r="AB1188" s="5" t="s">
        <v>85</v>
      </c>
      <c r="AC1188" s="5">
        <v>1</v>
      </c>
    </row>
    <row r="1189" spans="1:29" x14ac:dyDescent="0.3">
      <c r="A1189" s="34">
        <v>46274</v>
      </c>
      <c r="B1189" s="34">
        <v>46274</v>
      </c>
      <c r="C1189" s="5" t="s">
        <v>78</v>
      </c>
      <c r="D1189" s="5" t="s">
        <v>79</v>
      </c>
      <c r="E1189" s="5" t="s">
        <v>80</v>
      </c>
      <c r="F1189" s="5">
        <v>17398</v>
      </c>
      <c r="G1189" s="5" t="s">
        <v>3659</v>
      </c>
      <c r="H1189" s="5" t="s">
        <v>3660</v>
      </c>
      <c r="I1189" s="5" t="s">
        <v>3585</v>
      </c>
      <c r="N1189" s="5" t="s">
        <v>3661</v>
      </c>
      <c r="O1189" s="5">
        <v>101.19</v>
      </c>
      <c r="P1189" s="5">
        <v>103.45</v>
      </c>
      <c r="Q1189" s="5">
        <v>101.19</v>
      </c>
      <c r="R1189" s="5">
        <v>101.99</v>
      </c>
      <c r="S1189" s="5">
        <v>101.85</v>
      </c>
      <c r="T1189" s="5">
        <v>102.21</v>
      </c>
      <c r="V1189" s="5">
        <v>101.89</v>
      </c>
      <c r="Y1189" s="5">
        <v>47545</v>
      </c>
      <c r="Z1189" s="5">
        <v>4853196.82</v>
      </c>
      <c r="AA1189" s="5">
        <v>50</v>
      </c>
      <c r="AB1189" s="5" t="s">
        <v>85</v>
      </c>
      <c r="AC1189" s="5">
        <v>1</v>
      </c>
    </row>
    <row r="1190" spans="1:29" x14ac:dyDescent="0.3">
      <c r="A1190" s="34">
        <v>46274</v>
      </c>
      <c r="B1190" s="34">
        <v>46274</v>
      </c>
      <c r="C1190" s="5" t="s">
        <v>78</v>
      </c>
      <c r="D1190" s="5" t="s">
        <v>79</v>
      </c>
      <c r="E1190" s="5" t="s">
        <v>80</v>
      </c>
      <c r="F1190" s="5">
        <v>23518</v>
      </c>
      <c r="G1190" s="5" t="s">
        <v>3662</v>
      </c>
      <c r="H1190" s="5" t="s">
        <v>3663</v>
      </c>
      <c r="I1190" s="5" t="s">
        <v>3585</v>
      </c>
      <c r="N1190" s="5" t="s">
        <v>3664</v>
      </c>
      <c r="O1190" s="5">
        <v>104.58</v>
      </c>
      <c r="P1190" s="5">
        <v>104.58</v>
      </c>
      <c r="Q1190" s="5">
        <v>104.58</v>
      </c>
      <c r="R1190" s="5">
        <v>104.58</v>
      </c>
      <c r="S1190" s="5">
        <v>104.58</v>
      </c>
      <c r="T1190" s="5">
        <v>104.58</v>
      </c>
      <c r="V1190" s="5">
        <v>104.58</v>
      </c>
      <c r="Y1190" s="5">
        <v>200</v>
      </c>
      <c r="Z1190" s="5">
        <v>20916</v>
      </c>
      <c r="AA1190" s="5">
        <v>1</v>
      </c>
      <c r="AB1190" s="5" t="s">
        <v>85</v>
      </c>
      <c r="AC1190" s="5">
        <v>1</v>
      </c>
    </row>
    <row r="1191" spans="1:29" x14ac:dyDescent="0.3">
      <c r="A1191" s="34">
        <v>46274</v>
      </c>
      <c r="B1191" s="34">
        <v>46274</v>
      </c>
      <c r="C1191" s="5" t="s">
        <v>78</v>
      </c>
      <c r="D1191" s="5" t="s">
        <v>79</v>
      </c>
      <c r="E1191" s="5" t="s">
        <v>80</v>
      </c>
      <c r="F1191" s="5">
        <v>758674</v>
      </c>
      <c r="G1191" s="5" t="s">
        <v>3665</v>
      </c>
      <c r="H1191" s="5" t="s">
        <v>3666</v>
      </c>
      <c r="I1191" s="5" t="s">
        <v>3585</v>
      </c>
      <c r="N1191" s="5" t="s">
        <v>3667</v>
      </c>
      <c r="O1191" s="5">
        <v>97.18</v>
      </c>
      <c r="P1191" s="5">
        <v>97.18</v>
      </c>
      <c r="Q1191" s="5">
        <v>96.52</v>
      </c>
      <c r="R1191" s="5">
        <v>96.74</v>
      </c>
      <c r="S1191" s="5">
        <v>96.74</v>
      </c>
      <c r="T1191" s="5">
        <v>96.65</v>
      </c>
      <c r="V1191" s="5">
        <v>96.74</v>
      </c>
      <c r="Y1191" s="5">
        <v>39200</v>
      </c>
      <c r="Z1191" s="5">
        <v>3795221.78</v>
      </c>
      <c r="AA1191" s="5">
        <v>54</v>
      </c>
      <c r="AB1191" s="5" t="s">
        <v>85</v>
      </c>
      <c r="AC1191" s="5">
        <v>1</v>
      </c>
    </row>
    <row r="1192" spans="1:29" x14ac:dyDescent="0.3">
      <c r="A1192" s="34">
        <v>46274</v>
      </c>
      <c r="B1192" s="34">
        <v>46274</v>
      </c>
      <c r="C1192" s="5" t="s">
        <v>78</v>
      </c>
      <c r="D1192" s="5" t="s">
        <v>79</v>
      </c>
      <c r="E1192" s="5" t="s">
        <v>80</v>
      </c>
      <c r="F1192" s="5">
        <v>16733</v>
      </c>
      <c r="G1192" s="5" t="s">
        <v>3668</v>
      </c>
      <c r="H1192" s="5" t="s">
        <v>3669</v>
      </c>
      <c r="I1192" s="5" t="s">
        <v>3585</v>
      </c>
      <c r="N1192" s="5" t="s">
        <v>3670</v>
      </c>
      <c r="O1192" s="5">
        <v>96.6</v>
      </c>
      <c r="P1192" s="5">
        <v>97.6</v>
      </c>
      <c r="Q1192" s="5">
        <v>96.26</v>
      </c>
      <c r="R1192" s="5">
        <v>96.85</v>
      </c>
      <c r="S1192" s="5">
        <v>96.85</v>
      </c>
      <c r="T1192" s="5">
        <v>96.98</v>
      </c>
      <c r="V1192" s="5">
        <v>96.85</v>
      </c>
      <c r="Y1192" s="5">
        <v>110181</v>
      </c>
      <c r="Z1192" s="5">
        <v>10671718.84</v>
      </c>
      <c r="AA1192" s="5">
        <v>91</v>
      </c>
      <c r="AB1192" s="5" t="s">
        <v>85</v>
      </c>
      <c r="AC1192" s="5">
        <v>1</v>
      </c>
    </row>
    <row r="1193" spans="1:29" x14ac:dyDescent="0.3">
      <c r="A1193" s="34">
        <v>46274</v>
      </c>
      <c r="B1193" s="34">
        <v>46274</v>
      </c>
      <c r="C1193" s="5" t="s">
        <v>78</v>
      </c>
      <c r="D1193" s="5" t="s">
        <v>79</v>
      </c>
      <c r="E1193" s="5" t="s">
        <v>80</v>
      </c>
      <c r="F1193" s="5">
        <v>10722</v>
      </c>
      <c r="G1193" s="5" t="s">
        <v>3671</v>
      </c>
      <c r="H1193" s="5" t="s">
        <v>3672</v>
      </c>
      <c r="I1193" s="5" t="s">
        <v>3585</v>
      </c>
      <c r="N1193" s="5" t="s">
        <v>3673</v>
      </c>
      <c r="O1193" s="5">
        <v>103.05</v>
      </c>
      <c r="P1193" s="5">
        <v>103.3</v>
      </c>
      <c r="Q1193" s="5">
        <v>102.51</v>
      </c>
      <c r="R1193" s="5">
        <v>102.65</v>
      </c>
      <c r="S1193" s="5">
        <v>102.99</v>
      </c>
      <c r="T1193" s="5">
        <v>103.3</v>
      </c>
      <c r="V1193" s="5">
        <v>102.65</v>
      </c>
      <c r="Y1193" s="5">
        <v>171960</v>
      </c>
      <c r="Z1193" s="5">
        <v>17725895.100000001</v>
      </c>
      <c r="AA1193" s="5">
        <v>22</v>
      </c>
      <c r="AB1193" s="5" t="s">
        <v>85</v>
      </c>
      <c r="AC1193" s="5">
        <v>1</v>
      </c>
    </row>
    <row r="1194" spans="1:29" x14ac:dyDescent="0.3">
      <c r="A1194" s="34">
        <v>46274</v>
      </c>
      <c r="B1194" s="34">
        <v>46274</v>
      </c>
      <c r="C1194" s="5" t="s">
        <v>78</v>
      </c>
      <c r="D1194" s="5" t="s">
        <v>79</v>
      </c>
      <c r="E1194" s="5" t="s">
        <v>80</v>
      </c>
      <c r="F1194" s="5">
        <v>14051</v>
      </c>
      <c r="G1194" s="5" t="s">
        <v>3674</v>
      </c>
      <c r="H1194" s="5" t="s">
        <v>3675</v>
      </c>
      <c r="I1194" s="5" t="s">
        <v>3585</v>
      </c>
      <c r="N1194" s="5" t="s">
        <v>3676</v>
      </c>
      <c r="O1194" s="5">
        <v>103.3</v>
      </c>
      <c r="P1194" s="5">
        <v>103.3</v>
      </c>
      <c r="Q1194" s="5">
        <v>102.8</v>
      </c>
      <c r="R1194" s="5">
        <v>103.2</v>
      </c>
      <c r="S1194" s="5">
        <v>103.2</v>
      </c>
      <c r="T1194" s="5">
        <v>103.35</v>
      </c>
      <c r="V1194" s="5">
        <v>103.2</v>
      </c>
      <c r="Y1194" s="5">
        <v>5919</v>
      </c>
      <c r="Z1194" s="5">
        <v>610442.69999999995</v>
      </c>
      <c r="AA1194" s="5">
        <v>6</v>
      </c>
      <c r="AB1194" s="5" t="s">
        <v>85</v>
      </c>
      <c r="AC1194" s="5">
        <v>1</v>
      </c>
    </row>
    <row r="1195" spans="1:29" x14ac:dyDescent="0.3">
      <c r="A1195" s="34">
        <v>46274</v>
      </c>
      <c r="B1195" s="34">
        <v>46274</v>
      </c>
      <c r="C1195" s="5" t="s">
        <v>78</v>
      </c>
      <c r="D1195" s="5" t="s">
        <v>79</v>
      </c>
      <c r="E1195" s="5" t="s">
        <v>80</v>
      </c>
      <c r="F1195" s="5">
        <v>16865</v>
      </c>
      <c r="G1195" s="5" t="s">
        <v>3677</v>
      </c>
      <c r="H1195" s="5" t="s">
        <v>3678</v>
      </c>
      <c r="I1195" s="5" t="s">
        <v>3585</v>
      </c>
      <c r="N1195" s="5" t="s">
        <v>3679</v>
      </c>
      <c r="O1195" s="5">
        <v>98.9</v>
      </c>
      <c r="P1195" s="5">
        <v>98.9</v>
      </c>
      <c r="Q1195" s="5">
        <v>98.76</v>
      </c>
      <c r="R1195" s="5">
        <v>98.81</v>
      </c>
      <c r="S1195" s="5">
        <v>98.81</v>
      </c>
      <c r="T1195" s="5">
        <v>99.05</v>
      </c>
      <c r="V1195" s="5">
        <v>98.81</v>
      </c>
      <c r="Y1195" s="5">
        <v>10369</v>
      </c>
      <c r="Z1195" s="5">
        <v>1025136.2</v>
      </c>
      <c r="AA1195" s="5">
        <v>12</v>
      </c>
      <c r="AB1195" s="5" t="s">
        <v>85</v>
      </c>
      <c r="AC1195" s="5">
        <v>1</v>
      </c>
    </row>
    <row r="1196" spans="1:29" x14ac:dyDescent="0.3">
      <c r="A1196" s="34">
        <v>46274</v>
      </c>
      <c r="B1196" s="34">
        <v>46274</v>
      </c>
      <c r="C1196" s="5" t="s">
        <v>78</v>
      </c>
      <c r="D1196" s="5" t="s">
        <v>79</v>
      </c>
      <c r="E1196" s="5" t="s">
        <v>80</v>
      </c>
      <c r="F1196" s="5">
        <v>19685</v>
      </c>
      <c r="G1196" s="5" t="s">
        <v>3680</v>
      </c>
      <c r="H1196" s="5" t="s">
        <v>3681</v>
      </c>
      <c r="I1196" s="5" t="s">
        <v>3585</v>
      </c>
      <c r="N1196" s="5" t="s">
        <v>3682</v>
      </c>
      <c r="O1196" s="5">
        <v>101.29</v>
      </c>
      <c r="P1196" s="5">
        <v>102.31</v>
      </c>
      <c r="Q1196" s="5">
        <v>101.29</v>
      </c>
      <c r="R1196" s="5">
        <v>102.31</v>
      </c>
      <c r="S1196" s="5">
        <v>102.31</v>
      </c>
      <c r="T1196" s="5">
        <v>102.31</v>
      </c>
      <c r="V1196" s="5">
        <v>101.91</v>
      </c>
      <c r="Y1196" s="5">
        <v>300</v>
      </c>
      <c r="Z1196" s="5">
        <v>30555</v>
      </c>
      <c r="AA1196" s="5">
        <v>3</v>
      </c>
      <c r="AB1196" s="5" t="s">
        <v>85</v>
      </c>
      <c r="AC1196" s="5">
        <v>1</v>
      </c>
    </row>
    <row r="1197" spans="1:29" x14ac:dyDescent="0.3">
      <c r="A1197" s="34">
        <v>46274</v>
      </c>
      <c r="B1197" s="34">
        <v>46274</v>
      </c>
      <c r="C1197" s="5" t="s">
        <v>78</v>
      </c>
      <c r="D1197" s="5" t="s">
        <v>79</v>
      </c>
      <c r="E1197" s="5" t="s">
        <v>80</v>
      </c>
      <c r="F1197" s="5">
        <v>23558</v>
      </c>
      <c r="G1197" s="5" t="s">
        <v>3683</v>
      </c>
      <c r="H1197" s="5" t="s">
        <v>3684</v>
      </c>
      <c r="I1197" s="5" t="s">
        <v>3585</v>
      </c>
      <c r="N1197" s="5" t="s">
        <v>3685</v>
      </c>
      <c r="O1197" s="5">
        <v>99.25</v>
      </c>
      <c r="P1197" s="5">
        <v>99.25</v>
      </c>
      <c r="Q1197" s="5">
        <v>98.61</v>
      </c>
      <c r="R1197" s="5">
        <v>98.76</v>
      </c>
      <c r="S1197" s="5">
        <v>98.78</v>
      </c>
      <c r="T1197" s="5">
        <v>98.91</v>
      </c>
      <c r="V1197" s="5">
        <v>98.76</v>
      </c>
      <c r="Y1197" s="5">
        <v>24510</v>
      </c>
      <c r="Z1197" s="5">
        <v>2423565.7400000002</v>
      </c>
      <c r="AA1197" s="5">
        <v>43</v>
      </c>
      <c r="AB1197" s="5" t="s">
        <v>85</v>
      </c>
      <c r="AC1197" s="5">
        <v>1</v>
      </c>
    </row>
    <row r="1198" spans="1:29" x14ac:dyDescent="0.3">
      <c r="A1198" s="34">
        <v>46274</v>
      </c>
      <c r="B1198" s="34">
        <v>46274</v>
      </c>
      <c r="C1198" s="5" t="s">
        <v>78</v>
      </c>
      <c r="D1198" s="5" t="s">
        <v>79</v>
      </c>
      <c r="E1198" s="5" t="s">
        <v>80</v>
      </c>
      <c r="F1198" s="5">
        <v>10931</v>
      </c>
      <c r="G1198" s="5" t="s">
        <v>3686</v>
      </c>
      <c r="H1198" s="5" t="s">
        <v>3687</v>
      </c>
      <c r="I1198" s="5" t="s">
        <v>3585</v>
      </c>
      <c r="N1198" s="5" t="s">
        <v>3688</v>
      </c>
      <c r="O1198" s="5">
        <v>102.25</v>
      </c>
      <c r="P1198" s="5">
        <v>102.85</v>
      </c>
      <c r="Q1198" s="5">
        <v>102.25</v>
      </c>
      <c r="R1198" s="5">
        <v>102.5</v>
      </c>
      <c r="S1198" s="5">
        <v>102.5</v>
      </c>
      <c r="T1198" s="5">
        <v>102.1</v>
      </c>
      <c r="V1198" s="5">
        <v>102.5</v>
      </c>
      <c r="Y1198" s="5">
        <v>15000</v>
      </c>
      <c r="Z1198" s="5">
        <v>1537330</v>
      </c>
      <c r="AA1198" s="5">
        <v>12</v>
      </c>
      <c r="AB1198" s="5" t="s">
        <v>85</v>
      </c>
      <c r="AC1198" s="5">
        <v>1</v>
      </c>
    </row>
    <row r="1199" spans="1:29" x14ac:dyDescent="0.3">
      <c r="A1199" s="34">
        <v>46274</v>
      </c>
      <c r="B1199" s="34">
        <v>46274</v>
      </c>
      <c r="C1199" s="5" t="s">
        <v>78</v>
      </c>
      <c r="D1199" s="5" t="s">
        <v>79</v>
      </c>
      <c r="E1199" s="5" t="s">
        <v>80</v>
      </c>
      <c r="F1199" s="5">
        <v>19566</v>
      </c>
      <c r="G1199" s="5" t="s">
        <v>3689</v>
      </c>
      <c r="H1199" s="5" t="s">
        <v>3690</v>
      </c>
      <c r="I1199" s="5" t="s">
        <v>3585</v>
      </c>
      <c r="N1199" s="5" t="s">
        <v>3691</v>
      </c>
      <c r="O1199" s="5">
        <v>104.21</v>
      </c>
      <c r="P1199" s="5">
        <v>104.21</v>
      </c>
      <c r="Q1199" s="5">
        <v>104.21</v>
      </c>
      <c r="R1199" s="5">
        <v>104.21</v>
      </c>
      <c r="S1199" s="5">
        <v>104.21</v>
      </c>
      <c r="T1199" s="5">
        <v>104.22</v>
      </c>
      <c r="V1199" s="5">
        <v>104.21</v>
      </c>
      <c r="Y1199" s="5">
        <v>100</v>
      </c>
      <c r="Z1199" s="5">
        <v>10421</v>
      </c>
      <c r="AA1199" s="5">
        <v>1</v>
      </c>
      <c r="AB1199" s="5" t="s">
        <v>85</v>
      </c>
      <c r="AC1199" s="5">
        <v>1</v>
      </c>
    </row>
    <row r="1200" spans="1:29" x14ac:dyDescent="0.3">
      <c r="A1200" s="34">
        <v>46274</v>
      </c>
      <c r="B1200" s="34">
        <v>46274</v>
      </c>
      <c r="C1200" s="5" t="s">
        <v>78</v>
      </c>
      <c r="D1200" s="5" t="s">
        <v>79</v>
      </c>
      <c r="E1200" s="5" t="s">
        <v>80</v>
      </c>
      <c r="F1200" s="5">
        <v>10981</v>
      </c>
      <c r="G1200" s="5" t="s">
        <v>3692</v>
      </c>
      <c r="H1200" s="5" t="s">
        <v>3693</v>
      </c>
      <c r="I1200" s="5" t="s">
        <v>3585</v>
      </c>
      <c r="N1200" s="5" t="s">
        <v>3694</v>
      </c>
      <c r="O1200" s="5">
        <v>103</v>
      </c>
      <c r="P1200" s="5">
        <v>103</v>
      </c>
      <c r="Q1200" s="5">
        <v>102.25</v>
      </c>
      <c r="R1200" s="5">
        <v>102.25</v>
      </c>
      <c r="S1200" s="5">
        <v>102.25</v>
      </c>
      <c r="T1200" s="5">
        <v>102</v>
      </c>
      <c r="V1200" s="5">
        <v>102.25</v>
      </c>
      <c r="Y1200" s="5">
        <v>32</v>
      </c>
      <c r="Z1200" s="5">
        <v>3284</v>
      </c>
      <c r="AA1200" s="5">
        <v>3</v>
      </c>
      <c r="AB1200" s="5" t="s">
        <v>85</v>
      </c>
      <c r="AC1200" s="5">
        <v>1</v>
      </c>
    </row>
    <row r="1201" spans="1:29" x14ac:dyDescent="0.3">
      <c r="A1201" s="34">
        <v>46274</v>
      </c>
      <c r="B1201" s="34">
        <v>46274</v>
      </c>
      <c r="C1201" s="5" t="s">
        <v>78</v>
      </c>
      <c r="D1201" s="5" t="s">
        <v>79</v>
      </c>
      <c r="E1201" s="5" t="s">
        <v>80</v>
      </c>
      <c r="F1201" s="5">
        <v>13194</v>
      </c>
      <c r="G1201" s="5" t="s">
        <v>3695</v>
      </c>
      <c r="H1201" s="5" t="s">
        <v>3696</v>
      </c>
      <c r="I1201" s="5" t="s">
        <v>3585</v>
      </c>
      <c r="N1201" s="5" t="s">
        <v>3697</v>
      </c>
      <c r="O1201" s="5">
        <v>105.05</v>
      </c>
      <c r="P1201" s="5">
        <v>105.05</v>
      </c>
      <c r="Q1201" s="5">
        <v>104.01</v>
      </c>
      <c r="R1201" s="5">
        <v>104.7</v>
      </c>
      <c r="S1201" s="5">
        <v>104.7</v>
      </c>
      <c r="T1201" s="5">
        <v>105.05</v>
      </c>
      <c r="V1201" s="5">
        <v>104.7</v>
      </c>
      <c r="Y1201" s="5">
        <v>5306</v>
      </c>
      <c r="Z1201" s="5">
        <v>554739.11</v>
      </c>
      <c r="AA1201" s="5">
        <v>18</v>
      </c>
      <c r="AB1201" s="5" t="s">
        <v>85</v>
      </c>
      <c r="AC1201" s="5">
        <v>1</v>
      </c>
    </row>
    <row r="1202" spans="1:29" x14ac:dyDescent="0.3">
      <c r="A1202" s="34">
        <v>46274</v>
      </c>
      <c r="B1202" s="34">
        <v>46274</v>
      </c>
      <c r="C1202" s="5" t="s">
        <v>78</v>
      </c>
      <c r="D1202" s="5" t="s">
        <v>79</v>
      </c>
      <c r="E1202" s="5" t="s">
        <v>80</v>
      </c>
      <c r="F1202" s="5">
        <v>760649</v>
      </c>
      <c r="G1202" s="5" t="s">
        <v>3698</v>
      </c>
      <c r="H1202" s="5" t="s">
        <v>3699</v>
      </c>
      <c r="I1202" s="5" t="s">
        <v>3585</v>
      </c>
      <c r="N1202" s="5" t="s">
        <v>3700</v>
      </c>
      <c r="O1202" s="5">
        <v>99.23</v>
      </c>
      <c r="P1202" s="5">
        <v>99.9</v>
      </c>
      <c r="Q1202" s="5">
        <v>98.98</v>
      </c>
      <c r="R1202" s="5">
        <v>98.98</v>
      </c>
      <c r="S1202" s="5">
        <v>99</v>
      </c>
      <c r="T1202" s="5">
        <v>99.4</v>
      </c>
      <c r="V1202" s="5">
        <v>98.96</v>
      </c>
      <c r="Y1202" s="5">
        <v>68863</v>
      </c>
      <c r="Z1202" s="5">
        <v>6822329.8799999999</v>
      </c>
      <c r="AA1202" s="5">
        <v>107</v>
      </c>
      <c r="AB1202" s="5" t="s">
        <v>85</v>
      </c>
      <c r="AC1202" s="5">
        <v>1</v>
      </c>
    </row>
    <row r="1203" spans="1:29" x14ac:dyDescent="0.3">
      <c r="A1203" s="34">
        <v>46274</v>
      </c>
      <c r="B1203" s="34">
        <v>46274</v>
      </c>
      <c r="C1203" s="5" t="s">
        <v>78</v>
      </c>
      <c r="D1203" s="5" t="s">
        <v>79</v>
      </c>
      <c r="E1203" s="5" t="s">
        <v>80</v>
      </c>
      <c r="F1203" s="5">
        <v>19808</v>
      </c>
      <c r="G1203" s="5" t="s">
        <v>3701</v>
      </c>
      <c r="H1203" s="5" t="s">
        <v>3702</v>
      </c>
      <c r="I1203" s="5" t="s">
        <v>3585</v>
      </c>
      <c r="N1203" s="5" t="s">
        <v>3703</v>
      </c>
      <c r="O1203" s="5">
        <v>101.99</v>
      </c>
      <c r="P1203" s="5">
        <v>101.99</v>
      </c>
      <c r="Q1203" s="5">
        <v>101.99</v>
      </c>
      <c r="R1203" s="5">
        <v>101.99</v>
      </c>
      <c r="S1203" s="5">
        <v>101.99</v>
      </c>
      <c r="T1203" s="5">
        <v>101.25</v>
      </c>
      <c r="V1203" s="5">
        <v>101.25</v>
      </c>
      <c r="Y1203" s="5">
        <v>2</v>
      </c>
      <c r="Z1203" s="5">
        <v>203.98</v>
      </c>
      <c r="AA1203" s="5">
        <v>2</v>
      </c>
      <c r="AB1203" s="5" t="s">
        <v>85</v>
      </c>
      <c r="AC1203" s="5">
        <v>1</v>
      </c>
    </row>
    <row r="1204" spans="1:29" x14ac:dyDescent="0.3">
      <c r="A1204" s="34">
        <v>46274</v>
      </c>
      <c r="B1204" s="34">
        <v>46274</v>
      </c>
      <c r="C1204" s="5" t="s">
        <v>78</v>
      </c>
      <c r="D1204" s="5" t="s">
        <v>79</v>
      </c>
      <c r="E1204" s="5" t="s">
        <v>80</v>
      </c>
      <c r="F1204" s="5">
        <v>763146</v>
      </c>
      <c r="G1204" s="5" t="s">
        <v>3704</v>
      </c>
      <c r="H1204" s="5" t="s">
        <v>3705</v>
      </c>
      <c r="I1204" s="5" t="s">
        <v>3585</v>
      </c>
      <c r="N1204" s="5" t="s">
        <v>3706</v>
      </c>
      <c r="O1204" s="5">
        <v>103.8</v>
      </c>
      <c r="P1204" s="5">
        <v>103.8</v>
      </c>
      <c r="Q1204" s="5">
        <v>101.97</v>
      </c>
      <c r="R1204" s="5">
        <v>103</v>
      </c>
      <c r="S1204" s="5">
        <v>103</v>
      </c>
      <c r="T1204" s="5">
        <v>103.8</v>
      </c>
      <c r="V1204" s="5">
        <v>103</v>
      </c>
      <c r="Y1204" s="5">
        <v>2002</v>
      </c>
      <c r="Z1204" s="5">
        <v>205695.6</v>
      </c>
      <c r="AA1204" s="5">
        <v>15</v>
      </c>
      <c r="AB1204" s="5" t="s">
        <v>85</v>
      </c>
      <c r="AC1204" s="5">
        <v>1</v>
      </c>
    </row>
    <row r="1205" spans="1:29" x14ac:dyDescent="0.3">
      <c r="A1205" s="34">
        <v>46274</v>
      </c>
      <c r="B1205" s="34">
        <v>46274</v>
      </c>
      <c r="C1205" s="5" t="s">
        <v>78</v>
      </c>
      <c r="D1205" s="5" t="s">
        <v>79</v>
      </c>
      <c r="E1205" s="5" t="s">
        <v>80</v>
      </c>
      <c r="F1205" s="5">
        <v>9585</v>
      </c>
      <c r="G1205" s="5" t="s">
        <v>3707</v>
      </c>
      <c r="H1205" s="5" t="s">
        <v>3708</v>
      </c>
      <c r="I1205" s="5" t="s">
        <v>3585</v>
      </c>
      <c r="N1205" s="5" t="s">
        <v>3709</v>
      </c>
      <c r="O1205" s="5">
        <v>106.2</v>
      </c>
      <c r="P1205" s="5">
        <v>106.24</v>
      </c>
      <c r="Q1205" s="5">
        <v>105.9</v>
      </c>
      <c r="R1205" s="5">
        <v>106.14</v>
      </c>
      <c r="S1205" s="5">
        <v>105.9</v>
      </c>
      <c r="T1205" s="5">
        <v>106.09</v>
      </c>
      <c r="V1205" s="5">
        <v>106.14</v>
      </c>
      <c r="Y1205" s="5">
        <v>465988</v>
      </c>
      <c r="Z1205" s="5">
        <v>49465370.090000004</v>
      </c>
      <c r="AA1205" s="5">
        <v>200</v>
      </c>
      <c r="AB1205" s="5" t="s">
        <v>85</v>
      </c>
      <c r="AC1205" s="5">
        <v>1</v>
      </c>
    </row>
    <row r="1206" spans="1:29" x14ac:dyDescent="0.3">
      <c r="A1206" s="34">
        <v>46274</v>
      </c>
      <c r="B1206" s="34">
        <v>46274</v>
      </c>
      <c r="C1206" s="5" t="s">
        <v>78</v>
      </c>
      <c r="D1206" s="5" t="s">
        <v>79</v>
      </c>
      <c r="E1206" s="5" t="s">
        <v>80</v>
      </c>
      <c r="F1206" s="5">
        <v>763489</v>
      </c>
      <c r="G1206" s="5" t="s">
        <v>3710</v>
      </c>
      <c r="H1206" s="5" t="s">
        <v>3711</v>
      </c>
      <c r="I1206" s="5" t="s">
        <v>3585</v>
      </c>
      <c r="N1206" s="5" t="s">
        <v>3712</v>
      </c>
      <c r="O1206" s="5">
        <v>103.75</v>
      </c>
      <c r="P1206" s="5">
        <v>103.75</v>
      </c>
      <c r="Q1206" s="5">
        <v>103.15</v>
      </c>
      <c r="R1206" s="5">
        <v>103.35</v>
      </c>
      <c r="S1206" s="5">
        <v>103.35</v>
      </c>
      <c r="T1206" s="5">
        <v>103.15</v>
      </c>
      <c r="V1206" s="5">
        <v>103.31</v>
      </c>
      <c r="Y1206" s="5">
        <v>38959</v>
      </c>
      <c r="Z1206" s="5">
        <v>4024223.87</v>
      </c>
      <c r="AA1206" s="5">
        <v>49</v>
      </c>
      <c r="AB1206" s="5" t="s">
        <v>85</v>
      </c>
      <c r="AC1206" s="5">
        <v>1</v>
      </c>
    </row>
    <row r="1207" spans="1:29" x14ac:dyDescent="0.3">
      <c r="A1207" s="34">
        <v>46274</v>
      </c>
      <c r="B1207" s="34">
        <v>46274</v>
      </c>
      <c r="C1207" s="5" t="s">
        <v>78</v>
      </c>
      <c r="D1207" s="5" t="s">
        <v>79</v>
      </c>
      <c r="E1207" s="5" t="s">
        <v>80</v>
      </c>
      <c r="F1207" s="5">
        <v>7184</v>
      </c>
      <c r="G1207" s="5" t="s">
        <v>3713</v>
      </c>
      <c r="H1207" s="5" t="s">
        <v>3714</v>
      </c>
      <c r="I1207" s="5" t="s">
        <v>3585</v>
      </c>
      <c r="N1207" s="5" t="s">
        <v>3715</v>
      </c>
      <c r="O1207" s="5">
        <v>100.7</v>
      </c>
      <c r="P1207" s="5">
        <v>101</v>
      </c>
      <c r="Q1207" s="5">
        <v>100</v>
      </c>
      <c r="R1207" s="5">
        <v>101</v>
      </c>
      <c r="S1207" s="5">
        <v>101</v>
      </c>
      <c r="T1207" s="5">
        <v>100.8</v>
      </c>
      <c r="V1207" s="5">
        <v>101</v>
      </c>
      <c r="Y1207" s="5">
        <v>10479</v>
      </c>
      <c r="Z1207" s="5">
        <v>1053359</v>
      </c>
      <c r="AA1207" s="5">
        <v>12</v>
      </c>
      <c r="AB1207" s="5" t="s">
        <v>85</v>
      </c>
      <c r="AC1207" s="5">
        <v>1</v>
      </c>
    </row>
    <row r="1208" spans="1:29" x14ac:dyDescent="0.3">
      <c r="A1208" s="34">
        <v>46274</v>
      </c>
      <c r="B1208" s="34">
        <v>46274</v>
      </c>
      <c r="C1208" s="5" t="s">
        <v>78</v>
      </c>
      <c r="D1208" s="5" t="s">
        <v>79</v>
      </c>
      <c r="E1208" s="5" t="s">
        <v>80</v>
      </c>
      <c r="F1208" s="5">
        <v>9047</v>
      </c>
      <c r="G1208" s="5" t="s">
        <v>3716</v>
      </c>
      <c r="H1208" s="5" t="s">
        <v>3717</v>
      </c>
      <c r="I1208" s="5" t="s">
        <v>3585</v>
      </c>
      <c r="N1208" s="5" t="s">
        <v>3718</v>
      </c>
      <c r="O1208" s="5">
        <v>106</v>
      </c>
      <c r="P1208" s="5">
        <v>106</v>
      </c>
      <c r="Q1208" s="5">
        <v>103.26</v>
      </c>
      <c r="R1208" s="5">
        <v>104.1</v>
      </c>
      <c r="S1208" s="5">
        <v>104.1</v>
      </c>
      <c r="T1208" s="5">
        <v>106</v>
      </c>
      <c r="V1208" s="5">
        <v>104.1</v>
      </c>
      <c r="Y1208" s="5">
        <v>6101</v>
      </c>
      <c r="Z1208" s="5">
        <v>634276</v>
      </c>
      <c r="AA1208" s="5">
        <v>5</v>
      </c>
      <c r="AB1208" s="5" t="s">
        <v>85</v>
      </c>
      <c r="AC1208" s="5">
        <v>1</v>
      </c>
    </row>
    <row r="1209" spans="1:29" x14ac:dyDescent="0.3">
      <c r="A1209" s="34">
        <v>46274</v>
      </c>
      <c r="B1209" s="34">
        <v>46274</v>
      </c>
      <c r="C1209" s="5" t="s">
        <v>78</v>
      </c>
      <c r="D1209" s="5" t="s">
        <v>79</v>
      </c>
      <c r="E1209" s="5" t="s">
        <v>80</v>
      </c>
      <c r="F1209" s="5">
        <v>9913</v>
      </c>
      <c r="G1209" s="5" t="s">
        <v>3719</v>
      </c>
      <c r="H1209" s="5" t="s">
        <v>3720</v>
      </c>
      <c r="I1209" s="5" t="s">
        <v>3585</v>
      </c>
      <c r="N1209" s="5" t="s">
        <v>3721</v>
      </c>
      <c r="O1209" s="5">
        <v>102.35</v>
      </c>
      <c r="P1209" s="5">
        <v>103</v>
      </c>
      <c r="Q1209" s="5">
        <v>102.35</v>
      </c>
      <c r="R1209" s="5">
        <v>102.64</v>
      </c>
      <c r="S1209" s="5">
        <v>103</v>
      </c>
      <c r="T1209" s="5">
        <v>102.35</v>
      </c>
      <c r="V1209" s="5">
        <v>102.64</v>
      </c>
      <c r="Y1209" s="5">
        <v>261569</v>
      </c>
      <c r="Z1209" s="5">
        <v>26787724.239999998</v>
      </c>
      <c r="AA1209" s="5">
        <v>38</v>
      </c>
      <c r="AB1209" s="5" t="s">
        <v>85</v>
      </c>
      <c r="AC1209" s="5">
        <v>1</v>
      </c>
    </row>
    <row r="1210" spans="1:29" x14ac:dyDescent="0.3">
      <c r="A1210" s="34">
        <v>46274</v>
      </c>
      <c r="B1210" s="34">
        <v>46274</v>
      </c>
      <c r="C1210" s="5" t="s">
        <v>78</v>
      </c>
      <c r="D1210" s="5" t="s">
        <v>79</v>
      </c>
      <c r="E1210" s="5" t="s">
        <v>80</v>
      </c>
      <c r="F1210" s="5">
        <v>6874</v>
      </c>
      <c r="G1210" s="5" t="s">
        <v>3722</v>
      </c>
      <c r="H1210" s="5" t="s">
        <v>3723</v>
      </c>
      <c r="I1210" s="5" t="s">
        <v>3585</v>
      </c>
      <c r="N1210" s="5" t="s">
        <v>3724</v>
      </c>
      <c r="O1210" s="5">
        <v>103.4</v>
      </c>
      <c r="P1210" s="5">
        <v>103.4</v>
      </c>
      <c r="Q1210" s="5">
        <v>103.4</v>
      </c>
      <c r="R1210" s="5">
        <v>103.4</v>
      </c>
      <c r="S1210" s="5">
        <v>103.4</v>
      </c>
      <c r="T1210" s="5">
        <v>103.4</v>
      </c>
      <c r="V1210" s="5">
        <v>103.4</v>
      </c>
      <c r="Y1210" s="5">
        <v>1200</v>
      </c>
      <c r="Z1210" s="5">
        <v>124080</v>
      </c>
      <c r="AA1210" s="5">
        <v>6</v>
      </c>
      <c r="AB1210" s="5" t="s">
        <v>85</v>
      </c>
      <c r="AC1210" s="5">
        <v>1</v>
      </c>
    </row>
    <row r="1211" spans="1:29" x14ac:dyDescent="0.3">
      <c r="A1211" s="34">
        <v>46274</v>
      </c>
      <c r="B1211" s="34">
        <v>46274</v>
      </c>
      <c r="C1211" s="5" t="s">
        <v>78</v>
      </c>
      <c r="D1211" s="5" t="s">
        <v>79</v>
      </c>
      <c r="E1211" s="5" t="s">
        <v>80</v>
      </c>
      <c r="F1211" s="5">
        <v>6873</v>
      </c>
      <c r="G1211" s="5" t="s">
        <v>3725</v>
      </c>
      <c r="H1211" s="5" t="s">
        <v>3726</v>
      </c>
      <c r="I1211" s="5" t="s">
        <v>3585</v>
      </c>
      <c r="N1211" s="5" t="s">
        <v>3727</v>
      </c>
      <c r="O1211" s="5">
        <v>102.35</v>
      </c>
      <c r="P1211" s="5">
        <v>103.93</v>
      </c>
      <c r="Q1211" s="5">
        <v>102.33</v>
      </c>
      <c r="R1211" s="5">
        <v>103.93</v>
      </c>
      <c r="S1211" s="5">
        <v>103.93</v>
      </c>
      <c r="T1211" s="5">
        <v>105</v>
      </c>
      <c r="V1211" s="5">
        <v>103.93</v>
      </c>
      <c r="Y1211" s="5">
        <v>30150</v>
      </c>
      <c r="Z1211" s="5">
        <v>3095339.5</v>
      </c>
      <c r="AA1211" s="5">
        <v>6</v>
      </c>
      <c r="AB1211" s="5" t="s">
        <v>85</v>
      </c>
      <c r="AC1211" s="5">
        <v>1</v>
      </c>
    </row>
    <row r="1212" spans="1:29" x14ac:dyDescent="0.3">
      <c r="A1212" s="34">
        <v>46274</v>
      </c>
      <c r="B1212" s="34">
        <v>46274</v>
      </c>
      <c r="C1212" s="5" t="s">
        <v>78</v>
      </c>
      <c r="D1212" s="5" t="s">
        <v>79</v>
      </c>
      <c r="E1212" s="5" t="s">
        <v>80</v>
      </c>
      <c r="F1212" s="5">
        <v>6835</v>
      </c>
      <c r="G1212" s="5" t="s">
        <v>3728</v>
      </c>
      <c r="H1212" s="5" t="s">
        <v>3729</v>
      </c>
      <c r="I1212" s="5" t="s">
        <v>3585</v>
      </c>
      <c r="N1212" s="5" t="s">
        <v>3730</v>
      </c>
      <c r="O1212" s="5">
        <v>105</v>
      </c>
      <c r="P1212" s="5">
        <v>105</v>
      </c>
      <c r="Q1212" s="5">
        <v>105</v>
      </c>
      <c r="R1212" s="5">
        <v>105</v>
      </c>
      <c r="S1212" s="5">
        <v>105</v>
      </c>
      <c r="T1212" s="5">
        <v>107.2</v>
      </c>
      <c r="V1212" s="5">
        <v>105</v>
      </c>
      <c r="Y1212" s="5">
        <v>50</v>
      </c>
      <c r="Z1212" s="5">
        <v>5250</v>
      </c>
      <c r="AA1212" s="5">
        <v>1</v>
      </c>
      <c r="AB1212" s="5" t="s">
        <v>85</v>
      </c>
      <c r="AC1212" s="5">
        <v>1</v>
      </c>
    </row>
    <row r="1213" spans="1:29" x14ac:dyDescent="0.3">
      <c r="A1213" s="34">
        <v>46274</v>
      </c>
      <c r="B1213" s="34">
        <v>46274</v>
      </c>
      <c r="C1213" s="5" t="s">
        <v>78</v>
      </c>
      <c r="D1213" s="5" t="s">
        <v>79</v>
      </c>
      <c r="E1213" s="5" t="s">
        <v>80</v>
      </c>
      <c r="F1213" s="5">
        <v>7106</v>
      </c>
      <c r="G1213" s="5" t="s">
        <v>3731</v>
      </c>
      <c r="H1213" s="5" t="s">
        <v>3732</v>
      </c>
      <c r="I1213" s="5" t="s">
        <v>3585</v>
      </c>
      <c r="N1213" s="5" t="s">
        <v>3733</v>
      </c>
      <c r="O1213" s="5">
        <v>111.35</v>
      </c>
      <c r="P1213" s="5">
        <v>111.35</v>
      </c>
      <c r="Q1213" s="5">
        <v>111.35</v>
      </c>
      <c r="R1213" s="5">
        <v>111.35</v>
      </c>
      <c r="S1213" s="5">
        <v>111.35</v>
      </c>
      <c r="T1213" s="5">
        <v>108.46</v>
      </c>
      <c r="V1213" s="5">
        <v>111.35</v>
      </c>
      <c r="Y1213" s="5">
        <v>1</v>
      </c>
      <c r="Z1213" s="5">
        <v>111.35</v>
      </c>
      <c r="AA1213" s="5">
        <v>1</v>
      </c>
      <c r="AB1213" s="5" t="s">
        <v>85</v>
      </c>
      <c r="AC1213" s="5">
        <v>1</v>
      </c>
    </row>
    <row r="1214" spans="1:29" x14ac:dyDescent="0.3">
      <c r="A1214" s="34">
        <v>46274</v>
      </c>
      <c r="B1214" s="34">
        <v>46274</v>
      </c>
      <c r="C1214" s="5" t="s">
        <v>78</v>
      </c>
      <c r="D1214" s="5" t="s">
        <v>79</v>
      </c>
      <c r="E1214" s="5" t="s">
        <v>80</v>
      </c>
      <c r="F1214" s="5">
        <v>6884</v>
      </c>
      <c r="G1214" s="5" t="s">
        <v>3734</v>
      </c>
      <c r="H1214" s="5" t="s">
        <v>3735</v>
      </c>
      <c r="I1214" s="5" t="s">
        <v>3585</v>
      </c>
      <c r="N1214" s="5" t="s">
        <v>3736</v>
      </c>
      <c r="O1214" s="5">
        <v>101</v>
      </c>
      <c r="P1214" s="5">
        <v>101.65</v>
      </c>
      <c r="Q1214" s="5">
        <v>101</v>
      </c>
      <c r="R1214" s="5">
        <v>101.65</v>
      </c>
      <c r="S1214" s="5">
        <v>101.65</v>
      </c>
      <c r="T1214" s="5">
        <v>101.65</v>
      </c>
      <c r="V1214" s="5">
        <v>101.65</v>
      </c>
      <c r="Y1214" s="5">
        <v>1891</v>
      </c>
      <c r="Z1214" s="5">
        <v>192167.15</v>
      </c>
      <c r="AA1214" s="5">
        <v>7</v>
      </c>
      <c r="AB1214" s="5" t="s">
        <v>85</v>
      </c>
      <c r="AC1214" s="5">
        <v>1</v>
      </c>
    </row>
    <row r="1215" spans="1:29" x14ac:dyDescent="0.3">
      <c r="A1215" s="34">
        <v>46274</v>
      </c>
      <c r="B1215" s="34">
        <v>46274</v>
      </c>
      <c r="C1215" s="5" t="s">
        <v>78</v>
      </c>
      <c r="D1215" s="5" t="s">
        <v>79</v>
      </c>
      <c r="E1215" s="5" t="s">
        <v>80</v>
      </c>
      <c r="F1215" s="5">
        <v>7011</v>
      </c>
      <c r="G1215" s="5" t="s">
        <v>3737</v>
      </c>
      <c r="H1215" s="5" t="s">
        <v>3738</v>
      </c>
      <c r="I1215" s="5" t="s">
        <v>3585</v>
      </c>
      <c r="N1215" s="5" t="s">
        <v>3739</v>
      </c>
      <c r="O1215" s="5">
        <v>115</v>
      </c>
      <c r="P1215" s="5">
        <v>115</v>
      </c>
      <c r="Q1215" s="5">
        <v>112.5</v>
      </c>
      <c r="R1215" s="5">
        <v>112.5</v>
      </c>
      <c r="S1215" s="5">
        <v>112.5</v>
      </c>
      <c r="T1215" s="5">
        <v>115</v>
      </c>
      <c r="V1215" s="5">
        <v>112.5</v>
      </c>
      <c r="Y1215" s="5">
        <v>1500</v>
      </c>
      <c r="Z1215" s="5">
        <v>171562.5</v>
      </c>
      <c r="AA1215" s="5">
        <v>8</v>
      </c>
      <c r="AB1215" s="5" t="s">
        <v>85</v>
      </c>
      <c r="AC1215" s="5">
        <v>1</v>
      </c>
    </row>
    <row r="1216" spans="1:29" x14ac:dyDescent="0.3">
      <c r="A1216" s="34">
        <v>46274</v>
      </c>
      <c r="B1216" s="34">
        <v>46274</v>
      </c>
      <c r="C1216" s="5" t="s">
        <v>78</v>
      </c>
      <c r="D1216" s="5" t="s">
        <v>79</v>
      </c>
      <c r="E1216" s="5" t="s">
        <v>80</v>
      </c>
      <c r="F1216" s="5">
        <v>7039</v>
      </c>
      <c r="G1216" s="5" t="s">
        <v>3740</v>
      </c>
      <c r="H1216" s="5" t="s">
        <v>3741</v>
      </c>
      <c r="I1216" s="5" t="s">
        <v>3585</v>
      </c>
      <c r="N1216" s="5" t="s">
        <v>3742</v>
      </c>
      <c r="O1216" s="5">
        <v>116.4</v>
      </c>
      <c r="P1216" s="5">
        <v>116.49</v>
      </c>
      <c r="Q1216" s="5">
        <v>116.4</v>
      </c>
      <c r="R1216" s="5">
        <v>116.4</v>
      </c>
      <c r="S1216" s="5">
        <v>116.4</v>
      </c>
      <c r="T1216" s="5">
        <v>115.1</v>
      </c>
      <c r="V1216" s="5">
        <v>116.4</v>
      </c>
      <c r="Y1216" s="5">
        <v>494</v>
      </c>
      <c r="Z1216" s="5">
        <v>57519.06</v>
      </c>
      <c r="AA1216" s="5">
        <v>4</v>
      </c>
      <c r="AB1216" s="5" t="s">
        <v>85</v>
      </c>
      <c r="AC1216" s="5">
        <v>1</v>
      </c>
    </row>
    <row r="1217" spans="1:29" x14ac:dyDescent="0.3">
      <c r="A1217" s="34">
        <v>46274</v>
      </c>
      <c r="B1217" s="34">
        <v>46274</v>
      </c>
      <c r="C1217" s="5" t="s">
        <v>78</v>
      </c>
      <c r="D1217" s="5" t="s">
        <v>79</v>
      </c>
      <c r="E1217" s="5" t="s">
        <v>80</v>
      </c>
      <c r="F1217" s="5">
        <v>761480</v>
      </c>
      <c r="G1217" s="5" t="s">
        <v>3743</v>
      </c>
      <c r="H1217" s="5" t="s">
        <v>3744</v>
      </c>
      <c r="I1217" s="5" t="s">
        <v>3745</v>
      </c>
      <c r="N1217" s="5" t="s">
        <v>3746</v>
      </c>
      <c r="O1217" s="5">
        <v>99.8</v>
      </c>
      <c r="P1217" s="5">
        <v>99.8</v>
      </c>
      <c r="Q1217" s="5">
        <v>99.8</v>
      </c>
      <c r="R1217" s="5">
        <v>99.8</v>
      </c>
      <c r="S1217" s="5">
        <v>99.8</v>
      </c>
      <c r="T1217" s="5">
        <v>99.8</v>
      </c>
      <c r="V1217" s="5">
        <v>99.8</v>
      </c>
      <c r="Y1217" s="5">
        <v>5800</v>
      </c>
      <c r="Z1217" s="5">
        <v>578840</v>
      </c>
      <c r="AA1217" s="5">
        <v>2</v>
      </c>
      <c r="AB1217" s="5" t="s">
        <v>85</v>
      </c>
      <c r="AC1217" s="5">
        <v>100</v>
      </c>
    </row>
    <row r="1218" spans="1:29" x14ac:dyDescent="0.3">
      <c r="A1218" s="34">
        <v>46274</v>
      </c>
      <c r="B1218" s="34">
        <v>46274</v>
      </c>
      <c r="C1218" s="5" t="s">
        <v>78</v>
      </c>
      <c r="D1218" s="5" t="s">
        <v>79</v>
      </c>
      <c r="E1218" s="5" t="s">
        <v>80</v>
      </c>
      <c r="F1218" s="5">
        <v>763289</v>
      </c>
      <c r="G1218" s="5" t="s">
        <v>3747</v>
      </c>
      <c r="H1218" s="5" t="s">
        <v>3748</v>
      </c>
      <c r="I1218" s="5" t="s">
        <v>3745</v>
      </c>
      <c r="N1218" s="5" t="s">
        <v>3749</v>
      </c>
      <c r="O1218" s="5">
        <v>95.39</v>
      </c>
      <c r="P1218" s="5">
        <v>95.39</v>
      </c>
      <c r="Q1218" s="5">
        <v>95.39</v>
      </c>
      <c r="R1218" s="5">
        <v>95.39</v>
      </c>
      <c r="S1218" s="5">
        <v>95.39</v>
      </c>
      <c r="T1218" s="5">
        <v>95.6</v>
      </c>
      <c r="V1218" s="5">
        <v>95.39</v>
      </c>
      <c r="Y1218" s="5">
        <v>172700</v>
      </c>
      <c r="Z1218" s="5">
        <v>16473853</v>
      </c>
      <c r="AA1218" s="5">
        <v>10</v>
      </c>
      <c r="AB1218" s="5" t="s">
        <v>85</v>
      </c>
      <c r="AC1218" s="5">
        <v>100</v>
      </c>
    </row>
    <row r="1219" spans="1:29" x14ac:dyDescent="0.3">
      <c r="A1219" s="34">
        <v>46274</v>
      </c>
      <c r="B1219" s="34">
        <v>46274</v>
      </c>
      <c r="C1219" s="5" t="s">
        <v>78</v>
      </c>
      <c r="D1219" s="5" t="s">
        <v>79</v>
      </c>
      <c r="E1219" s="5" t="s">
        <v>80</v>
      </c>
      <c r="F1219" s="5">
        <v>764049</v>
      </c>
      <c r="G1219" s="5" t="s">
        <v>3750</v>
      </c>
      <c r="H1219" s="5" t="s">
        <v>3751</v>
      </c>
      <c r="I1219" s="5" t="s">
        <v>3745</v>
      </c>
      <c r="N1219" s="5" t="s">
        <v>3752</v>
      </c>
      <c r="O1219" s="5">
        <v>94.37</v>
      </c>
      <c r="P1219" s="5">
        <v>94.37</v>
      </c>
      <c r="Q1219" s="5">
        <v>94.37</v>
      </c>
      <c r="R1219" s="5">
        <v>94.37</v>
      </c>
      <c r="S1219" s="5">
        <v>94.37</v>
      </c>
      <c r="T1219" s="5">
        <v>94.2</v>
      </c>
      <c r="V1219" s="5">
        <v>94.37</v>
      </c>
      <c r="Y1219" s="5">
        <v>400</v>
      </c>
      <c r="Z1219" s="5">
        <v>37748</v>
      </c>
      <c r="AA1219" s="5">
        <v>1</v>
      </c>
      <c r="AB1219" s="5" t="s">
        <v>85</v>
      </c>
      <c r="AC1219" s="5">
        <v>100</v>
      </c>
    </row>
    <row r="1220" spans="1:29" x14ac:dyDescent="0.3">
      <c r="A1220" s="34">
        <v>46274</v>
      </c>
      <c r="B1220" s="34">
        <v>46274</v>
      </c>
      <c r="C1220" s="5" t="s">
        <v>78</v>
      </c>
      <c r="D1220" s="5" t="s">
        <v>79</v>
      </c>
      <c r="E1220" s="5" t="s">
        <v>80</v>
      </c>
      <c r="F1220" s="5">
        <v>31784</v>
      </c>
      <c r="G1220" s="5" t="s">
        <v>3753</v>
      </c>
      <c r="H1220" s="5" t="s">
        <v>3754</v>
      </c>
      <c r="I1220" s="5" t="s">
        <v>3745</v>
      </c>
      <c r="N1220" s="5" t="s">
        <v>3755</v>
      </c>
      <c r="O1220" s="5">
        <v>94.83</v>
      </c>
      <c r="P1220" s="5">
        <v>94.83</v>
      </c>
      <c r="Q1220" s="5">
        <v>94.83</v>
      </c>
      <c r="R1220" s="5">
        <v>94.83</v>
      </c>
      <c r="S1220" s="5">
        <v>94.83</v>
      </c>
      <c r="T1220" s="5">
        <v>95.73</v>
      </c>
      <c r="V1220" s="5">
        <v>94.83</v>
      </c>
      <c r="Y1220" s="5">
        <v>25600</v>
      </c>
      <c r="Z1220" s="5">
        <v>2427648</v>
      </c>
      <c r="AA1220" s="5">
        <v>6</v>
      </c>
      <c r="AB1220" s="5" t="s">
        <v>85</v>
      </c>
      <c r="AC1220" s="5">
        <v>100</v>
      </c>
    </row>
    <row r="1221" spans="1:29" x14ac:dyDescent="0.3">
      <c r="A1221" s="34">
        <v>46274</v>
      </c>
      <c r="B1221" s="34">
        <v>46274</v>
      </c>
      <c r="C1221" s="5" t="s">
        <v>78</v>
      </c>
      <c r="D1221" s="5" t="s">
        <v>79</v>
      </c>
      <c r="E1221" s="5" t="s">
        <v>80</v>
      </c>
      <c r="F1221" s="5">
        <v>761384</v>
      </c>
      <c r="G1221" s="5" t="s">
        <v>3756</v>
      </c>
      <c r="H1221" s="5" t="s">
        <v>3757</v>
      </c>
      <c r="I1221" s="5" t="s">
        <v>3745</v>
      </c>
      <c r="N1221" s="5" t="s">
        <v>3758</v>
      </c>
      <c r="O1221" s="5">
        <v>96.32</v>
      </c>
      <c r="P1221" s="5">
        <v>96.32</v>
      </c>
      <c r="Q1221" s="5">
        <v>96.32</v>
      </c>
      <c r="R1221" s="5">
        <v>96.32</v>
      </c>
      <c r="S1221" s="5">
        <v>96.32</v>
      </c>
      <c r="T1221" s="5">
        <v>96.57</v>
      </c>
      <c r="V1221" s="5">
        <v>96.32</v>
      </c>
      <c r="Y1221" s="5">
        <v>55000</v>
      </c>
      <c r="Z1221" s="5">
        <v>5297600</v>
      </c>
      <c r="AA1221" s="5">
        <v>8</v>
      </c>
      <c r="AB1221" s="5" t="s">
        <v>85</v>
      </c>
      <c r="AC1221" s="5">
        <v>100</v>
      </c>
    </row>
    <row r="1222" spans="1:29" x14ac:dyDescent="0.3">
      <c r="A1222" s="34">
        <v>46274</v>
      </c>
      <c r="B1222" s="34">
        <v>46274</v>
      </c>
      <c r="C1222" s="5" t="s">
        <v>78</v>
      </c>
      <c r="D1222" s="5" t="s">
        <v>79</v>
      </c>
      <c r="E1222" s="5" t="s">
        <v>80</v>
      </c>
      <c r="F1222" s="5">
        <v>753799</v>
      </c>
      <c r="G1222" s="5" t="s">
        <v>3759</v>
      </c>
      <c r="H1222" s="5" t="s">
        <v>3760</v>
      </c>
      <c r="I1222" s="5" t="s">
        <v>3745</v>
      </c>
      <c r="N1222" s="5" t="s">
        <v>3761</v>
      </c>
      <c r="O1222" s="5">
        <v>94.71</v>
      </c>
      <c r="P1222" s="5">
        <v>94.71</v>
      </c>
      <c r="Q1222" s="5">
        <v>94.71</v>
      </c>
      <c r="R1222" s="5">
        <v>94.71</v>
      </c>
      <c r="S1222" s="5">
        <v>94.71</v>
      </c>
      <c r="T1222" s="5">
        <v>95</v>
      </c>
      <c r="V1222" s="5">
        <v>94.71</v>
      </c>
      <c r="Y1222" s="5">
        <v>39400</v>
      </c>
      <c r="Z1222" s="5">
        <v>3731574</v>
      </c>
      <c r="AA1222" s="5">
        <v>5</v>
      </c>
      <c r="AB1222" s="5" t="s">
        <v>85</v>
      </c>
      <c r="AC1222" s="5">
        <v>100</v>
      </c>
    </row>
    <row r="1223" spans="1:29" x14ac:dyDescent="0.3">
      <c r="A1223" s="34">
        <v>46274</v>
      </c>
      <c r="B1223" s="34">
        <v>46274</v>
      </c>
      <c r="C1223" s="5" t="s">
        <v>78</v>
      </c>
      <c r="D1223" s="5" t="s">
        <v>79</v>
      </c>
      <c r="E1223" s="5" t="s">
        <v>80</v>
      </c>
      <c r="F1223" s="5">
        <v>755802</v>
      </c>
      <c r="G1223" s="5" t="s">
        <v>3762</v>
      </c>
      <c r="H1223" s="5" t="s">
        <v>3763</v>
      </c>
      <c r="I1223" s="5" t="s">
        <v>3745</v>
      </c>
      <c r="N1223" s="5" t="s">
        <v>3764</v>
      </c>
      <c r="O1223" s="5">
        <v>94.6</v>
      </c>
      <c r="P1223" s="5">
        <v>94.6</v>
      </c>
      <c r="Q1223" s="5">
        <v>94.6</v>
      </c>
      <c r="R1223" s="5">
        <v>94.6</v>
      </c>
      <c r="S1223" s="5">
        <v>94.6</v>
      </c>
      <c r="T1223" s="5">
        <v>95.25</v>
      </c>
      <c r="V1223" s="5">
        <v>94.6</v>
      </c>
      <c r="Y1223" s="5">
        <v>74800</v>
      </c>
      <c r="Z1223" s="5">
        <v>7076080</v>
      </c>
      <c r="AA1223" s="5">
        <v>7</v>
      </c>
      <c r="AB1223" s="5" t="s">
        <v>85</v>
      </c>
      <c r="AC1223" s="5">
        <v>100</v>
      </c>
    </row>
    <row r="1224" spans="1:29" x14ac:dyDescent="0.3">
      <c r="A1224" s="34">
        <v>46274</v>
      </c>
      <c r="B1224" s="34">
        <v>46274</v>
      </c>
      <c r="C1224" s="5" t="s">
        <v>78</v>
      </c>
      <c r="D1224" s="5" t="s">
        <v>79</v>
      </c>
      <c r="E1224" s="5" t="s">
        <v>80</v>
      </c>
      <c r="F1224" s="5">
        <v>760166</v>
      </c>
      <c r="G1224" s="5" t="s">
        <v>3765</v>
      </c>
      <c r="H1224" s="5" t="s">
        <v>3766</v>
      </c>
      <c r="I1224" s="5" t="s">
        <v>3745</v>
      </c>
      <c r="N1224" s="5" t="s">
        <v>3767</v>
      </c>
      <c r="O1224" s="5">
        <v>96.67</v>
      </c>
      <c r="P1224" s="5">
        <v>96.8</v>
      </c>
      <c r="Q1224" s="5">
        <v>96.67</v>
      </c>
      <c r="R1224" s="5">
        <v>96.8</v>
      </c>
      <c r="S1224" s="5">
        <v>96.8</v>
      </c>
      <c r="T1224" s="5">
        <v>97.06</v>
      </c>
      <c r="V1224" s="5">
        <v>96.75</v>
      </c>
      <c r="Y1224" s="5">
        <v>200</v>
      </c>
      <c r="Z1224" s="5">
        <v>19347</v>
      </c>
      <c r="AA1224" s="5">
        <v>2</v>
      </c>
      <c r="AB1224" s="5" t="s">
        <v>85</v>
      </c>
      <c r="AC1224" s="5">
        <v>100</v>
      </c>
    </row>
    <row r="1225" spans="1:29" x14ac:dyDescent="0.3">
      <c r="A1225" s="34">
        <v>46274</v>
      </c>
      <c r="B1225" s="34">
        <v>46274</v>
      </c>
      <c r="C1225" s="5" t="s">
        <v>78</v>
      </c>
      <c r="D1225" s="5" t="s">
        <v>79</v>
      </c>
      <c r="E1225" s="5" t="s">
        <v>80</v>
      </c>
      <c r="F1225" s="5">
        <v>765442</v>
      </c>
      <c r="G1225" s="5" t="s">
        <v>3768</v>
      </c>
      <c r="H1225" s="5" t="s">
        <v>3769</v>
      </c>
      <c r="I1225" s="5" t="s">
        <v>3745</v>
      </c>
      <c r="N1225" s="5" t="s">
        <v>3770</v>
      </c>
      <c r="O1225" s="5">
        <v>98.15</v>
      </c>
      <c r="P1225" s="5">
        <v>98.5</v>
      </c>
      <c r="Q1225" s="5">
        <v>98.15</v>
      </c>
      <c r="R1225" s="5">
        <v>98.32</v>
      </c>
      <c r="S1225" s="5">
        <v>98.5</v>
      </c>
      <c r="T1225" s="5">
        <v>98.52</v>
      </c>
      <c r="V1225" s="5">
        <v>98.32</v>
      </c>
      <c r="Y1225" s="5">
        <v>600</v>
      </c>
      <c r="Z1225" s="5">
        <v>58995</v>
      </c>
      <c r="AA1225" s="5">
        <v>2</v>
      </c>
      <c r="AB1225" s="5" t="s">
        <v>85</v>
      </c>
      <c r="AC1225" s="5">
        <v>100</v>
      </c>
    </row>
    <row r="1226" spans="1:29" x14ac:dyDescent="0.3">
      <c r="A1226" s="34">
        <v>46274</v>
      </c>
      <c r="B1226" s="34">
        <v>46274</v>
      </c>
      <c r="C1226" s="5" t="s">
        <v>78</v>
      </c>
      <c r="D1226" s="5" t="s">
        <v>79</v>
      </c>
      <c r="E1226" s="5" t="s">
        <v>80</v>
      </c>
      <c r="F1226" s="5">
        <v>764328</v>
      </c>
      <c r="G1226" s="5" t="s">
        <v>3771</v>
      </c>
      <c r="H1226" s="5" t="s">
        <v>3772</v>
      </c>
      <c r="I1226" s="5" t="s">
        <v>3745</v>
      </c>
      <c r="N1226" s="5" t="s">
        <v>3773</v>
      </c>
      <c r="O1226" s="5">
        <v>99.06</v>
      </c>
      <c r="P1226" s="5">
        <v>99.06</v>
      </c>
      <c r="Q1226" s="5">
        <v>99.06</v>
      </c>
      <c r="R1226" s="5">
        <v>99.06</v>
      </c>
      <c r="S1226" s="5">
        <v>99.06</v>
      </c>
      <c r="T1226" s="5">
        <v>99</v>
      </c>
      <c r="V1226" s="5">
        <v>99.06</v>
      </c>
      <c r="Y1226" s="5">
        <v>100</v>
      </c>
      <c r="Z1226" s="5">
        <v>9906</v>
      </c>
      <c r="AA1226" s="5">
        <v>1</v>
      </c>
      <c r="AB1226" s="5" t="s">
        <v>85</v>
      </c>
      <c r="AC1226" s="5">
        <v>100</v>
      </c>
    </row>
    <row r="1227" spans="1:29" x14ac:dyDescent="0.3">
      <c r="A1227" s="34">
        <v>46274</v>
      </c>
      <c r="B1227" s="34">
        <v>46274</v>
      </c>
      <c r="C1227" s="5" t="s">
        <v>78</v>
      </c>
      <c r="D1227" s="5" t="s">
        <v>79</v>
      </c>
      <c r="E1227" s="5" t="s">
        <v>80</v>
      </c>
      <c r="F1227" s="5">
        <v>11778</v>
      </c>
      <c r="G1227" s="5" t="s">
        <v>3774</v>
      </c>
      <c r="H1227" s="5" t="s">
        <v>3775</v>
      </c>
      <c r="I1227" s="5" t="s">
        <v>212</v>
      </c>
      <c r="N1227" s="5" t="s">
        <v>3776</v>
      </c>
      <c r="O1227" s="5">
        <v>786.2</v>
      </c>
      <c r="P1227" s="5">
        <v>797.5</v>
      </c>
      <c r="Q1227" s="5">
        <v>770.1</v>
      </c>
      <c r="R1227" s="5">
        <v>785.45</v>
      </c>
      <c r="S1227" s="5">
        <v>780.1</v>
      </c>
      <c r="T1227" s="5">
        <v>781.3</v>
      </c>
      <c r="V1227" s="5">
        <v>785.4</v>
      </c>
      <c r="Y1227" s="5">
        <v>287821</v>
      </c>
      <c r="Z1227" s="5">
        <v>224956217.59999999</v>
      </c>
      <c r="AA1227" s="5">
        <v>15000</v>
      </c>
      <c r="AB1227" s="5" t="s">
        <v>85</v>
      </c>
      <c r="AC1227" s="5">
        <v>1</v>
      </c>
    </row>
    <row r="1228" spans="1:29" x14ac:dyDescent="0.3">
      <c r="A1228" s="34">
        <v>46274</v>
      </c>
      <c r="B1228" s="34">
        <v>46274</v>
      </c>
      <c r="C1228" s="5" t="s">
        <v>78</v>
      </c>
      <c r="D1228" s="5" t="s">
        <v>79</v>
      </c>
      <c r="E1228" s="5" t="s">
        <v>80</v>
      </c>
      <c r="F1228" s="5">
        <v>14480</v>
      </c>
      <c r="G1228" s="5" t="s">
        <v>3777</v>
      </c>
      <c r="H1228" s="5" t="s">
        <v>3778</v>
      </c>
      <c r="I1228" s="5" t="s">
        <v>212</v>
      </c>
      <c r="N1228" s="5" t="s">
        <v>3779</v>
      </c>
      <c r="O1228" s="5">
        <v>233</v>
      </c>
      <c r="P1228" s="5">
        <v>234</v>
      </c>
      <c r="Q1228" s="5">
        <v>229.5</v>
      </c>
      <c r="R1228" s="5">
        <v>230.56</v>
      </c>
      <c r="S1228" s="5">
        <v>230.02</v>
      </c>
      <c r="T1228" s="5">
        <v>233.15</v>
      </c>
      <c r="V1228" s="5">
        <v>230.56</v>
      </c>
      <c r="Y1228" s="5">
        <v>204827</v>
      </c>
      <c r="Z1228" s="5">
        <v>47416642.909999996</v>
      </c>
      <c r="AA1228" s="5">
        <v>6730</v>
      </c>
      <c r="AB1228" s="5" t="s">
        <v>85</v>
      </c>
      <c r="AC1228" s="5">
        <v>1</v>
      </c>
    </row>
    <row r="1229" spans="1:29" x14ac:dyDescent="0.3">
      <c r="A1229" s="34">
        <v>46274</v>
      </c>
      <c r="B1229" s="34">
        <v>46274</v>
      </c>
      <c r="C1229" s="5" t="s">
        <v>78</v>
      </c>
      <c r="D1229" s="5" t="s">
        <v>79</v>
      </c>
      <c r="E1229" s="5" t="s">
        <v>80</v>
      </c>
      <c r="F1229" s="5">
        <v>16705</v>
      </c>
      <c r="G1229" s="5" t="s">
        <v>3780</v>
      </c>
      <c r="H1229" s="5" t="s">
        <v>3781</v>
      </c>
      <c r="I1229" s="5" t="s">
        <v>212</v>
      </c>
      <c r="N1229" s="5" t="s">
        <v>3782</v>
      </c>
      <c r="O1229" s="5">
        <v>42.54</v>
      </c>
      <c r="P1229" s="5">
        <v>43.27</v>
      </c>
      <c r="Q1229" s="5">
        <v>42.12</v>
      </c>
      <c r="R1229" s="5">
        <v>42.78</v>
      </c>
      <c r="S1229" s="5">
        <v>42.6</v>
      </c>
      <c r="T1229" s="5">
        <v>42.54</v>
      </c>
      <c r="V1229" s="5">
        <v>42.77</v>
      </c>
      <c r="Y1229" s="5">
        <v>171792</v>
      </c>
      <c r="Z1229" s="5">
        <v>7357308.7300000004</v>
      </c>
      <c r="AA1229" s="5">
        <v>659</v>
      </c>
      <c r="AB1229" s="5" t="s">
        <v>85</v>
      </c>
      <c r="AC1229" s="5">
        <v>1</v>
      </c>
    </row>
    <row r="1230" spans="1:29" x14ac:dyDescent="0.3">
      <c r="A1230" s="34">
        <v>46274</v>
      </c>
      <c r="B1230" s="34">
        <v>46274</v>
      </c>
      <c r="C1230" s="5" t="s">
        <v>78</v>
      </c>
      <c r="D1230" s="5" t="s">
        <v>79</v>
      </c>
      <c r="E1230" s="5" t="s">
        <v>80</v>
      </c>
      <c r="F1230" s="5">
        <v>11619</v>
      </c>
      <c r="G1230" s="5" t="s">
        <v>3783</v>
      </c>
      <c r="H1230" s="5" t="s">
        <v>3784</v>
      </c>
      <c r="I1230" s="5" t="s">
        <v>614</v>
      </c>
      <c r="N1230" s="5" t="s">
        <v>3785</v>
      </c>
      <c r="O1230" s="5">
        <v>25.75</v>
      </c>
      <c r="P1230" s="5">
        <v>25.75</v>
      </c>
      <c r="Q1230" s="5">
        <v>24.11</v>
      </c>
      <c r="R1230" s="5">
        <v>25.1</v>
      </c>
      <c r="S1230" s="5">
        <v>25.2</v>
      </c>
      <c r="T1230" s="5">
        <v>25.3</v>
      </c>
      <c r="V1230" s="5">
        <v>25.1</v>
      </c>
      <c r="Y1230" s="5">
        <v>1108</v>
      </c>
      <c r="Z1230" s="5">
        <v>27328.69</v>
      </c>
      <c r="AA1230" s="5">
        <v>61</v>
      </c>
      <c r="AB1230" s="5" t="s">
        <v>85</v>
      </c>
      <c r="AC1230" s="5">
        <v>1</v>
      </c>
    </row>
    <row r="1231" spans="1:29" x14ac:dyDescent="0.3">
      <c r="A1231" s="34">
        <v>46274</v>
      </c>
      <c r="B1231" s="34">
        <v>46274</v>
      </c>
      <c r="C1231" s="5" t="s">
        <v>78</v>
      </c>
      <c r="D1231" s="5" t="s">
        <v>79</v>
      </c>
      <c r="E1231" s="5" t="s">
        <v>80</v>
      </c>
      <c r="F1231" s="5">
        <v>11971</v>
      </c>
      <c r="G1231" s="5" t="s">
        <v>3786</v>
      </c>
      <c r="H1231" s="5" t="s">
        <v>3787</v>
      </c>
      <c r="I1231" s="5" t="s">
        <v>212</v>
      </c>
      <c r="N1231" s="5" t="s">
        <v>3788</v>
      </c>
      <c r="O1231" s="5">
        <v>341</v>
      </c>
      <c r="P1231" s="5">
        <v>341.1</v>
      </c>
      <c r="Q1231" s="5">
        <v>328.25</v>
      </c>
      <c r="R1231" s="5">
        <v>329.8</v>
      </c>
      <c r="S1231" s="5">
        <v>329</v>
      </c>
      <c r="T1231" s="5">
        <v>338.2</v>
      </c>
      <c r="V1231" s="5">
        <v>329.8</v>
      </c>
      <c r="Y1231" s="5">
        <v>512298</v>
      </c>
      <c r="Z1231" s="5">
        <v>170733669.19999999</v>
      </c>
      <c r="AA1231" s="5">
        <v>10306</v>
      </c>
      <c r="AB1231" s="5" t="s">
        <v>85</v>
      </c>
      <c r="AC1231" s="5">
        <v>1</v>
      </c>
    </row>
    <row r="1232" spans="1:29" x14ac:dyDescent="0.3">
      <c r="A1232" s="34">
        <v>46274</v>
      </c>
      <c r="B1232" s="34">
        <v>46274</v>
      </c>
      <c r="C1232" s="5" t="s">
        <v>78</v>
      </c>
      <c r="D1232" s="5" t="s">
        <v>79</v>
      </c>
      <c r="E1232" s="5" t="s">
        <v>80</v>
      </c>
      <c r="F1232" s="5">
        <v>1</v>
      </c>
      <c r="G1232" s="5" t="s">
        <v>3789</v>
      </c>
      <c r="H1232" s="5" t="s">
        <v>3790</v>
      </c>
      <c r="I1232" s="5" t="s">
        <v>313</v>
      </c>
      <c r="N1232" s="5" t="s">
        <v>3791</v>
      </c>
      <c r="O1232" s="5">
        <v>7.45</v>
      </c>
      <c r="P1232" s="5">
        <v>7.8</v>
      </c>
      <c r="Q1232" s="5">
        <v>7.4</v>
      </c>
      <c r="R1232" s="5">
        <v>7.5</v>
      </c>
      <c r="S1232" s="5">
        <v>7.5</v>
      </c>
      <c r="T1232" s="5">
        <v>7.6</v>
      </c>
      <c r="V1232" s="5">
        <v>7.5</v>
      </c>
      <c r="Y1232" s="5">
        <v>56250</v>
      </c>
      <c r="Z1232" s="5">
        <v>426937.5</v>
      </c>
      <c r="AA1232" s="5">
        <v>5</v>
      </c>
      <c r="AB1232" s="5" t="s">
        <v>85</v>
      </c>
      <c r="AC1232" s="5">
        <v>11250</v>
      </c>
    </row>
    <row r="1233" spans="1:29" x14ac:dyDescent="0.3">
      <c r="A1233" s="34">
        <v>46274</v>
      </c>
      <c r="B1233" s="34">
        <v>46274</v>
      </c>
      <c r="C1233" s="5" t="s">
        <v>78</v>
      </c>
      <c r="D1233" s="5" t="s">
        <v>79</v>
      </c>
      <c r="E1233" s="5" t="s">
        <v>80</v>
      </c>
      <c r="F1233" s="5">
        <v>6125</v>
      </c>
      <c r="G1233" s="5" t="s">
        <v>3792</v>
      </c>
      <c r="H1233" s="5" t="s">
        <v>3793</v>
      </c>
      <c r="I1233" s="5" t="s">
        <v>212</v>
      </c>
      <c r="N1233" s="5" t="s">
        <v>3794</v>
      </c>
      <c r="O1233" s="5">
        <v>516.54999999999995</v>
      </c>
      <c r="P1233" s="5">
        <v>539</v>
      </c>
      <c r="Q1233" s="5">
        <v>512.79999999999995</v>
      </c>
      <c r="R1233" s="5">
        <v>515.79999999999995</v>
      </c>
      <c r="S1233" s="5">
        <v>514.20000000000005</v>
      </c>
      <c r="T1233" s="5">
        <v>515.65</v>
      </c>
      <c r="V1233" s="5">
        <v>515.82000000000005</v>
      </c>
      <c r="Y1233" s="5">
        <v>1179600</v>
      </c>
      <c r="Z1233" s="5">
        <v>621179858</v>
      </c>
      <c r="AA1233" s="5">
        <v>42870</v>
      </c>
      <c r="AB1233" s="5" t="s">
        <v>85</v>
      </c>
      <c r="AC1233" s="5">
        <v>1</v>
      </c>
    </row>
    <row r="1234" spans="1:29" x14ac:dyDescent="0.3">
      <c r="A1234" s="34">
        <v>46274</v>
      </c>
      <c r="B1234" s="34">
        <v>46274</v>
      </c>
      <c r="C1234" s="5" t="s">
        <v>78</v>
      </c>
      <c r="D1234" s="5" t="s">
        <v>79</v>
      </c>
      <c r="E1234" s="5" t="s">
        <v>80</v>
      </c>
      <c r="F1234" s="5">
        <v>1205</v>
      </c>
      <c r="G1234" s="5" t="s">
        <v>3795</v>
      </c>
      <c r="H1234" s="5" t="s">
        <v>3796</v>
      </c>
      <c r="I1234" s="5" t="s">
        <v>212</v>
      </c>
      <c r="N1234" s="5" t="s">
        <v>3797</v>
      </c>
      <c r="O1234" s="5">
        <v>730</v>
      </c>
      <c r="P1234" s="5">
        <v>730</v>
      </c>
      <c r="Q1234" s="5">
        <v>723.05</v>
      </c>
      <c r="R1234" s="5">
        <v>729.35</v>
      </c>
      <c r="S1234" s="5">
        <v>729.6</v>
      </c>
      <c r="T1234" s="5">
        <v>725.2</v>
      </c>
      <c r="V1234" s="5">
        <v>729.34</v>
      </c>
      <c r="Y1234" s="5">
        <v>2468</v>
      </c>
      <c r="Z1234" s="5">
        <v>1795776.35</v>
      </c>
      <c r="AA1234" s="5">
        <v>282</v>
      </c>
      <c r="AB1234" s="5" t="s">
        <v>85</v>
      </c>
      <c r="AC1234" s="5">
        <v>1</v>
      </c>
    </row>
    <row r="1235" spans="1:29" x14ac:dyDescent="0.3">
      <c r="A1235" s="34">
        <v>46274</v>
      </c>
      <c r="B1235" s="34">
        <v>46274</v>
      </c>
      <c r="C1235" s="5" t="s">
        <v>78</v>
      </c>
      <c r="D1235" s="5" t="s">
        <v>79</v>
      </c>
      <c r="E1235" s="5" t="s">
        <v>80</v>
      </c>
      <c r="F1235" s="5">
        <v>23066</v>
      </c>
      <c r="G1235" s="5" t="s">
        <v>3798</v>
      </c>
      <c r="H1235" s="5" t="s">
        <v>3799</v>
      </c>
      <c r="I1235" s="5" t="s">
        <v>212</v>
      </c>
      <c r="N1235" s="5" t="s">
        <v>3800</v>
      </c>
      <c r="O1235" s="5">
        <v>263</v>
      </c>
      <c r="P1235" s="5">
        <v>264</v>
      </c>
      <c r="Q1235" s="5">
        <v>261</v>
      </c>
      <c r="R1235" s="5">
        <v>261.85000000000002</v>
      </c>
      <c r="S1235" s="5">
        <v>261.10000000000002</v>
      </c>
      <c r="T1235" s="5">
        <v>264.2</v>
      </c>
      <c r="V1235" s="5">
        <v>261.83999999999997</v>
      </c>
      <c r="Y1235" s="5">
        <v>53441</v>
      </c>
      <c r="Z1235" s="5">
        <v>14014644.949999999</v>
      </c>
      <c r="AA1235" s="5">
        <v>2966</v>
      </c>
      <c r="AB1235" s="5" t="s">
        <v>85</v>
      </c>
      <c r="AC1235" s="5">
        <v>1</v>
      </c>
    </row>
    <row r="1236" spans="1:29" x14ac:dyDescent="0.3">
      <c r="A1236" s="34">
        <v>46274</v>
      </c>
      <c r="B1236" s="34">
        <v>46274</v>
      </c>
      <c r="C1236" s="5" t="s">
        <v>78</v>
      </c>
      <c r="D1236" s="5" t="s">
        <v>79</v>
      </c>
      <c r="E1236" s="5" t="s">
        <v>80</v>
      </c>
      <c r="F1236" s="5">
        <v>11787</v>
      </c>
      <c r="G1236" s="5" t="s">
        <v>3801</v>
      </c>
      <c r="H1236" s="5" t="s">
        <v>3802</v>
      </c>
      <c r="I1236" s="5" t="s">
        <v>212</v>
      </c>
      <c r="N1236" s="5" t="s">
        <v>3803</v>
      </c>
      <c r="O1236" s="5">
        <v>6.1</v>
      </c>
      <c r="P1236" s="5">
        <v>6.27</v>
      </c>
      <c r="Q1236" s="5">
        <v>6.1</v>
      </c>
      <c r="R1236" s="5">
        <v>6.16</v>
      </c>
      <c r="S1236" s="5">
        <v>6.16</v>
      </c>
      <c r="T1236" s="5">
        <v>6.21</v>
      </c>
      <c r="V1236" s="5">
        <v>6.16</v>
      </c>
      <c r="Y1236" s="5">
        <v>31666</v>
      </c>
      <c r="Z1236" s="5">
        <v>195582.74</v>
      </c>
      <c r="AA1236" s="5">
        <v>331</v>
      </c>
      <c r="AB1236" s="5" t="s">
        <v>85</v>
      </c>
      <c r="AC1236" s="5">
        <v>1</v>
      </c>
    </row>
    <row r="1237" spans="1:29" x14ac:dyDescent="0.3">
      <c r="A1237" s="34">
        <v>46274</v>
      </c>
      <c r="B1237" s="34">
        <v>46274</v>
      </c>
      <c r="C1237" s="5" t="s">
        <v>78</v>
      </c>
      <c r="D1237" s="5" t="s">
        <v>79</v>
      </c>
      <c r="E1237" s="5" t="s">
        <v>80</v>
      </c>
      <c r="F1237" s="5">
        <v>19356</v>
      </c>
      <c r="G1237" s="5" t="s">
        <v>3804</v>
      </c>
      <c r="H1237" s="5" t="s">
        <v>3805</v>
      </c>
      <c r="I1237" s="5" t="s">
        <v>313</v>
      </c>
      <c r="N1237" s="5" t="s">
        <v>3806</v>
      </c>
      <c r="O1237" s="5">
        <v>102</v>
      </c>
      <c r="P1237" s="5">
        <v>102</v>
      </c>
      <c r="Q1237" s="5">
        <v>101</v>
      </c>
      <c r="R1237" s="5">
        <v>101</v>
      </c>
      <c r="S1237" s="5">
        <v>101</v>
      </c>
      <c r="T1237" s="5">
        <v>103.05</v>
      </c>
      <c r="V1237" s="5">
        <v>101</v>
      </c>
      <c r="Y1237" s="5">
        <v>3000</v>
      </c>
      <c r="Z1237" s="5">
        <v>303600</v>
      </c>
      <c r="AA1237" s="5">
        <v>5</v>
      </c>
      <c r="AB1237" s="5" t="s">
        <v>85</v>
      </c>
      <c r="AC1237" s="5">
        <v>600</v>
      </c>
    </row>
    <row r="1238" spans="1:29" x14ac:dyDescent="0.3">
      <c r="A1238" s="34">
        <v>46274</v>
      </c>
      <c r="B1238" s="34">
        <v>46274</v>
      </c>
      <c r="C1238" s="5" t="s">
        <v>78</v>
      </c>
      <c r="D1238" s="5" t="s">
        <v>79</v>
      </c>
      <c r="E1238" s="5" t="s">
        <v>80</v>
      </c>
      <c r="F1238" s="5">
        <v>24108</v>
      </c>
      <c r="G1238" s="5" t="s">
        <v>3807</v>
      </c>
      <c r="H1238" s="5" t="s">
        <v>3808</v>
      </c>
      <c r="I1238" s="5" t="s">
        <v>313</v>
      </c>
      <c r="N1238" s="5" t="s">
        <v>3809</v>
      </c>
      <c r="O1238" s="5">
        <v>402</v>
      </c>
      <c r="P1238" s="5">
        <v>415</v>
      </c>
      <c r="Q1238" s="5">
        <v>402</v>
      </c>
      <c r="R1238" s="5">
        <v>410.95</v>
      </c>
      <c r="S1238" s="5">
        <v>409.1</v>
      </c>
      <c r="T1238" s="5">
        <v>408.7</v>
      </c>
      <c r="V1238" s="5">
        <v>410.95</v>
      </c>
      <c r="Y1238" s="5">
        <v>17200</v>
      </c>
      <c r="Z1238" s="5">
        <v>6997900</v>
      </c>
      <c r="AA1238" s="5">
        <v>47</v>
      </c>
      <c r="AB1238" s="5" t="s">
        <v>85</v>
      </c>
      <c r="AC1238" s="5">
        <v>200</v>
      </c>
    </row>
    <row r="1239" spans="1:29" x14ac:dyDescent="0.3">
      <c r="A1239" s="34">
        <v>46274</v>
      </c>
      <c r="B1239" s="34">
        <v>46274</v>
      </c>
      <c r="C1239" s="5" t="s">
        <v>78</v>
      </c>
      <c r="D1239" s="5" t="s">
        <v>79</v>
      </c>
      <c r="E1239" s="5" t="s">
        <v>80</v>
      </c>
      <c r="F1239" s="5">
        <v>11584</v>
      </c>
      <c r="G1239" s="5" t="s">
        <v>3810</v>
      </c>
      <c r="H1239" s="5" t="s">
        <v>3811</v>
      </c>
      <c r="I1239" s="5" t="s">
        <v>234</v>
      </c>
      <c r="N1239" s="5" t="s">
        <v>3812</v>
      </c>
      <c r="O1239" s="5">
        <v>64.290000000000006</v>
      </c>
      <c r="P1239" s="5">
        <v>67.849999999999994</v>
      </c>
      <c r="Q1239" s="5">
        <v>64</v>
      </c>
      <c r="R1239" s="5">
        <v>67.209999999999994</v>
      </c>
      <c r="S1239" s="5">
        <v>67.75</v>
      </c>
      <c r="T1239" s="5">
        <v>64.62</v>
      </c>
      <c r="V1239" s="5">
        <v>67.180000000000007</v>
      </c>
      <c r="Y1239" s="5">
        <v>207186</v>
      </c>
      <c r="Z1239" s="5">
        <v>13911301.109999999</v>
      </c>
      <c r="AA1239" s="5">
        <v>635</v>
      </c>
      <c r="AB1239" s="5" t="s">
        <v>85</v>
      </c>
      <c r="AC1239" s="5">
        <v>1</v>
      </c>
    </row>
    <row r="1240" spans="1:29" x14ac:dyDescent="0.3">
      <c r="A1240" s="34">
        <v>46274</v>
      </c>
      <c r="B1240" s="34">
        <v>46274</v>
      </c>
      <c r="C1240" s="5" t="s">
        <v>78</v>
      </c>
      <c r="D1240" s="5" t="s">
        <v>79</v>
      </c>
      <c r="E1240" s="5" t="s">
        <v>80</v>
      </c>
      <c r="F1240" s="5">
        <v>22846</v>
      </c>
      <c r="G1240" s="5" t="s">
        <v>3813</v>
      </c>
      <c r="H1240" s="5" t="s">
        <v>3814</v>
      </c>
      <c r="I1240" s="5" t="s">
        <v>212</v>
      </c>
      <c r="N1240" s="5" t="s">
        <v>3815</v>
      </c>
      <c r="O1240" s="5">
        <v>159.5</v>
      </c>
      <c r="P1240" s="5">
        <v>163.26</v>
      </c>
      <c r="Q1240" s="5">
        <v>158.86000000000001</v>
      </c>
      <c r="R1240" s="5">
        <v>162.63</v>
      </c>
      <c r="S1240" s="5">
        <v>163</v>
      </c>
      <c r="T1240" s="5">
        <v>160.69999999999999</v>
      </c>
      <c r="V1240" s="5">
        <v>162.63</v>
      </c>
      <c r="Y1240" s="5">
        <v>119726</v>
      </c>
      <c r="Z1240" s="5">
        <v>19333046.309999999</v>
      </c>
      <c r="AA1240" s="5">
        <v>3074</v>
      </c>
      <c r="AB1240" s="5" t="s">
        <v>85</v>
      </c>
      <c r="AC1240" s="5">
        <v>1</v>
      </c>
    </row>
    <row r="1241" spans="1:29" x14ac:dyDescent="0.3">
      <c r="A1241" s="34">
        <v>46274</v>
      </c>
      <c r="B1241" s="34">
        <v>46274</v>
      </c>
      <c r="C1241" s="5" t="s">
        <v>78</v>
      </c>
      <c r="D1241" s="5" t="s">
        <v>79</v>
      </c>
      <c r="E1241" s="5" t="s">
        <v>80</v>
      </c>
      <c r="F1241" s="5">
        <v>17685</v>
      </c>
      <c r="G1241" s="5" t="s">
        <v>3816</v>
      </c>
      <c r="H1241" s="5" t="s">
        <v>3817</v>
      </c>
      <c r="I1241" s="5" t="s">
        <v>212</v>
      </c>
      <c r="N1241" s="5" t="s">
        <v>3818</v>
      </c>
      <c r="O1241" s="5">
        <v>111.24</v>
      </c>
      <c r="P1241" s="5">
        <v>114.71</v>
      </c>
      <c r="Q1241" s="5">
        <v>109.92</v>
      </c>
      <c r="R1241" s="5">
        <v>111.39</v>
      </c>
      <c r="S1241" s="5">
        <v>111.8</v>
      </c>
      <c r="T1241" s="5">
        <v>111.42</v>
      </c>
      <c r="V1241" s="5">
        <v>111.38</v>
      </c>
      <c r="Y1241" s="5">
        <v>374389</v>
      </c>
      <c r="Z1241" s="5">
        <v>42069419.740000002</v>
      </c>
      <c r="AA1241" s="5">
        <v>3828</v>
      </c>
      <c r="AB1241" s="5" t="s">
        <v>85</v>
      </c>
      <c r="AC1241" s="5">
        <v>1</v>
      </c>
    </row>
    <row r="1242" spans="1:29" x14ac:dyDescent="0.3">
      <c r="A1242" s="34">
        <v>46274</v>
      </c>
      <c r="B1242" s="34">
        <v>46274</v>
      </c>
      <c r="C1242" s="5" t="s">
        <v>78</v>
      </c>
      <c r="D1242" s="5" t="s">
        <v>79</v>
      </c>
      <c r="E1242" s="5" t="s">
        <v>80</v>
      </c>
      <c r="F1242" s="5">
        <v>763299</v>
      </c>
      <c r="G1242" s="5" t="s">
        <v>3819</v>
      </c>
      <c r="H1242" s="5" t="s">
        <v>3820</v>
      </c>
      <c r="I1242" s="5" t="s">
        <v>212</v>
      </c>
      <c r="N1242" s="5" t="s">
        <v>3821</v>
      </c>
      <c r="O1242" s="5">
        <v>2.63</v>
      </c>
      <c r="P1242" s="5">
        <v>2.63</v>
      </c>
      <c r="Q1242" s="5">
        <v>2.48</v>
      </c>
      <c r="R1242" s="5">
        <v>2.5499999999999998</v>
      </c>
      <c r="S1242" s="5">
        <v>2.54</v>
      </c>
      <c r="T1242" s="5">
        <v>2.54</v>
      </c>
      <c r="V1242" s="5">
        <v>2.5499999999999998</v>
      </c>
      <c r="Y1242" s="5">
        <v>2023521</v>
      </c>
      <c r="Z1242" s="5">
        <v>5217189.93</v>
      </c>
      <c r="AA1242" s="5">
        <v>665</v>
      </c>
      <c r="AB1242" s="5" t="s">
        <v>85</v>
      </c>
      <c r="AC1242" s="5">
        <v>1</v>
      </c>
    </row>
    <row r="1243" spans="1:29" x14ac:dyDescent="0.3">
      <c r="A1243" s="34">
        <v>46274</v>
      </c>
      <c r="B1243" s="34">
        <v>46274</v>
      </c>
      <c r="C1243" s="5" t="s">
        <v>78</v>
      </c>
      <c r="D1243" s="5" t="s">
        <v>79</v>
      </c>
      <c r="E1243" s="5" t="s">
        <v>80</v>
      </c>
      <c r="F1243" s="5">
        <v>30289</v>
      </c>
      <c r="G1243" s="5" t="s">
        <v>3822</v>
      </c>
      <c r="H1243" s="5" t="s">
        <v>3823</v>
      </c>
      <c r="I1243" s="5" t="s">
        <v>392</v>
      </c>
      <c r="N1243" s="5" t="s">
        <v>3824</v>
      </c>
      <c r="O1243" s="5">
        <v>96.5</v>
      </c>
      <c r="P1243" s="5">
        <v>103</v>
      </c>
      <c r="Q1243" s="5">
        <v>95.55</v>
      </c>
      <c r="R1243" s="5">
        <v>99.4</v>
      </c>
      <c r="S1243" s="5">
        <v>99.4</v>
      </c>
      <c r="T1243" s="5">
        <v>99.15</v>
      </c>
      <c r="V1243" s="5">
        <v>99.4</v>
      </c>
      <c r="Y1243" s="5">
        <v>25200</v>
      </c>
      <c r="Z1243" s="5">
        <v>2454300</v>
      </c>
      <c r="AA1243" s="5">
        <v>35</v>
      </c>
      <c r="AB1243" s="5" t="s">
        <v>85</v>
      </c>
      <c r="AC1243" s="5">
        <v>600</v>
      </c>
    </row>
    <row r="1244" spans="1:29" x14ac:dyDescent="0.3">
      <c r="A1244" s="34">
        <v>46274</v>
      </c>
      <c r="B1244" s="34">
        <v>46274</v>
      </c>
      <c r="C1244" s="5" t="s">
        <v>78</v>
      </c>
      <c r="D1244" s="5" t="s">
        <v>79</v>
      </c>
      <c r="E1244" s="5" t="s">
        <v>80</v>
      </c>
      <c r="F1244" s="5">
        <v>11080</v>
      </c>
      <c r="G1244" s="5" t="s">
        <v>3825</v>
      </c>
      <c r="H1244" s="5" t="s">
        <v>3826</v>
      </c>
      <c r="I1244" s="5" t="s">
        <v>212</v>
      </c>
      <c r="N1244" s="5" t="s">
        <v>3827</v>
      </c>
      <c r="O1244" s="5">
        <v>18.149999999999999</v>
      </c>
      <c r="P1244" s="5">
        <v>18.149999999999999</v>
      </c>
      <c r="Q1244" s="5">
        <v>18.149999999999999</v>
      </c>
      <c r="R1244" s="5">
        <v>18.149999999999999</v>
      </c>
      <c r="S1244" s="5">
        <v>18.149999999999999</v>
      </c>
      <c r="T1244" s="5">
        <v>16.5</v>
      </c>
      <c r="V1244" s="5">
        <v>18.149999999999999</v>
      </c>
      <c r="Y1244" s="5">
        <v>3030</v>
      </c>
      <c r="Z1244" s="5">
        <v>54994.5</v>
      </c>
      <c r="AA1244" s="5">
        <v>12</v>
      </c>
      <c r="AB1244" s="5" t="s">
        <v>85</v>
      </c>
      <c r="AC1244" s="5">
        <v>1</v>
      </c>
    </row>
    <row r="1245" spans="1:29" x14ac:dyDescent="0.3">
      <c r="A1245" s="34">
        <v>46274</v>
      </c>
      <c r="B1245" s="34">
        <v>46274</v>
      </c>
      <c r="C1245" s="5" t="s">
        <v>78</v>
      </c>
      <c r="D1245" s="5" t="s">
        <v>79</v>
      </c>
      <c r="E1245" s="5" t="s">
        <v>80</v>
      </c>
      <c r="F1245" s="5">
        <v>762695</v>
      </c>
      <c r="G1245" s="5" t="s">
        <v>3828</v>
      </c>
      <c r="H1245" s="5" t="s">
        <v>3829</v>
      </c>
      <c r="I1245" s="5" t="s">
        <v>212</v>
      </c>
      <c r="N1245" s="5" t="s">
        <v>3830</v>
      </c>
      <c r="O1245" s="5">
        <v>36.15</v>
      </c>
      <c r="P1245" s="5">
        <v>36.28</v>
      </c>
      <c r="Q1245" s="5">
        <v>35.26</v>
      </c>
      <c r="R1245" s="5">
        <v>36.26</v>
      </c>
      <c r="S1245" s="5">
        <v>36.28</v>
      </c>
      <c r="T1245" s="5">
        <v>34.56</v>
      </c>
      <c r="V1245" s="5">
        <v>36.26</v>
      </c>
      <c r="Y1245" s="5">
        <v>6576</v>
      </c>
      <c r="Z1245" s="5">
        <v>237993.82</v>
      </c>
      <c r="AA1245" s="5">
        <v>59</v>
      </c>
      <c r="AB1245" s="5" t="s">
        <v>85</v>
      </c>
      <c r="AC1245" s="5">
        <v>1</v>
      </c>
    </row>
    <row r="1246" spans="1:29" x14ac:dyDescent="0.3">
      <c r="A1246" s="34">
        <v>46274</v>
      </c>
      <c r="B1246" s="34">
        <v>46274</v>
      </c>
      <c r="C1246" s="5" t="s">
        <v>78</v>
      </c>
      <c r="D1246" s="5" t="s">
        <v>79</v>
      </c>
      <c r="E1246" s="5" t="s">
        <v>80</v>
      </c>
      <c r="F1246" s="5">
        <v>11872</v>
      </c>
      <c r="G1246" s="5" t="s">
        <v>3831</v>
      </c>
      <c r="H1246" s="5" t="s">
        <v>3832</v>
      </c>
      <c r="I1246" s="5" t="s">
        <v>212</v>
      </c>
      <c r="N1246" s="5" t="s">
        <v>3833</v>
      </c>
      <c r="O1246" s="5">
        <v>899.75</v>
      </c>
      <c r="P1246" s="5">
        <v>901.8</v>
      </c>
      <c r="Q1246" s="5">
        <v>878.1</v>
      </c>
      <c r="R1246" s="5">
        <v>884.8</v>
      </c>
      <c r="S1246" s="5">
        <v>880.5</v>
      </c>
      <c r="T1246" s="5">
        <v>895.35</v>
      </c>
      <c r="V1246" s="5">
        <v>884.77</v>
      </c>
      <c r="Y1246" s="5">
        <v>1406377</v>
      </c>
      <c r="Z1246" s="5">
        <v>1250368919.25</v>
      </c>
      <c r="AA1246" s="5">
        <v>49838</v>
      </c>
      <c r="AB1246" s="5" t="s">
        <v>85</v>
      </c>
      <c r="AC1246" s="5">
        <v>1</v>
      </c>
    </row>
    <row r="1247" spans="1:29" x14ac:dyDescent="0.3">
      <c r="A1247" s="34">
        <v>46274</v>
      </c>
      <c r="B1247" s="34">
        <v>46274</v>
      </c>
      <c r="C1247" s="5" t="s">
        <v>78</v>
      </c>
      <c r="D1247" s="5" t="s">
        <v>79</v>
      </c>
      <c r="E1247" s="5" t="s">
        <v>80</v>
      </c>
      <c r="F1247" s="5">
        <v>20454</v>
      </c>
      <c r="G1247" s="5" t="s">
        <v>3834</v>
      </c>
      <c r="H1247" s="5" t="s">
        <v>3835</v>
      </c>
      <c r="I1247" s="5" t="s">
        <v>313</v>
      </c>
      <c r="N1247" s="5" t="s">
        <v>3836</v>
      </c>
      <c r="O1247" s="5">
        <v>26.5</v>
      </c>
      <c r="P1247" s="5">
        <v>26.5</v>
      </c>
      <c r="Q1247" s="5">
        <v>26.4</v>
      </c>
      <c r="R1247" s="5">
        <v>26.4</v>
      </c>
      <c r="S1247" s="5">
        <v>26.4</v>
      </c>
      <c r="T1247" s="5">
        <v>25.35</v>
      </c>
      <c r="V1247" s="5">
        <v>26.4</v>
      </c>
      <c r="Y1247" s="5">
        <v>6000</v>
      </c>
      <c r="Z1247" s="5">
        <v>158580</v>
      </c>
      <c r="AA1247" s="5">
        <v>5</v>
      </c>
      <c r="AB1247" s="5" t="s">
        <v>85</v>
      </c>
      <c r="AC1247" s="5">
        <v>1200</v>
      </c>
    </row>
    <row r="1248" spans="1:29" x14ac:dyDescent="0.3">
      <c r="A1248" s="34">
        <v>46274</v>
      </c>
      <c r="B1248" s="34">
        <v>46274</v>
      </c>
      <c r="C1248" s="5" t="s">
        <v>78</v>
      </c>
      <c r="D1248" s="5" t="s">
        <v>79</v>
      </c>
      <c r="E1248" s="5" t="s">
        <v>80</v>
      </c>
      <c r="F1248" s="5">
        <v>592</v>
      </c>
      <c r="G1248" s="5" t="s">
        <v>3837</v>
      </c>
      <c r="H1248" s="5" t="s">
        <v>3838</v>
      </c>
      <c r="I1248" s="5" t="s">
        <v>212</v>
      </c>
      <c r="N1248" s="5" t="s">
        <v>3839</v>
      </c>
      <c r="O1248" s="5">
        <v>812.9</v>
      </c>
      <c r="P1248" s="5">
        <v>874.35</v>
      </c>
      <c r="Q1248" s="5">
        <v>775</v>
      </c>
      <c r="R1248" s="5">
        <v>844.65</v>
      </c>
      <c r="S1248" s="5">
        <v>843</v>
      </c>
      <c r="T1248" s="5">
        <v>734.25</v>
      </c>
      <c r="V1248" s="5">
        <v>844.66</v>
      </c>
      <c r="Y1248" s="5">
        <v>36292952</v>
      </c>
      <c r="Z1248" s="5">
        <v>30609585527.450001</v>
      </c>
      <c r="AA1248" s="5">
        <v>606087</v>
      </c>
      <c r="AB1248" s="5" t="s">
        <v>85</v>
      </c>
      <c r="AC1248" s="5">
        <v>1</v>
      </c>
    </row>
    <row r="1249" spans="1:29" x14ac:dyDescent="0.3">
      <c r="A1249" s="34">
        <v>46274</v>
      </c>
      <c r="B1249" s="34">
        <v>46274</v>
      </c>
      <c r="C1249" s="5" t="s">
        <v>78</v>
      </c>
      <c r="D1249" s="5" t="s">
        <v>79</v>
      </c>
      <c r="E1249" s="5" t="s">
        <v>80</v>
      </c>
      <c r="F1249" s="5">
        <v>1232</v>
      </c>
      <c r="G1249" s="5" t="s">
        <v>3840</v>
      </c>
      <c r="H1249" s="5" t="s">
        <v>3841</v>
      </c>
      <c r="I1249" s="5" t="s">
        <v>212</v>
      </c>
      <c r="N1249" s="5" t="s">
        <v>3842</v>
      </c>
      <c r="O1249" s="5">
        <v>3305</v>
      </c>
      <c r="P1249" s="5">
        <v>3320</v>
      </c>
      <c r="Q1249" s="5">
        <v>3279</v>
      </c>
      <c r="R1249" s="5">
        <v>3300</v>
      </c>
      <c r="S1249" s="5">
        <v>3300</v>
      </c>
      <c r="T1249" s="5">
        <v>3306.8</v>
      </c>
      <c r="V1249" s="5">
        <v>3300.02</v>
      </c>
      <c r="Y1249" s="5">
        <v>850901</v>
      </c>
      <c r="Z1249" s="5">
        <v>2803693745.4000001</v>
      </c>
      <c r="AA1249" s="5">
        <v>30234</v>
      </c>
      <c r="AB1249" s="5" t="s">
        <v>85</v>
      </c>
      <c r="AC1249" s="5">
        <v>1</v>
      </c>
    </row>
    <row r="1250" spans="1:29" x14ac:dyDescent="0.3">
      <c r="A1250" s="34">
        <v>46274</v>
      </c>
      <c r="B1250" s="34">
        <v>46274</v>
      </c>
      <c r="C1250" s="5" t="s">
        <v>78</v>
      </c>
      <c r="D1250" s="5" t="s">
        <v>79</v>
      </c>
      <c r="E1250" s="5" t="s">
        <v>80</v>
      </c>
      <c r="F1250" s="5">
        <v>5200</v>
      </c>
      <c r="G1250" s="5" t="s">
        <v>3843</v>
      </c>
      <c r="H1250" s="5" t="s">
        <v>3844</v>
      </c>
      <c r="I1250" s="5" t="s">
        <v>212</v>
      </c>
      <c r="N1250" s="5" t="s">
        <v>3845</v>
      </c>
      <c r="O1250" s="5">
        <v>72.09</v>
      </c>
      <c r="P1250" s="5">
        <v>73.8</v>
      </c>
      <c r="Q1250" s="5">
        <v>71.040000000000006</v>
      </c>
      <c r="R1250" s="5">
        <v>72.67</v>
      </c>
      <c r="S1250" s="5">
        <v>73.11</v>
      </c>
      <c r="T1250" s="5">
        <v>72.010000000000005</v>
      </c>
      <c r="V1250" s="5">
        <v>72.680000000000007</v>
      </c>
      <c r="Y1250" s="5">
        <v>306598</v>
      </c>
      <c r="Z1250" s="5">
        <v>22088046.899999999</v>
      </c>
      <c r="AA1250" s="5">
        <v>3761</v>
      </c>
      <c r="AB1250" s="5" t="s">
        <v>85</v>
      </c>
      <c r="AC1250" s="5">
        <v>1</v>
      </c>
    </row>
    <row r="1251" spans="1:29" x14ac:dyDescent="0.3">
      <c r="A1251" s="34">
        <v>46274</v>
      </c>
      <c r="B1251" s="34">
        <v>46274</v>
      </c>
      <c r="C1251" s="5" t="s">
        <v>78</v>
      </c>
      <c r="D1251" s="5" t="s">
        <v>79</v>
      </c>
      <c r="E1251" s="5" t="s">
        <v>80</v>
      </c>
      <c r="F1251" s="5">
        <v>762700</v>
      </c>
      <c r="G1251" s="5" t="s">
        <v>3846</v>
      </c>
      <c r="H1251" s="5" t="s">
        <v>3847</v>
      </c>
      <c r="I1251" s="5" t="s">
        <v>212</v>
      </c>
      <c r="N1251" s="5" t="s">
        <v>3848</v>
      </c>
      <c r="O1251" s="5">
        <v>29.25</v>
      </c>
      <c r="P1251" s="5">
        <v>34.4</v>
      </c>
      <c r="Q1251" s="5">
        <v>28.5</v>
      </c>
      <c r="R1251" s="5">
        <v>29.66</v>
      </c>
      <c r="S1251" s="5">
        <v>30</v>
      </c>
      <c r="T1251" s="5">
        <v>28.67</v>
      </c>
      <c r="V1251" s="5">
        <v>29.48</v>
      </c>
      <c r="Y1251" s="5">
        <v>472614</v>
      </c>
      <c r="Z1251" s="5">
        <v>15216495.970000001</v>
      </c>
      <c r="AA1251" s="5">
        <v>1037</v>
      </c>
      <c r="AB1251" s="5" t="s">
        <v>85</v>
      </c>
      <c r="AC1251" s="5">
        <v>1</v>
      </c>
    </row>
    <row r="1252" spans="1:29" x14ac:dyDescent="0.3">
      <c r="A1252" s="34">
        <v>46274</v>
      </c>
      <c r="B1252" s="34">
        <v>46274</v>
      </c>
      <c r="C1252" s="5" t="s">
        <v>78</v>
      </c>
      <c r="D1252" s="5" t="s">
        <v>79</v>
      </c>
      <c r="E1252" s="5" t="s">
        <v>80</v>
      </c>
      <c r="F1252" s="5">
        <v>20534</v>
      </c>
      <c r="G1252" s="5" t="s">
        <v>3849</v>
      </c>
      <c r="H1252" s="5" t="s">
        <v>3850</v>
      </c>
      <c r="I1252" s="5" t="s">
        <v>212</v>
      </c>
      <c r="N1252" s="5" t="s">
        <v>3851</v>
      </c>
      <c r="O1252" s="5">
        <v>1682.3</v>
      </c>
      <c r="P1252" s="5">
        <v>1724</v>
      </c>
      <c r="Q1252" s="5">
        <v>1677.5</v>
      </c>
      <c r="R1252" s="5">
        <v>1696.4</v>
      </c>
      <c r="S1252" s="5">
        <v>1704</v>
      </c>
      <c r="T1252" s="5">
        <v>1682.3</v>
      </c>
      <c r="V1252" s="5">
        <v>1696.45</v>
      </c>
      <c r="Y1252" s="5">
        <v>146729</v>
      </c>
      <c r="Z1252" s="5">
        <v>249423640.40000001</v>
      </c>
      <c r="AA1252" s="5">
        <v>16707</v>
      </c>
      <c r="AB1252" s="5" t="s">
        <v>85</v>
      </c>
      <c r="AC1252" s="5">
        <v>1</v>
      </c>
    </row>
    <row r="1253" spans="1:29" x14ac:dyDescent="0.3">
      <c r="A1253" s="34">
        <v>46274</v>
      </c>
      <c r="B1253" s="34">
        <v>46274</v>
      </c>
      <c r="C1253" s="5" t="s">
        <v>78</v>
      </c>
      <c r="D1253" s="5" t="s">
        <v>79</v>
      </c>
      <c r="E1253" s="5" t="s">
        <v>80</v>
      </c>
      <c r="F1253" s="5">
        <v>1235</v>
      </c>
      <c r="G1253" s="5" t="s">
        <v>3852</v>
      </c>
      <c r="H1253" s="5" t="s">
        <v>3853</v>
      </c>
      <c r="I1253" s="5" t="s">
        <v>212</v>
      </c>
      <c r="N1253" s="5" t="s">
        <v>3854</v>
      </c>
      <c r="O1253" s="5">
        <v>192.65</v>
      </c>
      <c r="P1253" s="5">
        <v>194.7</v>
      </c>
      <c r="Q1253" s="5">
        <v>190.6</v>
      </c>
      <c r="R1253" s="5">
        <v>192.38</v>
      </c>
      <c r="S1253" s="5">
        <v>191.71</v>
      </c>
      <c r="T1253" s="5">
        <v>193.06</v>
      </c>
      <c r="V1253" s="5">
        <v>192.38</v>
      </c>
      <c r="Y1253" s="5">
        <v>561514</v>
      </c>
      <c r="Z1253" s="5">
        <v>107874514.81999999</v>
      </c>
      <c r="AA1253" s="5">
        <v>8015</v>
      </c>
      <c r="AB1253" s="5" t="s">
        <v>85</v>
      </c>
      <c r="AC1253" s="5">
        <v>1</v>
      </c>
    </row>
    <row r="1254" spans="1:29" x14ac:dyDescent="0.3">
      <c r="A1254" s="34">
        <v>46274</v>
      </c>
      <c r="B1254" s="34">
        <v>46274</v>
      </c>
      <c r="C1254" s="5" t="s">
        <v>78</v>
      </c>
      <c r="D1254" s="5" t="s">
        <v>79</v>
      </c>
      <c r="E1254" s="5" t="s">
        <v>80</v>
      </c>
      <c r="F1254" s="5">
        <v>17092</v>
      </c>
      <c r="G1254" s="5" t="s">
        <v>3855</v>
      </c>
      <c r="H1254" s="5" t="s">
        <v>3856</v>
      </c>
      <c r="I1254" s="5" t="s">
        <v>313</v>
      </c>
      <c r="N1254" s="5" t="s">
        <v>3857</v>
      </c>
      <c r="O1254" s="5">
        <v>61.9</v>
      </c>
      <c r="P1254" s="5">
        <v>67.5</v>
      </c>
      <c r="Q1254" s="5">
        <v>61.9</v>
      </c>
      <c r="R1254" s="5">
        <v>66.3</v>
      </c>
      <c r="S1254" s="5">
        <v>67</v>
      </c>
      <c r="T1254" s="5">
        <v>61.9</v>
      </c>
      <c r="V1254" s="5">
        <v>66.3</v>
      </c>
      <c r="Y1254" s="5">
        <v>7200</v>
      </c>
      <c r="Z1254" s="5">
        <v>476400</v>
      </c>
      <c r="AA1254" s="5">
        <v>8</v>
      </c>
      <c r="AB1254" s="5" t="s">
        <v>85</v>
      </c>
      <c r="AC1254" s="5">
        <v>800</v>
      </c>
    </row>
    <row r="1255" spans="1:29" x14ac:dyDescent="0.3">
      <c r="A1255" s="34">
        <v>46274</v>
      </c>
      <c r="B1255" s="34">
        <v>46274</v>
      </c>
      <c r="C1255" s="5" t="s">
        <v>78</v>
      </c>
      <c r="D1255" s="5" t="s">
        <v>79</v>
      </c>
      <c r="E1255" s="5" t="s">
        <v>80</v>
      </c>
      <c r="F1255" s="5">
        <v>6848</v>
      </c>
      <c r="G1255" s="5" t="s">
        <v>3858</v>
      </c>
      <c r="H1255" s="5" t="s">
        <v>3859</v>
      </c>
      <c r="I1255" s="5" t="s">
        <v>212</v>
      </c>
      <c r="N1255" s="5" t="s">
        <v>3860</v>
      </c>
      <c r="O1255" s="5">
        <v>235.3</v>
      </c>
      <c r="P1255" s="5">
        <v>237.94</v>
      </c>
      <c r="Q1255" s="5">
        <v>234.7</v>
      </c>
      <c r="R1255" s="5">
        <v>236.25</v>
      </c>
      <c r="S1255" s="5">
        <v>235</v>
      </c>
      <c r="T1255" s="5">
        <v>235.53</v>
      </c>
      <c r="V1255" s="5">
        <v>236.26</v>
      </c>
      <c r="Y1255" s="5">
        <v>19363</v>
      </c>
      <c r="Z1255" s="5">
        <v>4571552.83</v>
      </c>
      <c r="AA1255" s="5">
        <v>888</v>
      </c>
      <c r="AB1255" s="5" t="s">
        <v>85</v>
      </c>
      <c r="AC1255" s="5">
        <v>1</v>
      </c>
    </row>
    <row r="1256" spans="1:29" x14ac:dyDescent="0.3">
      <c r="A1256" s="34">
        <v>46274</v>
      </c>
      <c r="B1256" s="34">
        <v>46274</v>
      </c>
      <c r="C1256" s="5" t="s">
        <v>78</v>
      </c>
      <c r="D1256" s="5" t="s">
        <v>79</v>
      </c>
      <c r="E1256" s="5" t="s">
        <v>80</v>
      </c>
      <c r="F1256" s="5">
        <v>759427</v>
      </c>
      <c r="G1256" s="5" t="s">
        <v>3861</v>
      </c>
      <c r="H1256" s="5" t="s">
        <v>3862</v>
      </c>
      <c r="I1256" s="5" t="s">
        <v>392</v>
      </c>
      <c r="N1256" s="5" t="s">
        <v>3863</v>
      </c>
      <c r="O1256" s="5">
        <v>114</v>
      </c>
      <c r="P1256" s="5">
        <v>114</v>
      </c>
      <c r="Q1256" s="5">
        <v>110.45</v>
      </c>
      <c r="R1256" s="5">
        <v>110.45</v>
      </c>
      <c r="S1256" s="5">
        <v>110.45</v>
      </c>
      <c r="T1256" s="5">
        <v>116.25</v>
      </c>
      <c r="V1256" s="5">
        <v>110.45</v>
      </c>
      <c r="Y1256" s="5">
        <v>11000</v>
      </c>
      <c r="Z1256" s="5">
        <v>1228700</v>
      </c>
      <c r="AA1256" s="5">
        <v>8</v>
      </c>
      <c r="AB1256" s="5" t="s">
        <v>85</v>
      </c>
      <c r="AC1256" s="5">
        <v>1000</v>
      </c>
    </row>
    <row r="1257" spans="1:29" x14ac:dyDescent="0.3">
      <c r="A1257" s="34">
        <v>46274</v>
      </c>
      <c r="B1257" s="34">
        <v>46274</v>
      </c>
      <c r="C1257" s="5" t="s">
        <v>78</v>
      </c>
      <c r="D1257" s="5" t="s">
        <v>79</v>
      </c>
      <c r="E1257" s="5" t="s">
        <v>80</v>
      </c>
      <c r="F1257" s="5">
        <v>13810</v>
      </c>
      <c r="G1257" s="5" t="s">
        <v>3864</v>
      </c>
      <c r="H1257" s="5" t="s">
        <v>3865</v>
      </c>
      <c r="I1257" s="5" t="s">
        <v>212</v>
      </c>
      <c r="N1257" s="5" t="s">
        <v>3866</v>
      </c>
      <c r="O1257" s="5">
        <v>161</v>
      </c>
      <c r="P1257" s="5">
        <v>164.25</v>
      </c>
      <c r="Q1257" s="5">
        <v>158.01</v>
      </c>
      <c r="R1257" s="5">
        <v>160.66999999999999</v>
      </c>
      <c r="S1257" s="5">
        <v>161</v>
      </c>
      <c r="T1257" s="5">
        <v>161.69</v>
      </c>
      <c r="V1257" s="5">
        <v>160.66999999999999</v>
      </c>
      <c r="Y1257" s="5">
        <v>180431</v>
      </c>
      <c r="Z1257" s="5">
        <v>28877394.73</v>
      </c>
      <c r="AA1257" s="5">
        <v>4385</v>
      </c>
      <c r="AB1257" s="5" t="s">
        <v>85</v>
      </c>
      <c r="AC1257" s="5">
        <v>1</v>
      </c>
    </row>
    <row r="1258" spans="1:29" x14ac:dyDescent="0.3">
      <c r="A1258" s="34">
        <v>46274</v>
      </c>
      <c r="B1258" s="34">
        <v>46274</v>
      </c>
      <c r="C1258" s="5" t="s">
        <v>78</v>
      </c>
      <c r="D1258" s="5" t="s">
        <v>79</v>
      </c>
      <c r="E1258" s="5" t="s">
        <v>80</v>
      </c>
      <c r="F1258" s="5">
        <v>3987</v>
      </c>
      <c r="G1258" s="5" t="s">
        <v>3867</v>
      </c>
      <c r="H1258" s="5" t="s">
        <v>3868</v>
      </c>
      <c r="I1258" s="5" t="s">
        <v>212</v>
      </c>
      <c r="N1258" s="5" t="s">
        <v>3869</v>
      </c>
      <c r="O1258" s="5">
        <v>299</v>
      </c>
      <c r="P1258" s="5">
        <v>299.85000000000002</v>
      </c>
      <c r="Q1258" s="5">
        <v>292.2</v>
      </c>
      <c r="R1258" s="5">
        <v>293.64999999999998</v>
      </c>
      <c r="S1258" s="5">
        <v>293.39999999999998</v>
      </c>
      <c r="T1258" s="5">
        <v>299.35000000000002</v>
      </c>
      <c r="V1258" s="5">
        <v>293.66000000000003</v>
      </c>
      <c r="Y1258" s="5">
        <v>148974</v>
      </c>
      <c r="Z1258" s="5">
        <v>43912791.600000001</v>
      </c>
      <c r="AA1258" s="5">
        <v>4045</v>
      </c>
      <c r="AB1258" s="5" t="s">
        <v>85</v>
      </c>
      <c r="AC1258" s="5">
        <v>1</v>
      </c>
    </row>
    <row r="1259" spans="1:29" x14ac:dyDescent="0.3">
      <c r="A1259" s="34">
        <v>46274</v>
      </c>
      <c r="B1259" s="34">
        <v>46274</v>
      </c>
      <c r="C1259" s="5" t="s">
        <v>78</v>
      </c>
      <c r="D1259" s="5" t="s">
        <v>79</v>
      </c>
      <c r="E1259" s="5" t="s">
        <v>80</v>
      </c>
      <c r="F1259" s="5">
        <v>758986</v>
      </c>
      <c r="G1259" s="5" t="s">
        <v>3870</v>
      </c>
      <c r="H1259" s="5" t="s">
        <v>3871</v>
      </c>
      <c r="I1259" s="5" t="s">
        <v>212</v>
      </c>
      <c r="N1259" s="5" t="s">
        <v>3872</v>
      </c>
      <c r="O1259" s="5">
        <v>597.79999999999995</v>
      </c>
      <c r="P1259" s="5">
        <v>608</v>
      </c>
      <c r="Q1259" s="5">
        <v>594.29999999999995</v>
      </c>
      <c r="R1259" s="5">
        <v>601.9</v>
      </c>
      <c r="S1259" s="5">
        <v>605</v>
      </c>
      <c r="T1259" s="5">
        <v>598.25</v>
      </c>
      <c r="V1259" s="5">
        <v>601.9</v>
      </c>
      <c r="Y1259" s="5">
        <v>268383</v>
      </c>
      <c r="Z1259" s="5">
        <v>161412606.19999999</v>
      </c>
      <c r="AA1259" s="5">
        <v>3912</v>
      </c>
      <c r="AB1259" s="5" t="s">
        <v>85</v>
      </c>
      <c r="AC1259" s="5">
        <v>1</v>
      </c>
    </row>
    <row r="1260" spans="1:29" x14ac:dyDescent="0.3">
      <c r="A1260" s="34">
        <v>46274</v>
      </c>
      <c r="B1260" s="34">
        <v>46274</v>
      </c>
      <c r="C1260" s="5" t="s">
        <v>78</v>
      </c>
      <c r="D1260" s="5" t="s">
        <v>79</v>
      </c>
      <c r="E1260" s="5" t="s">
        <v>80</v>
      </c>
      <c r="F1260" s="5">
        <v>23559</v>
      </c>
      <c r="G1260" s="5" t="s">
        <v>3873</v>
      </c>
      <c r="H1260" s="5" t="s">
        <v>3874</v>
      </c>
      <c r="I1260" s="5" t="s">
        <v>313</v>
      </c>
      <c r="N1260" s="5" t="s">
        <v>3875</v>
      </c>
      <c r="O1260" s="5">
        <v>81.95</v>
      </c>
      <c r="P1260" s="5">
        <v>89.9</v>
      </c>
      <c r="Q1260" s="5">
        <v>81.95</v>
      </c>
      <c r="R1260" s="5">
        <v>89.9</v>
      </c>
      <c r="S1260" s="5">
        <v>89.9</v>
      </c>
      <c r="T1260" s="5">
        <v>86.2</v>
      </c>
      <c r="V1260" s="5">
        <v>89.9</v>
      </c>
      <c r="Y1260" s="5">
        <v>3600</v>
      </c>
      <c r="Z1260" s="5">
        <v>311820</v>
      </c>
      <c r="AA1260" s="5">
        <v>3</v>
      </c>
      <c r="AB1260" s="5" t="s">
        <v>85</v>
      </c>
      <c r="AC1260" s="5">
        <v>1200</v>
      </c>
    </row>
    <row r="1261" spans="1:29" x14ac:dyDescent="0.3">
      <c r="A1261" s="34">
        <v>46274</v>
      </c>
      <c r="B1261" s="34">
        <v>46274</v>
      </c>
      <c r="C1261" s="5" t="s">
        <v>78</v>
      </c>
      <c r="D1261" s="5" t="s">
        <v>79</v>
      </c>
      <c r="E1261" s="5" t="s">
        <v>80</v>
      </c>
      <c r="F1261" s="5">
        <v>13560</v>
      </c>
      <c r="G1261" s="5" t="s">
        <v>3876</v>
      </c>
      <c r="H1261" s="5" t="s">
        <v>3877</v>
      </c>
      <c r="I1261" s="5" t="s">
        <v>212</v>
      </c>
      <c r="N1261" s="5" t="s">
        <v>3878</v>
      </c>
      <c r="O1261" s="5">
        <v>1922.8</v>
      </c>
      <c r="P1261" s="5">
        <v>1923.9</v>
      </c>
      <c r="Q1261" s="5">
        <v>1881</v>
      </c>
      <c r="R1261" s="5">
        <v>1893.1</v>
      </c>
      <c r="S1261" s="5">
        <v>1898</v>
      </c>
      <c r="T1261" s="5">
        <v>1922.8</v>
      </c>
      <c r="V1261" s="5">
        <v>1899.63</v>
      </c>
      <c r="Y1261" s="5">
        <v>18388</v>
      </c>
      <c r="Z1261" s="5">
        <v>34923035.399999999</v>
      </c>
      <c r="AA1261" s="5">
        <v>3705</v>
      </c>
      <c r="AB1261" s="5" t="s">
        <v>85</v>
      </c>
      <c r="AC1261" s="5">
        <v>1</v>
      </c>
    </row>
    <row r="1262" spans="1:29" x14ac:dyDescent="0.3">
      <c r="A1262" s="34">
        <v>46274</v>
      </c>
      <c r="B1262" s="34">
        <v>46274</v>
      </c>
      <c r="C1262" s="5" t="s">
        <v>78</v>
      </c>
      <c r="D1262" s="5" t="s">
        <v>79</v>
      </c>
      <c r="E1262" s="5" t="s">
        <v>80</v>
      </c>
      <c r="F1262" s="5">
        <v>10871</v>
      </c>
      <c r="G1262" s="5" t="s">
        <v>3879</v>
      </c>
      <c r="H1262" s="5" t="s">
        <v>3880</v>
      </c>
      <c r="I1262" s="5" t="s">
        <v>212</v>
      </c>
      <c r="N1262" s="5" t="s">
        <v>3881</v>
      </c>
      <c r="O1262" s="5">
        <v>88.99</v>
      </c>
      <c r="P1262" s="5">
        <v>88.99</v>
      </c>
      <c r="Q1262" s="5">
        <v>85.46</v>
      </c>
      <c r="R1262" s="5">
        <v>88.14</v>
      </c>
      <c r="S1262" s="5">
        <v>88.03</v>
      </c>
      <c r="T1262" s="5">
        <v>88.17</v>
      </c>
      <c r="V1262" s="5">
        <v>88.15</v>
      </c>
      <c r="Y1262" s="5">
        <v>1430309</v>
      </c>
      <c r="Z1262" s="5">
        <v>124123649.66</v>
      </c>
      <c r="AA1262" s="5">
        <v>12882</v>
      </c>
      <c r="AB1262" s="5" t="s">
        <v>85</v>
      </c>
      <c r="AC1262" s="5">
        <v>1</v>
      </c>
    </row>
    <row r="1263" spans="1:29" x14ac:dyDescent="0.3">
      <c r="A1263" s="34">
        <v>46274</v>
      </c>
      <c r="B1263" s="34">
        <v>46274</v>
      </c>
      <c r="C1263" s="5" t="s">
        <v>78</v>
      </c>
      <c r="D1263" s="5" t="s">
        <v>79</v>
      </c>
      <c r="E1263" s="5" t="s">
        <v>80</v>
      </c>
      <c r="F1263" s="5">
        <v>760971</v>
      </c>
      <c r="G1263" s="5" t="s">
        <v>3882</v>
      </c>
      <c r="H1263" s="5" t="s">
        <v>3883</v>
      </c>
      <c r="I1263" s="5" t="s">
        <v>392</v>
      </c>
      <c r="N1263" s="5" t="s">
        <v>3884</v>
      </c>
      <c r="O1263" s="5">
        <v>242</v>
      </c>
      <c r="P1263" s="5">
        <v>250</v>
      </c>
      <c r="Q1263" s="5">
        <v>242</v>
      </c>
      <c r="R1263" s="5">
        <v>250</v>
      </c>
      <c r="S1263" s="5">
        <v>250</v>
      </c>
      <c r="T1263" s="5">
        <v>242.6</v>
      </c>
      <c r="V1263" s="5">
        <v>250</v>
      </c>
      <c r="Y1263" s="5">
        <v>8000</v>
      </c>
      <c r="Z1263" s="5">
        <v>1969840</v>
      </c>
      <c r="AA1263" s="5">
        <v>9</v>
      </c>
      <c r="AB1263" s="5" t="s">
        <v>85</v>
      </c>
      <c r="AC1263" s="5">
        <v>800</v>
      </c>
    </row>
    <row r="1264" spans="1:29" x14ac:dyDescent="0.3">
      <c r="A1264" s="34">
        <v>46274</v>
      </c>
      <c r="B1264" s="34">
        <v>46274</v>
      </c>
      <c r="C1264" s="5" t="s">
        <v>78</v>
      </c>
      <c r="D1264" s="5" t="s">
        <v>79</v>
      </c>
      <c r="E1264" s="5" t="s">
        <v>80</v>
      </c>
      <c r="F1264" s="5">
        <v>764285</v>
      </c>
      <c r="G1264" s="5" t="s">
        <v>3885</v>
      </c>
      <c r="H1264" s="5" t="s">
        <v>3886</v>
      </c>
      <c r="I1264" s="5" t="s">
        <v>212</v>
      </c>
      <c r="N1264" s="5" t="s">
        <v>3887</v>
      </c>
      <c r="O1264" s="5">
        <v>14.54</v>
      </c>
      <c r="P1264" s="5">
        <v>14.54</v>
      </c>
      <c r="Q1264" s="5">
        <v>14.25</v>
      </c>
      <c r="R1264" s="5">
        <v>14.33</v>
      </c>
      <c r="S1264" s="5">
        <v>14.33</v>
      </c>
      <c r="T1264" s="5">
        <v>14.38</v>
      </c>
      <c r="V1264" s="5">
        <v>14.33</v>
      </c>
      <c r="Y1264" s="5">
        <v>131074</v>
      </c>
      <c r="Z1264" s="5">
        <v>1874102.57</v>
      </c>
      <c r="AA1264" s="5">
        <v>542</v>
      </c>
      <c r="AB1264" s="5" t="s">
        <v>85</v>
      </c>
      <c r="AC1264" s="5">
        <v>1</v>
      </c>
    </row>
    <row r="1265" spans="1:29" x14ac:dyDescent="0.3">
      <c r="A1265" s="34">
        <v>46274</v>
      </c>
      <c r="B1265" s="34">
        <v>46274</v>
      </c>
      <c r="C1265" s="5" t="s">
        <v>78</v>
      </c>
      <c r="D1265" s="5" t="s">
        <v>79</v>
      </c>
      <c r="E1265" s="5" t="s">
        <v>80</v>
      </c>
      <c r="F1265" s="5">
        <v>760051</v>
      </c>
      <c r="G1265" s="5" t="s">
        <v>3888</v>
      </c>
      <c r="H1265" s="5" t="s">
        <v>3889</v>
      </c>
      <c r="I1265" s="5" t="s">
        <v>212</v>
      </c>
      <c r="N1265" s="5" t="s">
        <v>3890</v>
      </c>
      <c r="O1265" s="5">
        <v>11.59</v>
      </c>
      <c r="P1265" s="5">
        <v>11.59</v>
      </c>
      <c r="Q1265" s="5">
        <v>11.3</v>
      </c>
      <c r="R1265" s="5">
        <v>11.35</v>
      </c>
      <c r="S1265" s="5">
        <v>11.4</v>
      </c>
      <c r="T1265" s="5">
        <v>11.43</v>
      </c>
      <c r="V1265" s="5">
        <v>11.35</v>
      </c>
      <c r="Y1265" s="5">
        <v>563044</v>
      </c>
      <c r="Z1265" s="5">
        <v>6391230.3399999999</v>
      </c>
      <c r="AA1265" s="5">
        <v>861</v>
      </c>
      <c r="AB1265" s="5" t="s">
        <v>85</v>
      </c>
      <c r="AC1265" s="5">
        <v>1</v>
      </c>
    </row>
    <row r="1266" spans="1:29" x14ac:dyDescent="0.3">
      <c r="A1266" s="34">
        <v>46274</v>
      </c>
      <c r="B1266" s="34">
        <v>46274</v>
      </c>
      <c r="C1266" s="5" t="s">
        <v>78</v>
      </c>
      <c r="D1266" s="5" t="s">
        <v>79</v>
      </c>
      <c r="E1266" s="5" t="s">
        <v>80</v>
      </c>
      <c r="F1266" s="5">
        <v>760673</v>
      </c>
      <c r="G1266" s="5" t="s">
        <v>3891</v>
      </c>
      <c r="H1266" s="5" t="s">
        <v>3892</v>
      </c>
      <c r="I1266" s="5" t="s">
        <v>212</v>
      </c>
      <c r="N1266" s="5" t="s">
        <v>3893</v>
      </c>
      <c r="O1266" s="5">
        <v>29.9</v>
      </c>
      <c r="P1266" s="5">
        <v>30.21</v>
      </c>
      <c r="Q1266" s="5">
        <v>29.9</v>
      </c>
      <c r="R1266" s="5">
        <v>30.1</v>
      </c>
      <c r="S1266" s="5">
        <v>30.1</v>
      </c>
      <c r="T1266" s="5">
        <v>30.21</v>
      </c>
      <c r="V1266" s="5">
        <v>30.1</v>
      </c>
      <c r="Y1266" s="5">
        <v>52069</v>
      </c>
      <c r="Z1266" s="5">
        <v>1567927.72</v>
      </c>
      <c r="AA1266" s="5">
        <v>206</v>
      </c>
      <c r="AB1266" s="5" t="s">
        <v>85</v>
      </c>
      <c r="AC1266" s="5">
        <v>1</v>
      </c>
    </row>
    <row r="1267" spans="1:29" x14ac:dyDescent="0.3">
      <c r="A1267" s="34">
        <v>46274</v>
      </c>
      <c r="B1267" s="34">
        <v>46274</v>
      </c>
      <c r="C1267" s="5" t="s">
        <v>78</v>
      </c>
      <c r="D1267" s="5" t="s">
        <v>79</v>
      </c>
      <c r="E1267" s="5" t="s">
        <v>80</v>
      </c>
      <c r="F1267" s="5">
        <v>25758</v>
      </c>
      <c r="G1267" s="5" t="s">
        <v>3894</v>
      </c>
      <c r="H1267" s="5" t="s">
        <v>3895</v>
      </c>
      <c r="I1267" s="5" t="s">
        <v>212</v>
      </c>
      <c r="N1267" s="5" t="s">
        <v>3896</v>
      </c>
      <c r="O1267" s="5">
        <v>100.01</v>
      </c>
      <c r="P1267" s="5">
        <v>100.73</v>
      </c>
      <c r="Q1267" s="5">
        <v>98.14</v>
      </c>
      <c r="R1267" s="5">
        <v>99.25</v>
      </c>
      <c r="S1267" s="5">
        <v>99.28</v>
      </c>
      <c r="T1267" s="5">
        <v>99.97</v>
      </c>
      <c r="V1267" s="5">
        <v>99.25</v>
      </c>
      <c r="Y1267" s="5">
        <v>271306</v>
      </c>
      <c r="Z1267" s="5">
        <v>26940384.170000002</v>
      </c>
      <c r="AA1267" s="5">
        <v>2955</v>
      </c>
      <c r="AB1267" s="5" t="s">
        <v>85</v>
      </c>
      <c r="AC1267" s="5">
        <v>1</v>
      </c>
    </row>
    <row r="1268" spans="1:29" x14ac:dyDescent="0.3">
      <c r="A1268" s="34">
        <v>46274</v>
      </c>
      <c r="B1268" s="34">
        <v>46274</v>
      </c>
      <c r="C1268" s="5" t="s">
        <v>78</v>
      </c>
      <c r="D1268" s="5" t="s">
        <v>79</v>
      </c>
      <c r="E1268" s="5" t="s">
        <v>80</v>
      </c>
      <c r="F1268" s="5">
        <v>24798</v>
      </c>
      <c r="G1268" s="5" t="s">
        <v>3897</v>
      </c>
      <c r="H1268" s="5" t="s">
        <v>3898</v>
      </c>
      <c r="I1268" s="5" t="s">
        <v>212</v>
      </c>
      <c r="N1268" s="5" t="s">
        <v>3899</v>
      </c>
      <c r="O1268" s="5">
        <v>31.89</v>
      </c>
      <c r="P1268" s="5">
        <v>32.340000000000003</v>
      </c>
      <c r="Q1268" s="5">
        <v>31.89</v>
      </c>
      <c r="R1268" s="5">
        <v>32.21</v>
      </c>
      <c r="S1268" s="5">
        <v>32.07</v>
      </c>
      <c r="T1268" s="5">
        <v>32.229999999999997</v>
      </c>
      <c r="V1268" s="5">
        <v>32.21</v>
      </c>
      <c r="Y1268" s="5">
        <v>260637</v>
      </c>
      <c r="Z1268" s="5">
        <v>8375633.5800000001</v>
      </c>
      <c r="AA1268" s="5">
        <v>2128</v>
      </c>
      <c r="AB1268" s="5" t="s">
        <v>85</v>
      </c>
      <c r="AC1268" s="5">
        <v>1</v>
      </c>
    </row>
    <row r="1269" spans="1:29" x14ac:dyDescent="0.3">
      <c r="A1269" s="34">
        <v>46274</v>
      </c>
      <c r="B1269" s="34">
        <v>46274</v>
      </c>
      <c r="C1269" s="5" t="s">
        <v>78</v>
      </c>
      <c r="D1269" s="5" t="s">
        <v>79</v>
      </c>
      <c r="E1269" s="5" t="s">
        <v>80</v>
      </c>
      <c r="F1269" s="5">
        <v>25872</v>
      </c>
      <c r="G1269" s="5" t="s">
        <v>3900</v>
      </c>
      <c r="H1269" s="5" t="s">
        <v>3901</v>
      </c>
      <c r="I1269" s="5" t="s">
        <v>212</v>
      </c>
      <c r="N1269" s="5" t="s">
        <v>3902</v>
      </c>
      <c r="O1269" s="5">
        <v>14.84</v>
      </c>
      <c r="P1269" s="5">
        <v>14.94</v>
      </c>
      <c r="Q1269" s="5">
        <v>14.77</v>
      </c>
      <c r="R1269" s="5">
        <v>14.87</v>
      </c>
      <c r="S1269" s="5">
        <v>14.87</v>
      </c>
      <c r="T1269" s="5">
        <v>14.85</v>
      </c>
      <c r="V1269" s="5">
        <v>14.87</v>
      </c>
      <c r="Y1269" s="5">
        <v>3485550</v>
      </c>
      <c r="Z1269" s="5">
        <v>51822016.030000001</v>
      </c>
      <c r="AA1269" s="5">
        <v>4328</v>
      </c>
      <c r="AB1269" s="5" t="s">
        <v>85</v>
      </c>
      <c r="AC1269" s="5">
        <v>1</v>
      </c>
    </row>
    <row r="1270" spans="1:29" x14ac:dyDescent="0.3">
      <c r="A1270" s="34">
        <v>46274</v>
      </c>
      <c r="B1270" s="34">
        <v>46274</v>
      </c>
      <c r="C1270" s="5" t="s">
        <v>78</v>
      </c>
      <c r="D1270" s="5" t="s">
        <v>79</v>
      </c>
      <c r="E1270" s="5" t="s">
        <v>80</v>
      </c>
      <c r="F1270" s="5">
        <v>760874</v>
      </c>
      <c r="G1270" s="5" t="s">
        <v>3903</v>
      </c>
      <c r="H1270" s="5" t="s">
        <v>3904</v>
      </c>
      <c r="I1270" s="5" t="s">
        <v>212</v>
      </c>
      <c r="N1270" s="5" t="s">
        <v>3905</v>
      </c>
      <c r="O1270" s="5">
        <v>52.93</v>
      </c>
      <c r="P1270" s="5">
        <v>52.93</v>
      </c>
      <c r="Q1270" s="5">
        <v>51.81</v>
      </c>
      <c r="R1270" s="5">
        <v>52.6</v>
      </c>
      <c r="S1270" s="5">
        <v>52.5</v>
      </c>
      <c r="T1270" s="5">
        <v>51.89</v>
      </c>
      <c r="V1270" s="5">
        <v>52.6</v>
      </c>
      <c r="Y1270" s="5">
        <v>633992</v>
      </c>
      <c r="Z1270" s="5">
        <v>33319183.710000001</v>
      </c>
      <c r="AA1270" s="5">
        <v>970</v>
      </c>
      <c r="AB1270" s="5" t="s">
        <v>85</v>
      </c>
      <c r="AC1270" s="5">
        <v>1</v>
      </c>
    </row>
    <row r="1271" spans="1:29" x14ac:dyDescent="0.3">
      <c r="A1271" s="34">
        <v>46274</v>
      </c>
      <c r="B1271" s="34">
        <v>46274</v>
      </c>
      <c r="C1271" s="5" t="s">
        <v>78</v>
      </c>
      <c r="D1271" s="5" t="s">
        <v>79</v>
      </c>
      <c r="E1271" s="5" t="s">
        <v>80</v>
      </c>
      <c r="F1271" s="5">
        <v>25447</v>
      </c>
      <c r="G1271" s="5" t="s">
        <v>3906</v>
      </c>
      <c r="H1271" s="5" t="s">
        <v>3907</v>
      </c>
      <c r="I1271" s="5" t="s">
        <v>212</v>
      </c>
      <c r="N1271" s="5" t="s">
        <v>3908</v>
      </c>
      <c r="O1271" s="5">
        <v>110.66</v>
      </c>
      <c r="P1271" s="5">
        <v>110.68</v>
      </c>
      <c r="Q1271" s="5">
        <v>110.54</v>
      </c>
      <c r="R1271" s="5">
        <v>110.67</v>
      </c>
      <c r="S1271" s="5">
        <v>110.67</v>
      </c>
      <c r="T1271" s="5">
        <v>110.66</v>
      </c>
      <c r="V1271" s="5">
        <v>110.67</v>
      </c>
      <c r="Y1271" s="5">
        <v>289704</v>
      </c>
      <c r="Z1271" s="5">
        <v>32063161.030000001</v>
      </c>
      <c r="AA1271" s="5">
        <v>226</v>
      </c>
      <c r="AB1271" s="5" t="s">
        <v>85</v>
      </c>
      <c r="AC1271" s="5">
        <v>1</v>
      </c>
    </row>
    <row r="1272" spans="1:29" x14ac:dyDescent="0.3">
      <c r="A1272" s="34">
        <v>46274</v>
      </c>
      <c r="B1272" s="34">
        <v>46274</v>
      </c>
      <c r="C1272" s="5" t="s">
        <v>78</v>
      </c>
      <c r="D1272" s="5" t="s">
        <v>79</v>
      </c>
      <c r="E1272" s="5" t="s">
        <v>80</v>
      </c>
      <c r="F1272" s="5">
        <v>758300</v>
      </c>
      <c r="G1272" s="5" t="s">
        <v>3909</v>
      </c>
      <c r="H1272" s="5" t="s">
        <v>3910</v>
      </c>
      <c r="I1272" s="5" t="s">
        <v>212</v>
      </c>
      <c r="N1272" s="5" t="s">
        <v>3911</v>
      </c>
      <c r="O1272" s="5">
        <v>10.4</v>
      </c>
      <c r="P1272" s="5">
        <v>10.4</v>
      </c>
      <c r="Q1272" s="5">
        <v>10.14</v>
      </c>
      <c r="R1272" s="5">
        <v>10.18</v>
      </c>
      <c r="S1272" s="5">
        <v>10.23</v>
      </c>
      <c r="T1272" s="5">
        <v>10.199999999999999</v>
      </c>
      <c r="V1272" s="5">
        <v>10.18</v>
      </c>
      <c r="Y1272" s="5">
        <v>7351</v>
      </c>
      <c r="Z1272" s="5">
        <v>74991.320000000007</v>
      </c>
      <c r="AA1272" s="5">
        <v>102</v>
      </c>
      <c r="AB1272" s="5" t="s">
        <v>85</v>
      </c>
      <c r="AC1272" s="5">
        <v>1</v>
      </c>
    </row>
    <row r="1273" spans="1:29" x14ac:dyDescent="0.3">
      <c r="A1273" s="34">
        <v>46274</v>
      </c>
      <c r="B1273" s="34">
        <v>46274</v>
      </c>
      <c r="C1273" s="5" t="s">
        <v>78</v>
      </c>
      <c r="D1273" s="5" t="s">
        <v>79</v>
      </c>
      <c r="E1273" s="5" t="s">
        <v>80</v>
      </c>
      <c r="F1273" s="5">
        <v>759719</v>
      </c>
      <c r="G1273" s="5" t="s">
        <v>3912</v>
      </c>
      <c r="H1273" s="5" t="s">
        <v>3913</v>
      </c>
      <c r="I1273" s="5" t="s">
        <v>212</v>
      </c>
      <c r="N1273" s="5" t="s">
        <v>3914</v>
      </c>
      <c r="O1273" s="5">
        <v>232.35</v>
      </c>
      <c r="P1273" s="5">
        <v>232.41</v>
      </c>
      <c r="Q1273" s="5">
        <v>229.62</v>
      </c>
      <c r="R1273" s="5">
        <v>230.9</v>
      </c>
      <c r="S1273" s="5">
        <v>230.9</v>
      </c>
      <c r="T1273" s="5">
        <v>230.25</v>
      </c>
      <c r="V1273" s="5">
        <v>230.9</v>
      </c>
      <c r="Y1273" s="5">
        <v>587</v>
      </c>
      <c r="Z1273" s="5">
        <v>135521.35999999999</v>
      </c>
      <c r="AA1273" s="5">
        <v>26</v>
      </c>
      <c r="AB1273" s="5" t="s">
        <v>85</v>
      </c>
      <c r="AC1273" s="5">
        <v>1</v>
      </c>
    </row>
    <row r="1274" spans="1:29" x14ac:dyDescent="0.3">
      <c r="A1274" s="34">
        <v>46274</v>
      </c>
      <c r="B1274" s="34">
        <v>46274</v>
      </c>
      <c r="C1274" s="5" t="s">
        <v>78</v>
      </c>
      <c r="D1274" s="5" t="s">
        <v>79</v>
      </c>
      <c r="E1274" s="5" t="s">
        <v>80</v>
      </c>
      <c r="F1274" s="5">
        <v>760438</v>
      </c>
      <c r="G1274" s="5" t="s">
        <v>3915</v>
      </c>
      <c r="H1274" s="5" t="s">
        <v>3916</v>
      </c>
      <c r="I1274" s="5" t="s">
        <v>212</v>
      </c>
      <c r="N1274" s="5" t="s">
        <v>3917</v>
      </c>
      <c r="O1274" s="5">
        <v>12.79</v>
      </c>
      <c r="P1274" s="5">
        <v>12.8</v>
      </c>
      <c r="Q1274" s="5">
        <v>12.4</v>
      </c>
      <c r="R1274" s="5">
        <v>12.7</v>
      </c>
      <c r="S1274" s="5">
        <v>12.67</v>
      </c>
      <c r="T1274" s="5">
        <v>12.48</v>
      </c>
      <c r="V1274" s="5">
        <v>12.7</v>
      </c>
      <c r="Y1274" s="5">
        <v>534513</v>
      </c>
      <c r="Z1274" s="5">
        <v>6790619.1900000004</v>
      </c>
      <c r="AA1274" s="5">
        <v>1299</v>
      </c>
      <c r="AB1274" s="5" t="s">
        <v>85</v>
      </c>
      <c r="AC1274" s="5">
        <v>1</v>
      </c>
    </row>
    <row r="1275" spans="1:29" x14ac:dyDescent="0.3">
      <c r="A1275" s="34">
        <v>46274</v>
      </c>
      <c r="B1275" s="34">
        <v>46274</v>
      </c>
      <c r="C1275" s="5" t="s">
        <v>78</v>
      </c>
      <c r="D1275" s="5" t="s">
        <v>79</v>
      </c>
      <c r="E1275" s="5" t="s">
        <v>80</v>
      </c>
      <c r="F1275" s="5">
        <v>756086</v>
      </c>
      <c r="G1275" s="5" t="s">
        <v>3918</v>
      </c>
      <c r="H1275" s="5" t="s">
        <v>3919</v>
      </c>
      <c r="I1275" s="5" t="s">
        <v>212</v>
      </c>
      <c r="N1275" s="5" t="s">
        <v>3920</v>
      </c>
      <c r="O1275" s="5">
        <v>11.18</v>
      </c>
      <c r="P1275" s="5">
        <v>11.18</v>
      </c>
      <c r="Q1275" s="5">
        <v>11.01</v>
      </c>
      <c r="R1275" s="5">
        <v>11.12</v>
      </c>
      <c r="S1275" s="5">
        <v>11.14</v>
      </c>
      <c r="T1275" s="5">
        <v>11.05</v>
      </c>
      <c r="V1275" s="5">
        <v>11.12</v>
      </c>
      <c r="Y1275" s="5">
        <v>237006</v>
      </c>
      <c r="Z1275" s="5">
        <v>2630429.19</v>
      </c>
      <c r="AA1275" s="5">
        <v>447</v>
      </c>
      <c r="AB1275" s="5" t="s">
        <v>85</v>
      </c>
      <c r="AC1275" s="5">
        <v>1</v>
      </c>
    </row>
    <row r="1276" spans="1:29" x14ac:dyDescent="0.3">
      <c r="A1276" s="34">
        <v>46274</v>
      </c>
      <c r="B1276" s="34">
        <v>46274</v>
      </c>
      <c r="C1276" s="5" t="s">
        <v>78</v>
      </c>
      <c r="D1276" s="5" t="s">
        <v>79</v>
      </c>
      <c r="E1276" s="5" t="s">
        <v>80</v>
      </c>
      <c r="F1276" s="5">
        <v>29872</v>
      </c>
      <c r="G1276" s="5" t="s">
        <v>3921</v>
      </c>
      <c r="H1276" s="5" t="s">
        <v>3922</v>
      </c>
      <c r="I1276" s="5" t="s">
        <v>212</v>
      </c>
      <c r="N1276" s="5" t="s">
        <v>3923</v>
      </c>
      <c r="O1276" s="5">
        <v>11.17</v>
      </c>
      <c r="P1276" s="5">
        <v>11.32</v>
      </c>
      <c r="Q1276" s="5">
        <v>11.1</v>
      </c>
      <c r="R1276" s="5">
        <v>11.17</v>
      </c>
      <c r="S1276" s="5">
        <v>11.17</v>
      </c>
      <c r="T1276" s="5">
        <v>11.17</v>
      </c>
      <c r="V1276" s="5">
        <v>11.17</v>
      </c>
      <c r="Y1276" s="5">
        <v>29037</v>
      </c>
      <c r="Z1276" s="5">
        <v>324524.90000000002</v>
      </c>
      <c r="AA1276" s="5">
        <v>213</v>
      </c>
      <c r="AB1276" s="5" t="s">
        <v>85</v>
      </c>
      <c r="AC1276" s="5">
        <v>1</v>
      </c>
    </row>
    <row r="1277" spans="1:29" x14ac:dyDescent="0.3">
      <c r="A1277" s="34">
        <v>46274</v>
      </c>
      <c r="B1277" s="34">
        <v>46274</v>
      </c>
      <c r="C1277" s="5" t="s">
        <v>78</v>
      </c>
      <c r="D1277" s="5" t="s">
        <v>79</v>
      </c>
      <c r="E1277" s="5" t="s">
        <v>80</v>
      </c>
      <c r="F1277" s="5">
        <v>757814</v>
      </c>
      <c r="G1277" s="5" t="s">
        <v>3924</v>
      </c>
      <c r="H1277" s="5" t="s">
        <v>3925</v>
      </c>
      <c r="I1277" s="5" t="s">
        <v>212</v>
      </c>
      <c r="N1277" s="5" t="s">
        <v>3926</v>
      </c>
      <c r="O1277" s="5">
        <v>10.99</v>
      </c>
      <c r="P1277" s="5">
        <v>11.2</v>
      </c>
      <c r="Q1277" s="5">
        <v>10.66</v>
      </c>
      <c r="R1277" s="5">
        <v>10.77</v>
      </c>
      <c r="S1277" s="5">
        <v>10.7</v>
      </c>
      <c r="T1277" s="5">
        <v>10.86</v>
      </c>
      <c r="V1277" s="5">
        <v>10.77</v>
      </c>
      <c r="Y1277" s="5">
        <v>399148</v>
      </c>
      <c r="Z1277" s="5">
        <v>4315077.58</v>
      </c>
      <c r="AA1277" s="5">
        <v>2095</v>
      </c>
      <c r="AB1277" s="5" t="s">
        <v>85</v>
      </c>
      <c r="AC1277" s="5">
        <v>1</v>
      </c>
    </row>
    <row r="1278" spans="1:29" x14ac:dyDescent="0.3">
      <c r="A1278" s="34">
        <v>46274</v>
      </c>
      <c r="B1278" s="34">
        <v>46274</v>
      </c>
      <c r="C1278" s="5" t="s">
        <v>78</v>
      </c>
      <c r="D1278" s="5" t="s">
        <v>79</v>
      </c>
      <c r="E1278" s="5" t="s">
        <v>80</v>
      </c>
      <c r="F1278" s="5">
        <v>758697</v>
      </c>
      <c r="G1278" s="5" t="s">
        <v>3927</v>
      </c>
      <c r="H1278" s="5" t="s">
        <v>3928</v>
      </c>
      <c r="I1278" s="5" t="s">
        <v>212</v>
      </c>
      <c r="N1278" s="5" t="s">
        <v>3929</v>
      </c>
      <c r="O1278" s="5">
        <v>9.81</v>
      </c>
      <c r="P1278" s="5">
        <v>9.81</v>
      </c>
      <c r="Q1278" s="5">
        <v>9.35</v>
      </c>
      <c r="R1278" s="5">
        <v>9.51</v>
      </c>
      <c r="S1278" s="5">
        <v>9.51</v>
      </c>
      <c r="T1278" s="5">
        <v>9.58</v>
      </c>
      <c r="V1278" s="5">
        <v>9.51</v>
      </c>
      <c r="Y1278" s="5">
        <v>1082032</v>
      </c>
      <c r="Z1278" s="5">
        <v>10298287</v>
      </c>
      <c r="AA1278" s="5">
        <v>3920</v>
      </c>
      <c r="AB1278" s="5" t="s">
        <v>85</v>
      </c>
      <c r="AC1278" s="5">
        <v>1</v>
      </c>
    </row>
    <row r="1279" spans="1:29" x14ac:dyDescent="0.3">
      <c r="A1279" s="34">
        <v>46274</v>
      </c>
      <c r="B1279" s="34">
        <v>46274</v>
      </c>
      <c r="C1279" s="5" t="s">
        <v>78</v>
      </c>
      <c r="D1279" s="5" t="s">
        <v>79</v>
      </c>
      <c r="E1279" s="5" t="s">
        <v>80</v>
      </c>
      <c r="F1279" s="5">
        <v>759458</v>
      </c>
      <c r="G1279" s="5" t="s">
        <v>3930</v>
      </c>
      <c r="H1279" s="5" t="s">
        <v>3931</v>
      </c>
      <c r="I1279" s="5" t="s">
        <v>212</v>
      </c>
      <c r="N1279" s="5" t="s">
        <v>3932</v>
      </c>
      <c r="O1279" s="5">
        <v>74.47</v>
      </c>
      <c r="P1279" s="5">
        <v>75.099999999999994</v>
      </c>
      <c r="Q1279" s="5">
        <v>73.11</v>
      </c>
      <c r="R1279" s="5">
        <v>73.819999999999993</v>
      </c>
      <c r="S1279" s="5">
        <v>74</v>
      </c>
      <c r="T1279" s="5">
        <v>74.599999999999994</v>
      </c>
      <c r="V1279" s="5">
        <v>73.819999999999993</v>
      </c>
      <c r="Y1279" s="5">
        <v>6879</v>
      </c>
      <c r="Z1279" s="5">
        <v>505024.56</v>
      </c>
      <c r="AA1279" s="5">
        <v>143</v>
      </c>
      <c r="AB1279" s="5" t="s">
        <v>85</v>
      </c>
      <c r="AC1279" s="5">
        <v>1</v>
      </c>
    </row>
    <row r="1280" spans="1:29" x14ac:dyDescent="0.3">
      <c r="A1280" s="34">
        <v>46274</v>
      </c>
      <c r="B1280" s="34">
        <v>46274</v>
      </c>
      <c r="C1280" s="5" t="s">
        <v>78</v>
      </c>
      <c r="D1280" s="5" t="s">
        <v>79</v>
      </c>
      <c r="E1280" s="5" t="s">
        <v>80</v>
      </c>
      <c r="F1280" s="5">
        <v>758165</v>
      </c>
      <c r="G1280" s="5" t="s">
        <v>3933</v>
      </c>
      <c r="H1280" s="5" t="s">
        <v>3934</v>
      </c>
      <c r="I1280" s="5" t="s">
        <v>212</v>
      </c>
      <c r="N1280" s="5" t="s">
        <v>3935</v>
      </c>
      <c r="O1280" s="5">
        <v>11.59</v>
      </c>
      <c r="P1280" s="5">
        <v>11.59</v>
      </c>
      <c r="Q1280" s="5">
        <v>11.31</v>
      </c>
      <c r="R1280" s="5">
        <v>11.43</v>
      </c>
      <c r="S1280" s="5">
        <v>11.46</v>
      </c>
      <c r="T1280" s="5">
        <v>11.34</v>
      </c>
      <c r="V1280" s="5">
        <v>11.43</v>
      </c>
      <c r="Y1280" s="5">
        <v>13766421</v>
      </c>
      <c r="Z1280" s="5">
        <v>157609479.84</v>
      </c>
      <c r="AA1280" s="5">
        <v>2647</v>
      </c>
      <c r="AB1280" s="5" t="s">
        <v>85</v>
      </c>
      <c r="AC1280" s="5">
        <v>1</v>
      </c>
    </row>
    <row r="1281" spans="1:29" x14ac:dyDescent="0.3">
      <c r="A1281" s="34">
        <v>46274</v>
      </c>
      <c r="B1281" s="34">
        <v>46274</v>
      </c>
      <c r="C1281" s="5" t="s">
        <v>78</v>
      </c>
      <c r="D1281" s="5" t="s">
        <v>79</v>
      </c>
      <c r="E1281" s="5" t="s">
        <v>80</v>
      </c>
      <c r="F1281" s="5">
        <v>760976</v>
      </c>
      <c r="G1281" s="5" t="s">
        <v>3936</v>
      </c>
      <c r="H1281" s="5" t="s">
        <v>3937</v>
      </c>
      <c r="I1281" s="5" t="s">
        <v>212</v>
      </c>
      <c r="N1281" s="5" t="s">
        <v>3938</v>
      </c>
      <c r="O1281" s="5">
        <v>99.48</v>
      </c>
      <c r="P1281" s="5">
        <v>99.48</v>
      </c>
      <c r="Q1281" s="5">
        <v>96.2</v>
      </c>
      <c r="R1281" s="5">
        <v>98.5</v>
      </c>
      <c r="S1281" s="5">
        <v>98.92</v>
      </c>
      <c r="T1281" s="5">
        <v>98.16</v>
      </c>
      <c r="V1281" s="5">
        <v>98.5</v>
      </c>
      <c r="Y1281" s="5">
        <v>2210</v>
      </c>
      <c r="Z1281" s="5">
        <v>217287.41</v>
      </c>
      <c r="AA1281" s="5">
        <v>119</v>
      </c>
      <c r="AB1281" s="5" t="s">
        <v>85</v>
      </c>
      <c r="AC1281" s="5">
        <v>1</v>
      </c>
    </row>
    <row r="1282" spans="1:29" x14ac:dyDescent="0.3">
      <c r="A1282" s="34">
        <v>46274</v>
      </c>
      <c r="B1282" s="34">
        <v>46274</v>
      </c>
      <c r="C1282" s="5" t="s">
        <v>78</v>
      </c>
      <c r="D1282" s="5" t="s">
        <v>79</v>
      </c>
      <c r="E1282" s="5" t="s">
        <v>80</v>
      </c>
      <c r="F1282" s="5">
        <v>761514</v>
      </c>
      <c r="G1282" s="5" t="s">
        <v>3939</v>
      </c>
      <c r="H1282" s="5" t="s">
        <v>3940</v>
      </c>
      <c r="I1282" s="5" t="s">
        <v>212</v>
      </c>
      <c r="N1282" s="5" t="s">
        <v>3941</v>
      </c>
      <c r="O1282" s="5">
        <v>83.71</v>
      </c>
      <c r="P1282" s="5">
        <v>84.7</v>
      </c>
      <c r="Q1282" s="5">
        <v>83.57</v>
      </c>
      <c r="R1282" s="5">
        <v>84.06</v>
      </c>
      <c r="S1282" s="5">
        <v>84</v>
      </c>
      <c r="T1282" s="5">
        <v>84.49</v>
      </c>
      <c r="V1282" s="5">
        <v>84.06</v>
      </c>
      <c r="Y1282" s="5">
        <v>4654</v>
      </c>
      <c r="Z1282" s="5">
        <v>392016.9</v>
      </c>
      <c r="AA1282" s="5">
        <v>103</v>
      </c>
      <c r="AB1282" s="5" t="s">
        <v>85</v>
      </c>
      <c r="AC1282" s="5">
        <v>1</v>
      </c>
    </row>
    <row r="1283" spans="1:29" x14ac:dyDescent="0.3">
      <c r="A1283" s="34">
        <v>46274</v>
      </c>
      <c r="B1283" s="34">
        <v>46274</v>
      </c>
      <c r="C1283" s="5" t="s">
        <v>78</v>
      </c>
      <c r="D1283" s="5" t="s">
        <v>79</v>
      </c>
      <c r="E1283" s="5" t="s">
        <v>80</v>
      </c>
      <c r="F1283" s="5">
        <v>29527</v>
      </c>
      <c r="G1283" s="5" t="s">
        <v>3942</v>
      </c>
      <c r="H1283" s="5" t="s">
        <v>3943</v>
      </c>
      <c r="I1283" s="5" t="s">
        <v>212</v>
      </c>
      <c r="N1283" s="5" t="s">
        <v>3944</v>
      </c>
      <c r="O1283" s="5">
        <v>28</v>
      </c>
      <c r="P1283" s="5">
        <v>28</v>
      </c>
      <c r="Q1283" s="5">
        <v>27.69</v>
      </c>
      <c r="R1283" s="5">
        <v>27.78</v>
      </c>
      <c r="S1283" s="5">
        <v>27.8</v>
      </c>
      <c r="T1283" s="5">
        <v>27.79</v>
      </c>
      <c r="V1283" s="5">
        <v>27.78</v>
      </c>
      <c r="Y1283" s="5">
        <v>442887</v>
      </c>
      <c r="Z1283" s="5">
        <v>12317336.98</v>
      </c>
      <c r="AA1283" s="5">
        <v>1896</v>
      </c>
      <c r="AB1283" s="5" t="s">
        <v>85</v>
      </c>
      <c r="AC1283" s="5">
        <v>1</v>
      </c>
    </row>
    <row r="1284" spans="1:29" x14ac:dyDescent="0.3">
      <c r="A1284" s="34">
        <v>46274</v>
      </c>
      <c r="B1284" s="34">
        <v>46274</v>
      </c>
      <c r="C1284" s="5" t="s">
        <v>78</v>
      </c>
      <c r="D1284" s="5" t="s">
        <v>79</v>
      </c>
      <c r="E1284" s="5" t="s">
        <v>80</v>
      </c>
      <c r="F1284" s="5">
        <v>759428</v>
      </c>
      <c r="G1284" s="5" t="s">
        <v>3945</v>
      </c>
      <c r="H1284" s="5" t="s">
        <v>3946</v>
      </c>
      <c r="I1284" s="5" t="s">
        <v>212</v>
      </c>
      <c r="N1284" s="5" t="s">
        <v>3947</v>
      </c>
      <c r="O1284" s="5">
        <v>10</v>
      </c>
      <c r="P1284" s="5">
        <v>10.35</v>
      </c>
      <c r="Q1284" s="5">
        <v>9.8000000000000007</v>
      </c>
      <c r="R1284" s="5">
        <v>9.84</v>
      </c>
      <c r="S1284" s="5">
        <v>9.85</v>
      </c>
      <c r="T1284" s="5">
        <v>10.029999999999999</v>
      </c>
      <c r="V1284" s="5">
        <v>9.84</v>
      </c>
      <c r="Y1284" s="5">
        <v>540756</v>
      </c>
      <c r="Z1284" s="5">
        <v>5348605.22</v>
      </c>
      <c r="AA1284" s="5">
        <v>879</v>
      </c>
      <c r="AB1284" s="5" t="s">
        <v>85</v>
      </c>
      <c r="AC1284" s="5">
        <v>1</v>
      </c>
    </row>
    <row r="1285" spans="1:29" x14ac:dyDescent="0.3">
      <c r="A1285" s="34">
        <v>46274</v>
      </c>
      <c r="B1285" s="34">
        <v>46274</v>
      </c>
      <c r="C1285" s="5" t="s">
        <v>78</v>
      </c>
      <c r="D1285" s="5" t="s">
        <v>79</v>
      </c>
      <c r="E1285" s="5" t="s">
        <v>80</v>
      </c>
      <c r="F1285" s="5">
        <v>759522</v>
      </c>
      <c r="G1285" s="5" t="s">
        <v>3948</v>
      </c>
      <c r="H1285" s="5" t="s">
        <v>3949</v>
      </c>
      <c r="I1285" s="5" t="s">
        <v>212</v>
      </c>
      <c r="N1285" s="5" t="s">
        <v>3950</v>
      </c>
      <c r="O1285" s="5">
        <v>10.64</v>
      </c>
      <c r="P1285" s="5">
        <v>10.72</v>
      </c>
      <c r="Q1285" s="5">
        <v>10.62</v>
      </c>
      <c r="R1285" s="5">
        <v>10.65</v>
      </c>
      <c r="S1285" s="5">
        <v>10.65</v>
      </c>
      <c r="T1285" s="5">
        <v>10.64</v>
      </c>
      <c r="V1285" s="5">
        <v>10.65</v>
      </c>
      <c r="Y1285" s="5">
        <v>157749</v>
      </c>
      <c r="Z1285" s="5">
        <v>1680770.04</v>
      </c>
      <c r="AA1285" s="5">
        <v>496</v>
      </c>
      <c r="AB1285" s="5" t="s">
        <v>85</v>
      </c>
      <c r="AC1285" s="5">
        <v>1</v>
      </c>
    </row>
    <row r="1286" spans="1:29" x14ac:dyDescent="0.3">
      <c r="A1286" s="34">
        <v>46274</v>
      </c>
      <c r="B1286" s="34">
        <v>46274</v>
      </c>
      <c r="C1286" s="5" t="s">
        <v>78</v>
      </c>
      <c r="D1286" s="5" t="s">
        <v>79</v>
      </c>
      <c r="E1286" s="5" t="s">
        <v>80</v>
      </c>
      <c r="F1286" s="5">
        <v>756827</v>
      </c>
      <c r="G1286" s="5" t="s">
        <v>3951</v>
      </c>
      <c r="H1286" s="5" t="s">
        <v>3952</v>
      </c>
      <c r="I1286" s="5" t="s">
        <v>212</v>
      </c>
      <c r="N1286" s="5" t="s">
        <v>3953</v>
      </c>
      <c r="O1286" s="5">
        <v>22.86</v>
      </c>
      <c r="P1286" s="5">
        <v>22.94</v>
      </c>
      <c r="Q1286" s="5">
        <v>22.7</v>
      </c>
      <c r="R1286" s="5">
        <v>22.77</v>
      </c>
      <c r="S1286" s="5">
        <v>22.81</v>
      </c>
      <c r="T1286" s="5">
        <v>22.65</v>
      </c>
      <c r="V1286" s="5">
        <v>22.77</v>
      </c>
      <c r="Y1286" s="5">
        <v>1478790</v>
      </c>
      <c r="Z1286" s="5">
        <v>33755580.409999996</v>
      </c>
      <c r="AA1286" s="5">
        <v>3063</v>
      </c>
      <c r="AB1286" s="5" t="s">
        <v>85</v>
      </c>
      <c r="AC1286" s="5">
        <v>1</v>
      </c>
    </row>
    <row r="1287" spans="1:29" x14ac:dyDescent="0.3">
      <c r="A1287" s="34">
        <v>46274</v>
      </c>
      <c r="B1287" s="34">
        <v>46274</v>
      </c>
      <c r="C1287" s="5" t="s">
        <v>78</v>
      </c>
      <c r="D1287" s="5" t="s">
        <v>79</v>
      </c>
      <c r="E1287" s="5" t="s">
        <v>80</v>
      </c>
      <c r="F1287" s="5">
        <v>763572</v>
      </c>
      <c r="G1287" s="5" t="s">
        <v>3954</v>
      </c>
      <c r="H1287" s="5" t="s">
        <v>3955</v>
      </c>
      <c r="I1287" s="5" t="s">
        <v>212</v>
      </c>
      <c r="N1287" s="5" t="s">
        <v>3956</v>
      </c>
      <c r="O1287" s="5">
        <v>27.41</v>
      </c>
      <c r="P1287" s="5">
        <v>27.6</v>
      </c>
      <c r="Q1287" s="5">
        <v>27.41</v>
      </c>
      <c r="R1287" s="5">
        <v>27.44</v>
      </c>
      <c r="S1287" s="5">
        <v>27.6</v>
      </c>
      <c r="T1287" s="5">
        <v>27.7</v>
      </c>
      <c r="V1287" s="5">
        <v>27.44</v>
      </c>
      <c r="Y1287" s="5">
        <v>3418</v>
      </c>
      <c r="Z1287" s="5">
        <v>93855.81</v>
      </c>
      <c r="AA1287" s="5">
        <v>95</v>
      </c>
      <c r="AB1287" s="5" t="s">
        <v>85</v>
      </c>
      <c r="AC1287" s="5">
        <v>1</v>
      </c>
    </row>
    <row r="1288" spans="1:29" x14ac:dyDescent="0.3">
      <c r="A1288" s="34">
        <v>46274</v>
      </c>
      <c r="B1288" s="34">
        <v>46274</v>
      </c>
      <c r="C1288" s="5" t="s">
        <v>78</v>
      </c>
      <c r="D1288" s="5" t="s">
        <v>79</v>
      </c>
      <c r="E1288" s="5" t="s">
        <v>80</v>
      </c>
      <c r="F1288" s="5">
        <v>751745</v>
      </c>
      <c r="G1288" s="5" t="s">
        <v>3957</v>
      </c>
      <c r="H1288" s="5" t="s">
        <v>3958</v>
      </c>
      <c r="I1288" s="5" t="s">
        <v>212</v>
      </c>
      <c r="N1288" s="5" t="s">
        <v>3959</v>
      </c>
      <c r="O1288" s="5">
        <v>49.95</v>
      </c>
      <c r="P1288" s="5">
        <v>49.95</v>
      </c>
      <c r="Q1288" s="5">
        <v>49.3</v>
      </c>
      <c r="R1288" s="5">
        <v>49.43</v>
      </c>
      <c r="S1288" s="5">
        <v>49.56</v>
      </c>
      <c r="T1288" s="5">
        <v>49.55</v>
      </c>
      <c r="V1288" s="5">
        <v>49.43</v>
      </c>
      <c r="Y1288" s="5">
        <v>4260</v>
      </c>
      <c r="Z1288" s="5">
        <v>210883.47</v>
      </c>
      <c r="AA1288" s="5">
        <v>101</v>
      </c>
      <c r="AB1288" s="5" t="s">
        <v>85</v>
      </c>
      <c r="AC1288" s="5">
        <v>1</v>
      </c>
    </row>
    <row r="1289" spans="1:29" x14ac:dyDescent="0.3">
      <c r="A1289" s="34">
        <v>46274</v>
      </c>
      <c r="B1289" s="34">
        <v>46274</v>
      </c>
      <c r="C1289" s="5" t="s">
        <v>78</v>
      </c>
      <c r="D1289" s="5" t="s">
        <v>79</v>
      </c>
      <c r="E1289" s="5" t="s">
        <v>80</v>
      </c>
      <c r="F1289" s="5">
        <v>6543</v>
      </c>
      <c r="G1289" s="5" t="s">
        <v>3960</v>
      </c>
      <c r="H1289" s="5" t="s">
        <v>3961</v>
      </c>
      <c r="I1289" s="5" t="s">
        <v>212</v>
      </c>
      <c r="N1289" s="5" t="s">
        <v>3962</v>
      </c>
      <c r="O1289" s="5">
        <v>1980</v>
      </c>
      <c r="P1289" s="5">
        <v>2040</v>
      </c>
      <c r="Q1289" s="5">
        <v>1980</v>
      </c>
      <c r="R1289" s="5">
        <v>2026.9</v>
      </c>
      <c r="S1289" s="5">
        <v>2039</v>
      </c>
      <c r="T1289" s="5">
        <v>2001.4</v>
      </c>
      <c r="V1289" s="5">
        <v>2026.4</v>
      </c>
      <c r="Y1289" s="5">
        <v>1215</v>
      </c>
      <c r="Z1289" s="5">
        <v>2452866.2999999998</v>
      </c>
      <c r="AA1289" s="5">
        <v>314</v>
      </c>
      <c r="AB1289" s="5" t="s">
        <v>85</v>
      </c>
      <c r="AC1289" s="5">
        <v>1</v>
      </c>
    </row>
    <row r="1290" spans="1:29" x14ac:dyDescent="0.3">
      <c r="A1290" s="34">
        <v>46274</v>
      </c>
      <c r="B1290" s="34">
        <v>46274</v>
      </c>
      <c r="C1290" s="5" t="s">
        <v>78</v>
      </c>
      <c r="D1290" s="5" t="s">
        <v>79</v>
      </c>
      <c r="E1290" s="5" t="s">
        <v>80</v>
      </c>
      <c r="F1290" s="5">
        <v>23888</v>
      </c>
      <c r="G1290" s="5" t="s">
        <v>3963</v>
      </c>
      <c r="H1290" s="5" t="s">
        <v>3964</v>
      </c>
      <c r="I1290" s="5" t="s">
        <v>313</v>
      </c>
      <c r="N1290" s="5" t="s">
        <v>3965</v>
      </c>
      <c r="O1290" s="5">
        <v>95.6</v>
      </c>
      <c r="P1290" s="5">
        <v>101.95</v>
      </c>
      <c r="Q1290" s="5">
        <v>95.35</v>
      </c>
      <c r="R1290" s="5">
        <v>95.35</v>
      </c>
      <c r="S1290" s="5">
        <v>95.35</v>
      </c>
      <c r="T1290" s="5">
        <v>100.35</v>
      </c>
      <c r="V1290" s="5">
        <v>95.35</v>
      </c>
      <c r="Y1290" s="5">
        <v>1164500</v>
      </c>
      <c r="Z1290" s="5">
        <v>112566000</v>
      </c>
      <c r="AA1290" s="5">
        <v>1126</v>
      </c>
      <c r="AB1290" s="5" t="s">
        <v>85</v>
      </c>
      <c r="AC1290" s="5">
        <v>500</v>
      </c>
    </row>
    <row r="1291" spans="1:29" x14ac:dyDescent="0.3">
      <c r="A1291" s="34">
        <v>46274</v>
      </c>
      <c r="B1291" s="34">
        <v>46274</v>
      </c>
      <c r="C1291" s="5" t="s">
        <v>78</v>
      </c>
      <c r="D1291" s="5" t="s">
        <v>79</v>
      </c>
      <c r="E1291" s="5" t="s">
        <v>80</v>
      </c>
      <c r="F1291" s="5">
        <v>762239</v>
      </c>
      <c r="G1291" s="5" t="s">
        <v>3966</v>
      </c>
      <c r="H1291" s="5" t="s">
        <v>3967</v>
      </c>
      <c r="I1291" s="5" t="s">
        <v>212</v>
      </c>
      <c r="N1291" s="5" t="s">
        <v>3968</v>
      </c>
      <c r="O1291" s="5">
        <v>524.85</v>
      </c>
      <c r="P1291" s="5">
        <v>531.4</v>
      </c>
      <c r="Q1291" s="5">
        <v>479.95</v>
      </c>
      <c r="R1291" s="5">
        <v>491.35</v>
      </c>
      <c r="S1291" s="5">
        <v>491.65</v>
      </c>
      <c r="T1291" s="5">
        <v>531</v>
      </c>
      <c r="V1291" s="5">
        <v>491.35</v>
      </c>
      <c r="Y1291" s="5">
        <v>1797785</v>
      </c>
      <c r="Z1291" s="5">
        <v>888513391.60000002</v>
      </c>
      <c r="AA1291" s="5">
        <v>44163</v>
      </c>
      <c r="AB1291" s="5" t="s">
        <v>85</v>
      </c>
      <c r="AC1291" s="5">
        <v>1</v>
      </c>
    </row>
    <row r="1292" spans="1:29" x14ac:dyDescent="0.3">
      <c r="A1292" s="34">
        <v>46274</v>
      </c>
      <c r="B1292" s="34">
        <v>46274</v>
      </c>
      <c r="C1292" s="5" t="s">
        <v>78</v>
      </c>
      <c r="D1292" s="5" t="s">
        <v>79</v>
      </c>
      <c r="E1292" s="5" t="s">
        <v>80</v>
      </c>
      <c r="F1292" s="5">
        <v>15347</v>
      </c>
      <c r="G1292" s="5" t="s">
        <v>3969</v>
      </c>
      <c r="H1292" s="5" t="s">
        <v>3970</v>
      </c>
      <c r="I1292" s="5" t="s">
        <v>212</v>
      </c>
      <c r="N1292" s="5" t="s">
        <v>3971</v>
      </c>
      <c r="O1292" s="5">
        <v>11</v>
      </c>
      <c r="P1292" s="5">
        <v>11.15</v>
      </c>
      <c r="Q1292" s="5">
        <v>10.71</v>
      </c>
      <c r="R1292" s="5">
        <v>10.88</v>
      </c>
      <c r="S1292" s="5">
        <v>10.96</v>
      </c>
      <c r="T1292" s="5">
        <v>10.96</v>
      </c>
      <c r="V1292" s="5">
        <v>10.87</v>
      </c>
      <c r="Y1292" s="5">
        <v>32036</v>
      </c>
      <c r="Z1292" s="5">
        <v>349650.06</v>
      </c>
      <c r="AA1292" s="5">
        <v>194</v>
      </c>
      <c r="AB1292" s="5" t="s">
        <v>85</v>
      </c>
      <c r="AC1292" s="5">
        <v>1</v>
      </c>
    </row>
    <row r="1293" spans="1:29" x14ac:dyDescent="0.3">
      <c r="A1293" s="34">
        <v>46274</v>
      </c>
      <c r="B1293" s="34">
        <v>46274</v>
      </c>
      <c r="C1293" s="5" t="s">
        <v>78</v>
      </c>
      <c r="D1293" s="5" t="s">
        <v>79</v>
      </c>
      <c r="E1293" s="5" t="s">
        <v>80</v>
      </c>
      <c r="F1293" s="5">
        <v>13745</v>
      </c>
      <c r="G1293" s="5" t="s">
        <v>3972</v>
      </c>
      <c r="H1293" s="5" t="s">
        <v>3973</v>
      </c>
      <c r="I1293" s="5" t="s">
        <v>212</v>
      </c>
      <c r="N1293" s="5" t="s">
        <v>3974</v>
      </c>
      <c r="O1293" s="5">
        <v>1.18</v>
      </c>
      <c r="P1293" s="5">
        <v>1.18</v>
      </c>
      <c r="Q1293" s="5">
        <v>1.1599999999999999</v>
      </c>
      <c r="R1293" s="5">
        <v>1.1599999999999999</v>
      </c>
      <c r="S1293" s="5">
        <v>1.1599999999999999</v>
      </c>
      <c r="T1293" s="5">
        <v>1.18</v>
      </c>
      <c r="V1293" s="5">
        <v>1.1599999999999999</v>
      </c>
      <c r="Y1293" s="5">
        <v>33191149</v>
      </c>
      <c r="Z1293" s="5">
        <v>38859767.729999997</v>
      </c>
      <c r="AA1293" s="5">
        <v>10357</v>
      </c>
      <c r="AB1293" s="5" t="s">
        <v>85</v>
      </c>
      <c r="AC1293" s="5">
        <v>1</v>
      </c>
    </row>
    <row r="1294" spans="1:29" x14ac:dyDescent="0.3">
      <c r="A1294" s="34">
        <v>46274</v>
      </c>
      <c r="B1294" s="34">
        <v>46274</v>
      </c>
      <c r="C1294" s="5" t="s">
        <v>78</v>
      </c>
      <c r="D1294" s="5" t="s">
        <v>79</v>
      </c>
      <c r="E1294" s="5" t="s">
        <v>80</v>
      </c>
      <c r="F1294" s="5">
        <v>1162</v>
      </c>
      <c r="G1294" s="5" t="s">
        <v>3975</v>
      </c>
      <c r="H1294" s="5" t="s">
        <v>3976</v>
      </c>
      <c r="I1294" s="5" t="s">
        <v>212</v>
      </c>
      <c r="N1294" s="5" t="s">
        <v>3977</v>
      </c>
      <c r="O1294" s="5">
        <v>7.25</v>
      </c>
      <c r="P1294" s="5">
        <v>7.32</v>
      </c>
      <c r="Q1294" s="5">
        <v>7.04</v>
      </c>
      <c r="R1294" s="5">
        <v>7.16</v>
      </c>
      <c r="S1294" s="5">
        <v>7.19</v>
      </c>
      <c r="T1294" s="5">
        <v>7.02</v>
      </c>
      <c r="V1294" s="5">
        <v>7.16</v>
      </c>
      <c r="Y1294" s="5">
        <v>254178</v>
      </c>
      <c r="Z1294" s="5">
        <v>1828142.62</v>
      </c>
      <c r="AA1294" s="5">
        <v>611</v>
      </c>
      <c r="AB1294" s="5" t="s">
        <v>85</v>
      </c>
      <c r="AC1294" s="5">
        <v>1</v>
      </c>
    </row>
    <row r="1295" spans="1:29" x14ac:dyDescent="0.3">
      <c r="A1295" s="34">
        <v>46274</v>
      </c>
      <c r="B1295" s="34">
        <v>46274</v>
      </c>
      <c r="C1295" s="5" t="s">
        <v>78</v>
      </c>
      <c r="D1295" s="5" t="s">
        <v>79</v>
      </c>
      <c r="E1295" s="5" t="s">
        <v>80</v>
      </c>
      <c r="F1295" s="5">
        <v>21195</v>
      </c>
      <c r="G1295" s="5" t="s">
        <v>3978</v>
      </c>
      <c r="H1295" s="5" t="s">
        <v>3979</v>
      </c>
      <c r="I1295" s="5" t="s">
        <v>212</v>
      </c>
      <c r="N1295" s="5" t="s">
        <v>3980</v>
      </c>
      <c r="O1295" s="5">
        <v>58.08</v>
      </c>
      <c r="P1295" s="5">
        <v>58.89</v>
      </c>
      <c r="Q1295" s="5">
        <v>57.52</v>
      </c>
      <c r="R1295" s="5">
        <v>58.29</v>
      </c>
      <c r="S1295" s="5">
        <v>58.5</v>
      </c>
      <c r="T1295" s="5">
        <v>58.08</v>
      </c>
      <c r="V1295" s="5">
        <v>58.29</v>
      </c>
      <c r="Y1295" s="5">
        <v>35618</v>
      </c>
      <c r="Z1295" s="5">
        <v>2071245.98</v>
      </c>
      <c r="AA1295" s="5">
        <v>605</v>
      </c>
      <c r="AB1295" s="5" t="s">
        <v>85</v>
      </c>
      <c r="AC1295" s="5">
        <v>1</v>
      </c>
    </row>
    <row r="1296" spans="1:29" x14ac:dyDescent="0.3">
      <c r="A1296" s="34">
        <v>46274</v>
      </c>
      <c r="B1296" s="34">
        <v>46274</v>
      </c>
      <c r="C1296" s="5" t="s">
        <v>78</v>
      </c>
      <c r="D1296" s="5" t="s">
        <v>79</v>
      </c>
      <c r="E1296" s="5" t="s">
        <v>80</v>
      </c>
      <c r="F1296" s="5">
        <v>11606</v>
      </c>
      <c r="G1296" s="5" t="s">
        <v>3981</v>
      </c>
      <c r="H1296" s="5" t="s">
        <v>3982</v>
      </c>
      <c r="I1296" s="5" t="s">
        <v>212</v>
      </c>
      <c r="N1296" s="5" t="s">
        <v>3983</v>
      </c>
      <c r="O1296" s="5">
        <v>439.45</v>
      </c>
      <c r="P1296" s="5">
        <v>445</v>
      </c>
      <c r="Q1296" s="5">
        <v>425.8</v>
      </c>
      <c r="R1296" s="5">
        <v>428.85</v>
      </c>
      <c r="S1296" s="5">
        <v>428.1</v>
      </c>
      <c r="T1296" s="5">
        <v>440.3</v>
      </c>
      <c r="V1296" s="5">
        <v>428.91</v>
      </c>
      <c r="Y1296" s="5">
        <v>79726</v>
      </c>
      <c r="Z1296" s="5">
        <v>34574199.049999997</v>
      </c>
      <c r="AA1296" s="5">
        <v>4384</v>
      </c>
      <c r="AB1296" s="5" t="s">
        <v>85</v>
      </c>
      <c r="AC1296" s="5">
        <v>1</v>
      </c>
    </row>
    <row r="1297" spans="1:29" x14ac:dyDescent="0.3">
      <c r="A1297" s="34">
        <v>46274</v>
      </c>
      <c r="B1297" s="34">
        <v>46274</v>
      </c>
      <c r="C1297" s="5" t="s">
        <v>78</v>
      </c>
      <c r="D1297" s="5" t="s">
        <v>79</v>
      </c>
      <c r="E1297" s="5" t="s">
        <v>80</v>
      </c>
      <c r="F1297" s="5">
        <v>1145</v>
      </c>
      <c r="G1297" s="5" t="s">
        <v>3984</v>
      </c>
      <c r="H1297" s="5" t="s">
        <v>3985</v>
      </c>
      <c r="I1297" s="5" t="s">
        <v>212</v>
      </c>
      <c r="N1297" s="5" t="s">
        <v>3986</v>
      </c>
      <c r="O1297" s="5">
        <v>202</v>
      </c>
      <c r="P1297" s="5">
        <v>204.14</v>
      </c>
      <c r="Q1297" s="5">
        <v>200.5</v>
      </c>
      <c r="R1297" s="5">
        <v>201.04</v>
      </c>
      <c r="S1297" s="5">
        <v>201.26</v>
      </c>
      <c r="T1297" s="5">
        <v>201.1</v>
      </c>
      <c r="V1297" s="5">
        <v>201.04</v>
      </c>
      <c r="Y1297" s="5">
        <v>368579</v>
      </c>
      <c r="Z1297" s="5">
        <v>74442463.069999993</v>
      </c>
      <c r="AA1297" s="5">
        <v>7311</v>
      </c>
      <c r="AB1297" s="5" t="s">
        <v>85</v>
      </c>
      <c r="AC1297" s="5">
        <v>1</v>
      </c>
    </row>
    <row r="1298" spans="1:29" x14ac:dyDescent="0.3">
      <c r="A1298" s="34">
        <v>46274</v>
      </c>
      <c r="B1298" s="34">
        <v>46274</v>
      </c>
      <c r="C1298" s="5" t="s">
        <v>78</v>
      </c>
      <c r="D1298" s="5" t="s">
        <v>79</v>
      </c>
      <c r="E1298" s="5" t="s">
        <v>80</v>
      </c>
      <c r="F1298" s="5">
        <v>1174</v>
      </c>
      <c r="G1298" s="5" t="s">
        <v>3987</v>
      </c>
      <c r="H1298" s="5" t="s">
        <v>3988</v>
      </c>
      <c r="I1298" s="5" t="s">
        <v>212</v>
      </c>
      <c r="N1298" s="5" t="s">
        <v>3989</v>
      </c>
      <c r="O1298" s="5">
        <v>564</v>
      </c>
      <c r="P1298" s="5">
        <v>579.75</v>
      </c>
      <c r="Q1298" s="5">
        <v>556.5</v>
      </c>
      <c r="R1298" s="5">
        <v>574.6</v>
      </c>
      <c r="S1298" s="5">
        <v>577</v>
      </c>
      <c r="T1298" s="5">
        <v>589.1</v>
      </c>
      <c r="V1298" s="5">
        <v>574.58000000000004</v>
      </c>
      <c r="Y1298" s="5">
        <v>850758</v>
      </c>
      <c r="Z1298" s="5">
        <v>481412522.55000001</v>
      </c>
      <c r="AA1298" s="5">
        <v>21029</v>
      </c>
      <c r="AB1298" s="5" t="s">
        <v>85</v>
      </c>
      <c r="AC1298" s="5">
        <v>1</v>
      </c>
    </row>
    <row r="1299" spans="1:29" x14ac:dyDescent="0.3">
      <c r="A1299" s="34">
        <v>46274</v>
      </c>
      <c r="B1299" s="34">
        <v>46274</v>
      </c>
      <c r="C1299" s="5" t="s">
        <v>78</v>
      </c>
      <c r="D1299" s="5" t="s">
        <v>79</v>
      </c>
      <c r="E1299" s="5" t="s">
        <v>80</v>
      </c>
      <c r="F1299" s="5">
        <v>1247</v>
      </c>
      <c r="G1299" s="5" t="s">
        <v>3990</v>
      </c>
      <c r="H1299" s="5" t="s">
        <v>3991</v>
      </c>
      <c r="I1299" s="5" t="s">
        <v>212</v>
      </c>
      <c r="N1299" s="5" t="s">
        <v>3992</v>
      </c>
      <c r="O1299" s="5">
        <v>160.9</v>
      </c>
      <c r="P1299" s="5">
        <v>161.75</v>
      </c>
      <c r="Q1299" s="5">
        <v>159.47</v>
      </c>
      <c r="R1299" s="5">
        <v>160.03</v>
      </c>
      <c r="S1299" s="5">
        <v>159.9</v>
      </c>
      <c r="T1299" s="5">
        <v>160.81</v>
      </c>
      <c r="V1299" s="5">
        <v>160.03</v>
      </c>
      <c r="Y1299" s="5">
        <v>1931299</v>
      </c>
      <c r="Z1299" s="5">
        <v>309116038.29000002</v>
      </c>
      <c r="AA1299" s="5">
        <v>12603</v>
      </c>
      <c r="AB1299" s="5" t="s">
        <v>85</v>
      </c>
      <c r="AC1299" s="5">
        <v>1</v>
      </c>
    </row>
    <row r="1300" spans="1:29" x14ac:dyDescent="0.3">
      <c r="A1300" s="34">
        <v>46274</v>
      </c>
      <c r="B1300" s="34">
        <v>46274</v>
      </c>
      <c r="C1300" s="5" t="s">
        <v>78</v>
      </c>
      <c r="D1300" s="5" t="s">
        <v>79</v>
      </c>
      <c r="E1300" s="5" t="s">
        <v>80</v>
      </c>
      <c r="F1300" s="5">
        <v>14677</v>
      </c>
      <c r="G1300" s="5" t="s">
        <v>3993</v>
      </c>
      <c r="H1300" s="5" t="s">
        <v>3994</v>
      </c>
      <c r="I1300" s="5" t="s">
        <v>212</v>
      </c>
      <c r="N1300" s="5" t="s">
        <v>3995</v>
      </c>
      <c r="O1300" s="5">
        <v>342.6</v>
      </c>
      <c r="P1300" s="5">
        <v>348.4</v>
      </c>
      <c r="Q1300" s="5">
        <v>340.05</v>
      </c>
      <c r="R1300" s="5">
        <v>345</v>
      </c>
      <c r="S1300" s="5">
        <v>345</v>
      </c>
      <c r="T1300" s="5">
        <v>342.2</v>
      </c>
      <c r="V1300" s="5">
        <v>345</v>
      </c>
      <c r="Y1300" s="5">
        <v>5966</v>
      </c>
      <c r="Z1300" s="5">
        <v>2057203.55</v>
      </c>
      <c r="AA1300" s="5">
        <v>277</v>
      </c>
      <c r="AB1300" s="5" t="s">
        <v>85</v>
      </c>
      <c r="AC1300" s="5">
        <v>1</v>
      </c>
    </row>
    <row r="1301" spans="1:29" x14ac:dyDescent="0.3">
      <c r="A1301" s="34">
        <v>46274</v>
      </c>
      <c r="B1301" s="34">
        <v>46274</v>
      </c>
      <c r="C1301" s="5" t="s">
        <v>78</v>
      </c>
      <c r="D1301" s="5" t="s">
        <v>79</v>
      </c>
      <c r="E1301" s="5" t="s">
        <v>80</v>
      </c>
      <c r="F1301" s="5">
        <v>1267</v>
      </c>
      <c r="G1301" s="5" t="s">
        <v>3996</v>
      </c>
      <c r="H1301" s="5" t="s">
        <v>3997</v>
      </c>
      <c r="I1301" s="5" t="s">
        <v>212</v>
      </c>
      <c r="N1301" s="5" t="s">
        <v>3998</v>
      </c>
      <c r="O1301" s="5">
        <v>718.75</v>
      </c>
      <c r="P1301" s="5">
        <v>721.75</v>
      </c>
      <c r="Q1301" s="5">
        <v>706.05</v>
      </c>
      <c r="R1301" s="5">
        <v>712.55</v>
      </c>
      <c r="S1301" s="5">
        <v>712</v>
      </c>
      <c r="T1301" s="5">
        <v>718.75</v>
      </c>
      <c r="V1301" s="5">
        <v>712.56</v>
      </c>
      <c r="Y1301" s="5">
        <v>63316</v>
      </c>
      <c r="Z1301" s="5">
        <v>45060366.200000003</v>
      </c>
      <c r="AA1301" s="5">
        <v>4577</v>
      </c>
      <c r="AB1301" s="5" t="s">
        <v>85</v>
      </c>
      <c r="AC1301" s="5">
        <v>1</v>
      </c>
    </row>
    <row r="1302" spans="1:29" x14ac:dyDescent="0.3">
      <c r="A1302" s="34">
        <v>46274</v>
      </c>
      <c r="B1302" s="34">
        <v>46274</v>
      </c>
      <c r="C1302" s="5" t="s">
        <v>78</v>
      </c>
      <c r="D1302" s="5" t="s">
        <v>79</v>
      </c>
      <c r="E1302" s="5" t="s">
        <v>80</v>
      </c>
      <c r="F1302" s="5">
        <v>8828</v>
      </c>
      <c r="G1302" s="5" t="s">
        <v>3999</v>
      </c>
      <c r="H1302" s="5" t="s">
        <v>4000</v>
      </c>
      <c r="I1302" s="5" t="s">
        <v>212</v>
      </c>
      <c r="N1302" s="5" t="s">
        <v>4001</v>
      </c>
      <c r="O1302" s="5">
        <v>168</v>
      </c>
      <c r="P1302" s="5">
        <v>168.64</v>
      </c>
      <c r="Q1302" s="5">
        <v>164.22</v>
      </c>
      <c r="R1302" s="5">
        <v>166.39</v>
      </c>
      <c r="S1302" s="5">
        <v>166.5</v>
      </c>
      <c r="T1302" s="5">
        <v>167.3</v>
      </c>
      <c r="V1302" s="5">
        <v>166.37</v>
      </c>
      <c r="Y1302" s="5">
        <v>562238</v>
      </c>
      <c r="Z1302" s="5">
        <v>93673463.620000005</v>
      </c>
      <c r="AA1302" s="5">
        <v>11580</v>
      </c>
      <c r="AB1302" s="5" t="s">
        <v>85</v>
      </c>
      <c r="AC1302" s="5">
        <v>1</v>
      </c>
    </row>
    <row r="1303" spans="1:29" x14ac:dyDescent="0.3">
      <c r="A1303" s="34">
        <v>46274</v>
      </c>
      <c r="B1303" s="34">
        <v>46274</v>
      </c>
      <c r="C1303" s="5" t="s">
        <v>78</v>
      </c>
      <c r="D1303" s="5" t="s">
        <v>79</v>
      </c>
      <c r="E1303" s="5" t="s">
        <v>80</v>
      </c>
      <c r="F1303" s="5">
        <v>10599</v>
      </c>
      <c r="G1303" s="5" t="s">
        <v>4002</v>
      </c>
      <c r="H1303" s="5" t="s">
        <v>4003</v>
      </c>
      <c r="I1303" s="5" t="s">
        <v>212</v>
      </c>
      <c r="N1303" s="5" t="s">
        <v>4004</v>
      </c>
      <c r="O1303" s="5">
        <v>258.58999999999997</v>
      </c>
      <c r="P1303" s="5">
        <v>262.18</v>
      </c>
      <c r="Q1303" s="5">
        <v>258.18</v>
      </c>
      <c r="R1303" s="5">
        <v>258.97000000000003</v>
      </c>
      <c r="S1303" s="5">
        <v>259.37</v>
      </c>
      <c r="T1303" s="5">
        <v>260.18</v>
      </c>
      <c r="V1303" s="5">
        <v>258.97000000000003</v>
      </c>
      <c r="Y1303" s="5">
        <v>1102322</v>
      </c>
      <c r="Z1303" s="5">
        <v>285910107.79000002</v>
      </c>
      <c r="AA1303" s="5">
        <v>30762</v>
      </c>
      <c r="AB1303" s="5" t="s">
        <v>85</v>
      </c>
      <c r="AC1303" s="5">
        <v>1</v>
      </c>
    </row>
    <row r="1304" spans="1:29" x14ac:dyDescent="0.3">
      <c r="A1304" s="34">
        <v>46274</v>
      </c>
      <c r="B1304" s="34">
        <v>46274</v>
      </c>
      <c r="C1304" s="5" t="s">
        <v>78</v>
      </c>
      <c r="D1304" s="5" t="s">
        <v>79</v>
      </c>
      <c r="E1304" s="5" t="s">
        <v>80</v>
      </c>
      <c r="F1304" s="5">
        <v>13750</v>
      </c>
      <c r="G1304" s="5" t="s">
        <v>4005</v>
      </c>
      <c r="H1304" s="5" t="s">
        <v>4006</v>
      </c>
      <c r="I1304" s="5" t="s">
        <v>212</v>
      </c>
      <c r="N1304" s="5" t="s">
        <v>4007</v>
      </c>
      <c r="O1304" s="5">
        <v>4676.6000000000004</v>
      </c>
      <c r="P1304" s="5">
        <v>4769.8999999999996</v>
      </c>
      <c r="Q1304" s="5">
        <v>4652.8</v>
      </c>
      <c r="R1304" s="5">
        <v>4754.8</v>
      </c>
      <c r="S1304" s="5">
        <v>4765</v>
      </c>
      <c r="T1304" s="5">
        <v>4676.6000000000004</v>
      </c>
      <c r="V1304" s="5">
        <v>4754.76</v>
      </c>
      <c r="Y1304" s="5">
        <v>119098</v>
      </c>
      <c r="Z1304" s="5">
        <v>562103286.70000005</v>
      </c>
      <c r="AA1304" s="5">
        <v>14592</v>
      </c>
      <c r="AB1304" s="5" t="s">
        <v>85</v>
      </c>
      <c r="AC1304" s="5">
        <v>1</v>
      </c>
    </row>
    <row r="1305" spans="1:29" x14ac:dyDescent="0.3">
      <c r="A1305" s="34">
        <v>46274</v>
      </c>
      <c r="B1305" s="34">
        <v>46274</v>
      </c>
      <c r="C1305" s="5" t="s">
        <v>78</v>
      </c>
      <c r="D1305" s="5" t="s">
        <v>79</v>
      </c>
      <c r="E1305" s="5" t="s">
        <v>80</v>
      </c>
      <c r="F1305" s="5">
        <v>761197</v>
      </c>
      <c r="G1305" s="5" t="s">
        <v>4008</v>
      </c>
      <c r="H1305" s="5" t="s">
        <v>4009</v>
      </c>
      <c r="I1305" s="5" t="s">
        <v>212</v>
      </c>
      <c r="N1305" s="5" t="s">
        <v>4010</v>
      </c>
      <c r="O1305" s="5">
        <v>175.19</v>
      </c>
      <c r="P1305" s="5">
        <v>180.9</v>
      </c>
      <c r="Q1305" s="5">
        <v>172.5</v>
      </c>
      <c r="R1305" s="5">
        <v>176.02</v>
      </c>
      <c r="S1305" s="5">
        <v>176</v>
      </c>
      <c r="T1305" s="5">
        <v>175.19</v>
      </c>
      <c r="V1305" s="5">
        <v>176.08</v>
      </c>
      <c r="Y1305" s="5">
        <v>520724</v>
      </c>
      <c r="Z1305" s="5">
        <v>91657232.810000002</v>
      </c>
      <c r="AA1305" s="5">
        <v>7483</v>
      </c>
      <c r="AB1305" s="5" t="s">
        <v>85</v>
      </c>
      <c r="AC1305" s="5">
        <v>1</v>
      </c>
    </row>
    <row r="1306" spans="1:29" x14ac:dyDescent="0.3">
      <c r="A1306" s="34">
        <v>46274</v>
      </c>
      <c r="B1306" s="34">
        <v>46274</v>
      </c>
      <c r="C1306" s="5" t="s">
        <v>78</v>
      </c>
      <c r="D1306" s="5" t="s">
        <v>79</v>
      </c>
      <c r="E1306" s="5" t="s">
        <v>80</v>
      </c>
      <c r="F1306" s="5">
        <v>1156</v>
      </c>
      <c r="G1306" s="5" t="s">
        <v>4011</v>
      </c>
      <c r="H1306" s="5" t="s">
        <v>4012</v>
      </c>
      <c r="I1306" s="5" t="s">
        <v>212</v>
      </c>
      <c r="N1306" s="5" t="s">
        <v>4013</v>
      </c>
      <c r="O1306" s="5">
        <v>5.35</v>
      </c>
      <c r="P1306" s="5">
        <v>5.6</v>
      </c>
      <c r="Q1306" s="5">
        <v>5.09</v>
      </c>
      <c r="R1306" s="5">
        <v>5.37</v>
      </c>
      <c r="S1306" s="5">
        <v>5.37</v>
      </c>
      <c r="T1306" s="5">
        <v>5.35</v>
      </c>
      <c r="V1306" s="5">
        <v>5.37</v>
      </c>
      <c r="Y1306" s="5">
        <v>21316</v>
      </c>
      <c r="Z1306" s="5">
        <v>111990.48</v>
      </c>
      <c r="AA1306" s="5">
        <v>54</v>
      </c>
      <c r="AB1306" s="5" t="s">
        <v>85</v>
      </c>
      <c r="AC1306" s="5">
        <v>1</v>
      </c>
    </row>
    <row r="1307" spans="1:29" x14ac:dyDescent="0.3">
      <c r="A1307" s="34">
        <v>46274</v>
      </c>
      <c r="B1307" s="34">
        <v>46274</v>
      </c>
      <c r="C1307" s="5" t="s">
        <v>78</v>
      </c>
      <c r="D1307" s="5" t="s">
        <v>79</v>
      </c>
      <c r="E1307" s="5" t="s">
        <v>80</v>
      </c>
      <c r="F1307" s="5">
        <v>5204</v>
      </c>
      <c r="G1307" s="5" t="s">
        <v>4014</v>
      </c>
      <c r="H1307" s="5" t="s">
        <v>4015</v>
      </c>
      <c r="I1307" s="5" t="s">
        <v>212</v>
      </c>
      <c r="N1307" s="5" t="s">
        <v>4016</v>
      </c>
      <c r="O1307" s="5">
        <v>571.70000000000005</v>
      </c>
      <c r="P1307" s="5">
        <v>585</v>
      </c>
      <c r="Q1307" s="5">
        <v>569.95000000000005</v>
      </c>
      <c r="R1307" s="5">
        <v>574.54999999999995</v>
      </c>
      <c r="S1307" s="5">
        <v>573.85</v>
      </c>
      <c r="T1307" s="5">
        <v>568.85</v>
      </c>
      <c r="V1307" s="5">
        <v>574.53</v>
      </c>
      <c r="Y1307" s="5">
        <v>1869082</v>
      </c>
      <c r="Z1307" s="5">
        <v>1081968140.4000001</v>
      </c>
      <c r="AA1307" s="5">
        <v>44546</v>
      </c>
      <c r="AB1307" s="5" t="s">
        <v>85</v>
      </c>
      <c r="AC1307" s="5">
        <v>1</v>
      </c>
    </row>
    <row r="1308" spans="1:29" x14ac:dyDescent="0.3">
      <c r="A1308" s="34">
        <v>46274</v>
      </c>
      <c r="B1308" s="34">
        <v>46274</v>
      </c>
      <c r="C1308" s="5" t="s">
        <v>78</v>
      </c>
      <c r="D1308" s="5" t="s">
        <v>79</v>
      </c>
      <c r="E1308" s="5" t="s">
        <v>80</v>
      </c>
      <c r="F1308" s="5">
        <v>762690</v>
      </c>
      <c r="G1308" s="5" t="s">
        <v>4017</v>
      </c>
      <c r="H1308" s="5" t="s">
        <v>4018</v>
      </c>
      <c r="I1308" s="5" t="s">
        <v>212</v>
      </c>
      <c r="N1308" s="5" t="s">
        <v>4019</v>
      </c>
      <c r="O1308" s="5">
        <v>110.7</v>
      </c>
      <c r="P1308" s="5">
        <v>112</v>
      </c>
      <c r="Q1308" s="5">
        <v>108.1</v>
      </c>
      <c r="R1308" s="5">
        <v>109.03</v>
      </c>
      <c r="S1308" s="5">
        <v>108.25</v>
      </c>
      <c r="T1308" s="5">
        <v>108.95</v>
      </c>
      <c r="V1308" s="5">
        <v>109.03</v>
      </c>
      <c r="Y1308" s="5">
        <v>149510</v>
      </c>
      <c r="Z1308" s="5">
        <v>16488629.16</v>
      </c>
      <c r="AA1308" s="5">
        <v>4429</v>
      </c>
      <c r="AB1308" s="5" t="s">
        <v>85</v>
      </c>
      <c r="AC1308" s="5">
        <v>1</v>
      </c>
    </row>
    <row r="1309" spans="1:29" x14ac:dyDescent="0.3">
      <c r="A1309" s="34">
        <v>46274</v>
      </c>
      <c r="B1309" s="34">
        <v>46274</v>
      </c>
      <c r="C1309" s="5" t="s">
        <v>78</v>
      </c>
      <c r="D1309" s="5" t="s">
        <v>79</v>
      </c>
      <c r="E1309" s="5" t="s">
        <v>80</v>
      </c>
      <c r="F1309" s="5">
        <v>19731</v>
      </c>
      <c r="G1309" s="5" t="s">
        <v>4020</v>
      </c>
      <c r="H1309" s="5" t="s">
        <v>4021</v>
      </c>
      <c r="I1309" s="5" t="s">
        <v>212</v>
      </c>
      <c r="N1309" s="5" t="s">
        <v>4022</v>
      </c>
      <c r="O1309" s="5">
        <v>160.58000000000001</v>
      </c>
      <c r="P1309" s="5">
        <v>164.2</v>
      </c>
      <c r="Q1309" s="5">
        <v>158.01</v>
      </c>
      <c r="R1309" s="5">
        <v>158.59</v>
      </c>
      <c r="S1309" s="5">
        <v>158.5</v>
      </c>
      <c r="T1309" s="5">
        <v>160.58000000000001</v>
      </c>
      <c r="V1309" s="5">
        <v>158.58000000000001</v>
      </c>
      <c r="Y1309" s="5">
        <v>1549197</v>
      </c>
      <c r="Z1309" s="5">
        <v>248512402.11000001</v>
      </c>
      <c r="AA1309" s="5">
        <v>19008</v>
      </c>
      <c r="AB1309" s="5" t="s">
        <v>85</v>
      </c>
      <c r="AC1309" s="5">
        <v>1</v>
      </c>
    </row>
    <row r="1310" spans="1:29" x14ac:dyDescent="0.3">
      <c r="A1310" s="34">
        <v>46274</v>
      </c>
      <c r="B1310" s="34">
        <v>46274</v>
      </c>
      <c r="C1310" s="5" t="s">
        <v>78</v>
      </c>
      <c r="D1310" s="5" t="s">
        <v>79</v>
      </c>
      <c r="E1310" s="5" t="s">
        <v>80</v>
      </c>
      <c r="F1310" s="5">
        <v>4548</v>
      </c>
      <c r="G1310" s="5" t="s">
        <v>4023</v>
      </c>
      <c r="H1310" s="5" t="s">
        <v>4024</v>
      </c>
      <c r="I1310" s="5" t="s">
        <v>212</v>
      </c>
      <c r="N1310" s="5" t="s">
        <v>4025</v>
      </c>
      <c r="O1310" s="5">
        <v>41.95</v>
      </c>
      <c r="P1310" s="5">
        <v>41.95</v>
      </c>
      <c r="Q1310" s="5">
        <v>40.130000000000003</v>
      </c>
      <c r="R1310" s="5">
        <v>40.9</v>
      </c>
      <c r="S1310" s="5">
        <v>40.9</v>
      </c>
      <c r="T1310" s="5">
        <v>41.95</v>
      </c>
      <c r="V1310" s="5">
        <v>40.9</v>
      </c>
      <c r="Y1310" s="5">
        <v>1281</v>
      </c>
      <c r="Z1310" s="5">
        <v>52291.37</v>
      </c>
      <c r="AA1310" s="5">
        <v>53</v>
      </c>
      <c r="AB1310" s="5" t="s">
        <v>85</v>
      </c>
      <c r="AC1310" s="5">
        <v>1</v>
      </c>
    </row>
    <row r="1311" spans="1:29" x14ac:dyDescent="0.3">
      <c r="A1311" s="34">
        <v>46274</v>
      </c>
      <c r="B1311" s="34">
        <v>46274</v>
      </c>
      <c r="C1311" s="5" t="s">
        <v>78</v>
      </c>
      <c r="D1311" s="5" t="s">
        <v>79</v>
      </c>
      <c r="E1311" s="5" t="s">
        <v>80</v>
      </c>
      <c r="F1311" s="5">
        <v>29731</v>
      </c>
      <c r="G1311" s="5" t="s">
        <v>4026</v>
      </c>
      <c r="H1311" s="5" t="s">
        <v>4027</v>
      </c>
      <c r="I1311" s="5" t="s">
        <v>212</v>
      </c>
      <c r="N1311" s="5" t="s">
        <v>4028</v>
      </c>
      <c r="O1311" s="5">
        <v>455.95</v>
      </c>
      <c r="P1311" s="5">
        <v>459.35</v>
      </c>
      <c r="Q1311" s="5">
        <v>427</v>
      </c>
      <c r="R1311" s="5">
        <v>430.75</v>
      </c>
      <c r="S1311" s="5">
        <v>430.8</v>
      </c>
      <c r="T1311" s="5">
        <v>453.25</v>
      </c>
      <c r="V1311" s="5">
        <v>430.78</v>
      </c>
      <c r="Y1311" s="5">
        <v>618616</v>
      </c>
      <c r="Z1311" s="5">
        <v>273758489.94999999</v>
      </c>
      <c r="AA1311" s="5">
        <v>16537</v>
      </c>
      <c r="AB1311" s="5" t="s">
        <v>85</v>
      </c>
      <c r="AC1311" s="5">
        <v>1</v>
      </c>
    </row>
    <row r="1312" spans="1:29" x14ac:dyDescent="0.3">
      <c r="A1312" s="34">
        <v>46274</v>
      </c>
      <c r="B1312" s="34">
        <v>46274</v>
      </c>
      <c r="C1312" s="5" t="s">
        <v>78</v>
      </c>
      <c r="D1312" s="5" t="s">
        <v>79</v>
      </c>
      <c r="E1312" s="5" t="s">
        <v>80</v>
      </c>
      <c r="F1312" s="5">
        <v>4391</v>
      </c>
      <c r="G1312" s="5" t="s">
        <v>4029</v>
      </c>
      <c r="H1312" s="5" t="s">
        <v>4030</v>
      </c>
      <c r="I1312" s="5" t="s">
        <v>212</v>
      </c>
      <c r="N1312" s="5" t="s">
        <v>4031</v>
      </c>
      <c r="O1312" s="5">
        <v>1057.5999999999999</v>
      </c>
      <c r="P1312" s="5">
        <v>1090.0999999999999</v>
      </c>
      <c r="Q1312" s="5">
        <v>1049.5999999999999</v>
      </c>
      <c r="R1312" s="5">
        <v>1081.0999999999999</v>
      </c>
      <c r="S1312" s="5">
        <v>1075.0999999999999</v>
      </c>
      <c r="T1312" s="5">
        <v>1057.5999999999999</v>
      </c>
      <c r="V1312" s="5">
        <v>1081.02</v>
      </c>
      <c r="Y1312" s="5">
        <v>87698</v>
      </c>
      <c r="Z1312" s="5">
        <v>93965914.5</v>
      </c>
      <c r="AA1312" s="5">
        <v>8420</v>
      </c>
      <c r="AB1312" s="5" t="s">
        <v>85</v>
      </c>
      <c r="AC1312" s="5">
        <v>1</v>
      </c>
    </row>
    <row r="1313" spans="1:29" x14ac:dyDescent="0.3">
      <c r="A1313" s="34">
        <v>46274</v>
      </c>
      <c r="B1313" s="34">
        <v>46274</v>
      </c>
      <c r="C1313" s="5" t="s">
        <v>78</v>
      </c>
      <c r="D1313" s="5" t="s">
        <v>79</v>
      </c>
      <c r="E1313" s="5" t="s">
        <v>80</v>
      </c>
      <c r="F1313" s="5">
        <v>6286</v>
      </c>
      <c r="G1313" s="5" t="s">
        <v>4032</v>
      </c>
      <c r="H1313" s="5" t="s">
        <v>4033</v>
      </c>
      <c r="I1313" s="5" t="s">
        <v>212</v>
      </c>
      <c r="N1313" s="5" t="s">
        <v>4034</v>
      </c>
      <c r="O1313" s="5">
        <v>181.99</v>
      </c>
      <c r="P1313" s="5">
        <v>183.1</v>
      </c>
      <c r="Q1313" s="5">
        <v>179.2</v>
      </c>
      <c r="R1313" s="5">
        <v>179.86</v>
      </c>
      <c r="S1313" s="5">
        <v>179.2</v>
      </c>
      <c r="T1313" s="5">
        <v>181.96</v>
      </c>
      <c r="V1313" s="5">
        <v>179.86</v>
      </c>
      <c r="Y1313" s="5">
        <v>155791</v>
      </c>
      <c r="Z1313" s="5">
        <v>28136095.27</v>
      </c>
      <c r="AA1313" s="5">
        <v>2008</v>
      </c>
      <c r="AB1313" s="5" t="s">
        <v>85</v>
      </c>
      <c r="AC1313" s="5">
        <v>1</v>
      </c>
    </row>
    <row r="1314" spans="1:29" x14ac:dyDescent="0.3">
      <c r="A1314" s="34">
        <v>46274</v>
      </c>
      <c r="B1314" s="34">
        <v>46274</v>
      </c>
      <c r="C1314" s="5" t="s">
        <v>78</v>
      </c>
      <c r="D1314" s="5" t="s">
        <v>79</v>
      </c>
      <c r="E1314" s="5" t="s">
        <v>80</v>
      </c>
      <c r="F1314" s="5">
        <v>759261</v>
      </c>
      <c r="G1314" s="5" t="s">
        <v>4035</v>
      </c>
      <c r="H1314" s="5" t="s">
        <v>4036</v>
      </c>
      <c r="I1314" s="5" t="s">
        <v>313</v>
      </c>
      <c r="N1314" s="5" t="s">
        <v>4037</v>
      </c>
      <c r="O1314" s="5">
        <v>38.65</v>
      </c>
      <c r="P1314" s="5">
        <v>38.65</v>
      </c>
      <c r="Q1314" s="5">
        <v>38.65</v>
      </c>
      <c r="R1314" s="5">
        <v>38.65</v>
      </c>
      <c r="S1314" s="5">
        <v>38.65</v>
      </c>
      <c r="T1314" s="5">
        <v>36.85</v>
      </c>
      <c r="V1314" s="5">
        <v>38.65</v>
      </c>
      <c r="Y1314" s="5">
        <v>8000</v>
      </c>
      <c r="Z1314" s="5">
        <v>309200</v>
      </c>
      <c r="AA1314" s="5">
        <v>5</v>
      </c>
      <c r="AB1314" s="5" t="s">
        <v>85</v>
      </c>
      <c r="AC1314" s="5">
        <v>1600</v>
      </c>
    </row>
    <row r="1315" spans="1:29" x14ac:dyDescent="0.3">
      <c r="A1315" s="34">
        <v>46274</v>
      </c>
      <c r="B1315" s="34">
        <v>46274</v>
      </c>
      <c r="C1315" s="5" t="s">
        <v>78</v>
      </c>
      <c r="D1315" s="5" t="s">
        <v>79</v>
      </c>
      <c r="E1315" s="5" t="s">
        <v>80</v>
      </c>
      <c r="F1315" s="5">
        <v>13229</v>
      </c>
      <c r="G1315" s="5" t="s">
        <v>4038</v>
      </c>
      <c r="H1315" s="5" t="s">
        <v>4039</v>
      </c>
      <c r="I1315" s="5" t="s">
        <v>234</v>
      </c>
      <c r="N1315" s="5" t="s">
        <v>4040</v>
      </c>
      <c r="O1315" s="5">
        <v>2.17</v>
      </c>
      <c r="P1315" s="5">
        <v>2.17</v>
      </c>
      <c r="Q1315" s="5">
        <v>2.17</v>
      </c>
      <c r="R1315" s="5">
        <v>2.17</v>
      </c>
      <c r="S1315" s="5">
        <v>2.17</v>
      </c>
      <c r="T1315" s="5">
        <v>2.13</v>
      </c>
      <c r="V1315" s="5">
        <v>2.1800000000000002</v>
      </c>
      <c r="Y1315" s="5">
        <v>179151</v>
      </c>
      <c r="Z1315" s="5">
        <v>388757.67</v>
      </c>
      <c r="AA1315" s="5">
        <v>188</v>
      </c>
      <c r="AB1315" s="5" t="s">
        <v>85</v>
      </c>
      <c r="AC1315" s="5">
        <v>1</v>
      </c>
    </row>
    <row r="1316" spans="1:29" x14ac:dyDescent="0.3">
      <c r="A1316" s="34">
        <v>46274</v>
      </c>
      <c r="B1316" s="34">
        <v>46274</v>
      </c>
      <c r="C1316" s="5" t="s">
        <v>78</v>
      </c>
      <c r="D1316" s="5" t="s">
        <v>79</v>
      </c>
      <c r="E1316" s="5" t="s">
        <v>80</v>
      </c>
      <c r="F1316" s="5">
        <v>10866</v>
      </c>
      <c r="G1316" s="5" t="s">
        <v>4041</v>
      </c>
      <c r="H1316" s="5" t="s">
        <v>4042</v>
      </c>
      <c r="I1316" s="5" t="s">
        <v>234</v>
      </c>
      <c r="N1316" s="5" t="s">
        <v>4043</v>
      </c>
      <c r="O1316" s="5">
        <v>7.87</v>
      </c>
      <c r="P1316" s="5">
        <v>8.1999999999999993</v>
      </c>
      <c r="Q1316" s="5">
        <v>7.8</v>
      </c>
      <c r="R1316" s="5">
        <v>7.97</v>
      </c>
      <c r="S1316" s="5">
        <v>8</v>
      </c>
      <c r="T1316" s="5">
        <v>8.0299999999999994</v>
      </c>
      <c r="V1316" s="5">
        <v>7.97</v>
      </c>
      <c r="Y1316" s="5">
        <v>67259</v>
      </c>
      <c r="Z1316" s="5">
        <v>534107.68999999994</v>
      </c>
      <c r="AA1316" s="5">
        <v>251</v>
      </c>
      <c r="AB1316" s="5" t="s">
        <v>85</v>
      </c>
      <c r="AC1316" s="5">
        <v>1</v>
      </c>
    </row>
    <row r="1317" spans="1:29" x14ac:dyDescent="0.3">
      <c r="A1317" s="34">
        <v>46274</v>
      </c>
      <c r="B1317" s="34">
        <v>46274</v>
      </c>
      <c r="C1317" s="5" t="s">
        <v>78</v>
      </c>
      <c r="D1317" s="5" t="s">
        <v>79</v>
      </c>
      <c r="E1317" s="5" t="s">
        <v>80</v>
      </c>
      <c r="F1317" s="5">
        <v>764050</v>
      </c>
      <c r="G1317" s="5" t="s">
        <v>4044</v>
      </c>
      <c r="H1317" s="5" t="s">
        <v>4045</v>
      </c>
      <c r="I1317" s="5" t="s">
        <v>212</v>
      </c>
      <c r="N1317" s="5" t="s">
        <v>4046</v>
      </c>
      <c r="O1317" s="5">
        <v>186.9</v>
      </c>
      <c r="P1317" s="5">
        <v>187.77</v>
      </c>
      <c r="Q1317" s="5">
        <v>180.11</v>
      </c>
      <c r="R1317" s="5">
        <v>181.7</v>
      </c>
      <c r="S1317" s="5">
        <v>183</v>
      </c>
      <c r="T1317" s="5">
        <v>186.02</v>
      </c>
      <c r="V1317" s="5">
        <v>181.7</v>
      </c>
      <c r="Y1317" s="5">
        <v>47501</v>
      </c>
      <c r="Z1317" s="5">
        <v>8665092.1999999993</v>
      </c>
      <c r="AA1317" s="5">
        <v>860</v>
      </c>
      <c r="AB1317" s="5" t="s">
        <v>85</v>
      </c>
      <c r="AC1317" s="5">
        <v>1</v>
      </c>
    </row>
    <row r="1318" spans="1:29" x14ac:dyDescent="0.3">
      <c r="A1318" s="34">
        <v>46274</v>
      </c>
      <c r="B1318" s="34">
        <v>46274</v>
      </c>
      <c r="C1318" s="5" t="s">
        <v>78</v>
      </c>
      <c r="D1318" s="5" t="s">
        <v>79</v>
      </c>
      <c r="E1318" s="5" t="s">
        <v>80</v>
      </c>
      <c r="F1318" s="5">
        <v>762712</v>
      </c>
      <c r="G1318" s="5" t="s">
        <v>4047</v>
      </c>
      <c r="H1318" s="5" t="s">
        <v>4048</v>
      </c>
      <c r="I1318" s="5" t="s">
        <v>212</v>
      </c>
      <c r="N1318" s="5" t="s">
        <v>4049</v>
      </c>
      <c r="O1318" s="5">
        <v>74.25</v>
      </c>
      <c r="P1318" s="5">
        <v>74.25</v>
      </c>
      <c r="Q1318" s="5">
        <v>72.09</v>
      </c>
      <c r="R1318" s="5">
        <v>72.81</v>
      </c>
      <c r="S1318" s="5">
        <v>72.81</v>
      </c>
      <c r="T1318" s="5">
        <v>76.66</v>
      </c>
      <c r="V1318" s="5">
        <v>76</v>
      </c>
      <c r="Y1318" s="5">
        <v>253</v>
      </c>
      <c r="Z1318" s="5">
        <v>18499.990000000002</v>
      </c>
      <c r="AA1318" s="5">
        <v>19</v>
      </c>
      <c r="AB1318" s="5" t="s">
        <v>85</v>
      </c>
      <c r="AC1318" s="5">
        <v>1</v>
      </c>
    </row>
    <row r="1319" spans="1:29" x14ac:dyDescent="0.3">
      <c r="A1319" s="34">
        <v>46274</v>
      </c>
      <c r="B1319" s="34">
        <v>46274</v>
      </c>
      <c r="C1319" s="5" t="s">
        <v>78</v>
      </c>
      <c r="D1319" s="5" t="s">
        <v>79</v>
      </c>
      <c r="E1319" s="5" t="s">
        <v>80</v>
      </c>
      <c r="F1319" s="5">
        <v>1672</v>
      </c>
      <c r="G1319" s="5" t="s">
        <v>4050</v>
      </c>
      <c r="H1319" s="5" t="s">
        <v>4051</v>
      </c>
      <c r="I1319" s="5" t="s">
        <v>212</v>
      </c>
      <c r="N1319" s="5" t="s">
        <v>4052</v>
      </c>
      <c r="O1319" s="5">
        <v>483</v>
      </c>
      <c r="P1319" s="5">
        <v>483.15</v>
      </c>
      <c r="Q1319" s="5">
        <v>476.25</v>
      </c>
      <c r="R1319" s="5">
        <v>478.55</v>
      </c>
      <c r="S1319" s="5">
        <v>479.3</v>
      </c>
      <c r="T1319" s="5">
        <v>484.55</v>
      </c>
      <c r="V1319" s="5">
        <v>478.51</v>
      </c>
      <c r="Y1319" s="5">
        <v>26825</v>
      </c>
      <c r="Z1319" s="5">
        <v>12854462.75</v>
      </c>
      <c r="AA1319" s="5">
        <v>2132</v>
      </c>
      <c r="AB1319" s="5" t="s">
        <v>85</v>
      </c>
      <c r="AC1319" s="5">
        <v>1</v>
      </c>
    </row>
    <row r="1320" spans="1:29" x14ac:dyDescent="0.3">
      <c r="A1320" s="34">
        <v>46274</v>
      </c>
      <c r="B1320" s="34">
        <v>46274</v>
      </c>
      <c r="C1320" s="5" t="s">
        <v>78</v>
      </c>
      <c r="D1320" s="5" t="s">
        <v>79</v>
      </c>
      <c r="E1320" s="5" t="s">
        <v>80</v>
      </c>
      <c r="F1320" s="5">
        <v>760715</v>
      </c>
      <c r="G1320" s="5" t="s">
        <v>4053</v>
      </c>
      <c r="H1320" s="5" t="s">
        <v>4054</v>
      </c>
      <c r="I1320" s="5" t="s">
        <v>212</v>
      </c>
      <c r="N1320" s="5" t="s">
        <v>4055</v>
      </c>
      <c r="O1320" s="5">
        <v>293.85000000000002</v>
      </c>
      <c r="P1320" s="5">
        <v>294</v>
      </c>
      <c r="Q1320" s="5">
        <v>276.05</v>
      </c>
      <c r="R1320" s="5">
        <v>282.45</v>
      </c>
      <c r="S1320" s="5">
        <v>276.55</v>
      </c>
      <c r="T1320" s="5">
        <v>293.55</v>
      </c>
      <c r="V1320" s="5">
        <v>282.62</v>
      </c>
      <c r="Y1320" s="5">
        <v>20732</v>
      </c>
      <c r="Z1320" s="5">
        <v>6036562.9500000002</v>
      </c>
      <c r="AA1320" s="5">
        <v>221</v>
      </c>
      <c r="AB1320" s="5" t="s">
        <v>85</v>
      </c>
      <c r="AC1320" s="5">
        <v>1</v>
      </c>
    </row>
    <row r="1321" spans="1:29" x14ac:dyDescent="0.3">
      <c r="A1321" s="34">
        <v>46274</v>
      </c>
      <c r="B1321" s="34">
        <v>46274</v>
      </c>
      <c r="C1321" s="5" t="s">
        <v>78</v>
      </c>
      <c r="D1321" s="5" t="s">
        <v>79</v>
      </c>
      <c r="E1321" s="5" t="s">
        <v>80</v>
      </c>
      <c r="F1321" s="5">
        <v>762708</v>
      </c>
      <c r="G1321" s="5" t="s">
        <v>4056</v>
      </c>
      <c r="H1321" s="5" t="s">
        <v>4057</v>
      </c>
      <c r="I1321" s="5" t="s">
        <v>234</v>
      </c>
      <c r="N1321" s="5" t="s">
        <v>4058</v>
      </c>
      <c r="O1321" s="5">
        <v>141.84</v>
      </c>
      <c r="P1321" s="5">
        <v>144.05000000000001</v>
      </c>
      <c r="Q1321" s="5">
        <v>140.4</v>
      </c>
      <c r="R1321" s="5">
        <v>141.07</v>
      </c>
      <c r="S1321" s="5">
        <v>141</v>
      </c>
      <c r="T1321" s="5">
        <v>141.13999999999999</v>
      </c>
      <c r="V1321" s="5">
        <v>141.19999999999999</v>
      </c>
      <c r="Y1321" s="5">
        <v>48565</v>
      </c>
      <c r="Z1321" s="5">
        <v>6887167.3200000003</v>
      </c>
      <c r="AA1321" s="5">
        <v>166</v>
      </c>
      <c r="AB1321" s="5" t="s">
        <v>85</v>
      </c>
      <c r="AC1321" s="5">
        <v>1</v>
      </c>
    </row>
    <row r="1322" spans="1:29" x14ac:dyDescent="0.3">
      <c r="A1322" s="34">
        <v>46274</v>
      </c>
      <c r="B1322" s="34">
        <v>46274</v>
      </c>
      <c r="C1322" s="5" t="s">
        <v>78</v>
      </c>
      <c r="D1322" s="5" t="s">
        <v>79</v>
      </c>
      <c r="E1322" s="5" t="s">
        <v>80</v>
      </c>
      <c r="F1322" s="5">
        <v>21551</v>
      </c>
      <c r="G1322" s="5" t="s">
        <v>4059</v>
      </c>
      <c r="H1322" s="5" t="s">
        <v>4060</v>
      </c>
      <c r="I1322" s="5" t="s">
        <v>212</v>
      </c>
      <c r="N1322" s="5" t="s">
        <v>4061</v>
      </c>
      <c r="O1322" s="5">
        <v>1454</v>
      </c>
      <c r="P1322" s="5">
        <v>1497.3</v>
      </c>
      <c r="Q1322" s="5">
        <v>1450</v>
      </c>
      <c r="R1322" s="5">
        <v>1470.9</v>
      </c>
      <c r="S1322" s="5">
        <v>1471.4</v>
      </c>
      <c r="T1322" s="5">
        <v>1448.1</v>
      </c>
      <c r="V1322" s="5">
        <v>1470.9</v>
      </c>
      <c r="Y1322" s="5">
        <v>733</v>
      </c>
      <c r="Z1322" s="5">
        <v>1067426.3999999999</v>
      </c>
      <c r="AA1322" s="5">
        <v>41</v>
      </c>
      <c r="AB1322" s="5" t="s">
        <v>85</v>
      </c>
      <c r="AC1322" s="5">
        <v>1</v>
      </c>
    </row>
    <row r="1323" spans="1:29" x14ac:dyDescent="0.3">
      <c r="A1323" s="34">
        <v>46274</v>
      </c>
      <c r="B1323" s="34">
        <v>46274</v>
      </c>
      <c r="C1323" s="5" t="s">
        <v>78</v>
      </c>
      <c r="D1323" s="5" t="s">
        <v>79</v>
      </c>
      <c r="E1323" s="5" t="s">
        <v>80</v>
      </c>
      <c r="F1323" s="5">
        <v>765075</v>
      </c>
      <c r="G1323" s="5" t="s">
        <v>4062</v>
      </c>
      <c r="H1323" s="5" t="s">
        <v>4063</v>
      </c>
      <c r="I1323" s="5" t="s">
        <v>212</v>
      </c>
      <c r="N1323" s="5" t="s">
        <v>4064</v>
      </c>
      <c r="O1323" s="5">
        <v>8.59</v>
      </c>
      <c r="P1323" s="5">
        <v>8.85</v>
      </c>
      <c r="Q1323" s="5">
        <v>8.06</v>
      </c>
      <c r="R1323" s="5">
        <v>8.49</v>
      </c>
      <c r="S1323" s="5">
        <v>8.1199999999999992</v>
      </c>
      <c r="T1323" s="5">
        <v>8.59</v>
      </c>
      <c r="V1323" s="5">
        <v>8.4600000000000009</v>
      </c>
      <c r="Y1323" s="5">
        <v>390289</v>
      </c>
      <c r="Z1323" s="5">
        <v>3311276.73</v>
      </c>
      <c r="AA1323" s="5">
        <v>182</v>
      </c>
      <c r="AB1323" s="5" t="s">
        <v>85</v>
      </c>
      <c r="AC1323" s="5">
        <v>1</v>
      </c>
    </row>
    <row r="1324" spans="1:29" x14ac:dyDescent="0.3">
      <c r="A1324" s="34">
        <v>46274</v>
      </c>
      <c r="B1324" s="34">
        <v>46274</v>
      </c>
      <c r="C1324" s="5" t="s">
        <v>78</v>
      </c>
      <c r="D1324" s="5" t="s">
        <v>79</v>
      </c>
      <c r="E1324" s="5" t="s">
        <v>80</v>
      </c>
      <c r="F1324" s="5">
        <v>13592</v>
      </c>
      <c r="G1324" s="5" t="s">
        <v>4065</v>
      </c>
      <c r="H1324" s="5" t="s">
        <v>4066</v>
      </c>
      <c r="I1324" s="5" t="s">
        <v>212</v>
      </c>
      <c r="N1324" s="5" t="s">
        <v>4067</v>
      </c>
      <c r="O1324" s="5">
        <v>51.05</v>
      </c>
      <c r="P1324" s="5">
        <v>51.35</v>
      </c>
      <c r="Q1324" s="5">
        <v>49.65</v>
      </c>
      <c r="R1324" s="5">
        <v>50.49</v>
      </c>
      <c r="S1324" s="5">
        <v>50.12</v>
      </c>
      <c r="T1324" s="5">
        <v>50.16</v>
      </c>
      <c r="V1324" s="5">
        <v>50.47</v>
      </c>
      <c r="Y1324" s="5">
        <v>2341</v>
      </c>
      <c r="Z1324" s="5">
        <v>118472.46</v>
      </c>
      <c r="AA1324" s="5">
        <v>54</v>
      </c>
      <c r="AB1324" s="5" t="s">
        <v>85</v>
      </c>
      <c r="AC1324" s="5">
        <v>1</v>
      </c>
    </row>
    <row r="1325" spans="1:29" x14ac:dyDescent="0.3">
      <c r="A1325" s="34">
        <v>46274</v>
      </c>
      <c r="B1325" s="34">
        <v>46274</v>
      </c>
      <c r="C1325" s="5" t="s">
        <v>78</v>
      </c>
      <c r="D1325" s="5" t="s">
        <v>79</v>
      </c>
      <c r="E1325" s="5" t="s">
        <v>80</v>
      </c>
      <c r="F1325" s="5">
        <v>48</v>
      </c>
      <c r="G1325" s="5" t="s">
        <v>4068</v>
      </c>
      <c r="H1325" s="5" t="s">
        <v>4069</v>
      </c>
      <c r="I1325" s="5" t="s">
        <v>212</v>
      </c>
      <c r="N1325" s="5" t="s">
        <v>4070</v>
      </c>
      <c r="O1325" s="5">
        <v>343.1</v>
      </c>
      <c r="P1325" s="5">
        <v>343.1</v>
      </c>
      <c r="Q1325" s="5">
        <v>337.1</v>
      </c>
      <c r="R1325" s="5">
        <v>339.5</v>
      </c>
      <c r="S1325" s="5">
        <v>338.75</v>
      </c>
      <c r="T1325" s="5">
        <v>345.65</v>
      </c>
      <c r="V1325" s="5">
        <v>339.49</v>
      </c>
      <c r="Y1325" s="5">
        <v>789142</v>
      </c>
      <c r="Z1325" s="5">
        <v>268166774.94999999</v>
      </c>
      <c r="AA1325" s="5">
        <v>15757</v>
      </c>
      <c r="AB1325" s="5" t="s">
        <v>85</v>
      </c>
      <c r="AC1325" s="5">
        <v>1</v>
      </c>
    </row>
    <row r="1326" spans="1:29" x14ac:dyDescent="0.3">
      <c r="A1326" s="34">
        <v>46274</v>
      </c>
      <c r="B1326" s="34">
        <v>46274</v>
      </c>
      <c r="C1326" s="5" t="s">
        <v>78</v>
      </c>
      <c r="D1326" s="5" t="s">
        <v>79</v>
      </c>
      <c r="E1326" s="5" t="s">
        <v>80</v>
      </c>
      <c r="F1326" s="5">
        <v>20854</v>
      </c>
      <c r="G1326" s="5" t="s">
        <v>4071</v>
      </c>
      <c r="H1326" s="5" t="s">
        <v>4072</v>
      </c>
      <c r="I1326" s="5" t="s">
        <v>212</v>
      </c>
      <c r="N1326" s="5" t="s">
        <v>4073</v>
      </c>
      <c r="O1326" s="5">
        <v>2230.3000000000002</v>
      </c>
      <c r="P1326" s="5">
        <v>2341.8000000000002</v>
      </c>
      <c r="Q1326" s="5">
        <v>2230.3000000000002</v>
      </c>
      <c r="R1326" s="5">
        <v>2256.6999999999998</v>
      </c>
      <c r="S1326" s="5">
        <v>2260</v>
      </c>
      <c r="T1326" s="5">
        <v>2230.3000000000002</v>
      </c>
      <c r="V1326" s="5">
        <v>2256.66</v>
      </c>
      <c r="Y1326" s="5">
        <v>53191</v>
      </c>
      <c r="Z1326" s="5">
        <v>120614251.09999999</v>
      </c>
      <c r="AA1326" s="5">
        <v>14271</v>
      </c>
      <c r="AB1326" s="5" t="s">
        <v>85</v>
      </c>
      <c r="AC1326" s="5">
        <v>1</v>
      </c>
    </row>
    <row r="1327" spans="1:29" x14ac:dyDescent="0.3">
      <c r="A1327" s="34">
        <v>46274</v>
      </c>
      <c r="B1327" s="34">
        <v>46274</v>
      </c>
      <c r="C1327" s="5" t="s">
        <v>78</v>
      </c>
      <c r="D1327" s="5" t="s">
        <v>79</v>
      </c>
      <c r="E1327" s="5" t="s">
        <v>80</v>
      </c>
      <c r="F1327" s="5">
        <v>757665</v>
      </c>
      <c r="G1327" s="5" t="s">
        <v>4074</v>
      </c>
      <c r="H1327" s="5" t="s">
        <v>4075</v>
      </c>
      <c r="I1327" s="5" t="s">
        <v>313</v>
      </c>
      <c r="N1327" s="5" t="s">
        <v>4076</v>
      </c>
      <c r="O1327" s="5">
        <v>37.5</v>
      </c>
      <c r="P1327" s="5">
        <v>39.6</v>
      </c>
      <c r="Q1327" s="5">
        <v>37.5</v>
      </c>
      <c r="R1327" s="5">
        <v>39.6</v>
      </c>
      <c r="S1327" s="5">
        <v>39.6</v>
      </c>
      <c r="T1327" s="5">
        <v>38</v>
      </c>
      <c r="V1327" s="5">
        <v>39.6</v>
      </c>
      <c r="Y1327" s="5">
        <v>3200</v>
      </c>
      <c r="Z1327" s="5">
        <v>123360</v>
      </c>
      <c r="AA1327" s="5">
        <v>2</v>
      </c>
      <c r="AB1327" s="5" t="s">
        <v>85</v>
      </c>
      <c r="AC1327" s="5">
        <v>1600</v>
      </c>
    </row>
    <row r="1328" spans="1:29" x14ac:dyDescent="0.3">
      <c r="A1328" s="34">
        <v>46274</v>
      </c>
      <c r="B1328" s="34">
        <v>46274</v>
      </c>
      <c r="C1328" s="5" t="s">
        <v>78</v>
      </c>
      <c r="D1328" s="5" t="s">
        <v>79</v>
      </c>
      <c r="E1328" s="5" t="s">
        <v>80</v>
      </c>
      <c r="F1328" s="5">
        <v>764131</v>
      </c>
      <c r="G1328" s="5" t="s">
        <v>4077</v>
      </c>
      <c r="H1328" s="5" t="s">
        <v>4078</v>
      </c>
      <c r="I1328" s="5" t="s">
        <v>313</v>
      </c>
      <c r="N1328" s="5" t="s">
        <v>4079</v>
      </c>
      <c r="O1328" s="5">
        <v>84.5</v>
      </c>
      <c r="P1328" s="5">
        <v>85.95</v>
      </c>
      <c r="Q1328" s="5">
        <v>83.5</v>
      </c>
      <c r="R1328" s="5">
        <v>84.95</v>
      </c>
      <c r="S1328" s="5">
        <v>84.95</v>
      </c>
      <c r="T1328" s="5">
        <v>87.35</v>
      </c>
      <c r="V1328" s="5">
        <v>84.95</v>
      </c>
      <c r="Y1328" s="5">
        <v>40000</v>
      </c>
      <c r="Z1328" s="5">
        <v>3379100</v>
      </c>
      <c r="AA1328" s="5">
        <v>20</v>
      </c>
      <c r="AB1328" s="5" t="s">
        <v>85</v>
      </c>
      <c r="AC1328" s="5">
        <v>2000</v>
      </c>
    </row>
    <row r="1329" spans="1:29" x14ac:dyDescent="0.3">
      <c r="A1329" s="34">
        <v>46274</v>
      </c>
      <c r="B1329" s="34">
        <v>46274</v>
      </c>
      <c r="C1329" s="5" t="s">
        <v>78</v>
      </c>
      <c r="D1329" s="5" t="s">
        <v>79</v>
      </c>
      <c r="E1329" s="5" t="s">
        <v>80</v>
      </c>
      <c r="F1329" s="5">
        <v>8962</v>
      </c>
      <c r="G1329" s="5" t="s">
        <v>4080</v>
      </c>
      <c r="H1329" s="5" t="s">
        <v>4081</v>
      </c>
      <c r="I1329" s="5" t="s">
        <v>212</v>
      </c>
      <c r="N1329" s="5" t="s">
        <v>4082</v>
      </c>
      <c r="O1329" s="5">
        <v>9.15</v>
      </c>
      <c r="P1329" s="5">
        <v>9.1999999999999993</v>
      </c>
      <c r="Q1329" s="5">
        <v>7.61</v>
      </c>
      <c r="R1329" s="5">
        <v>8.93</v>
      </c>
      <c r="S1329" s="5">
        <v>9.16</v>
      </c>
      <c r="T1329" s="5">
        <v>9.14</v>
      </c>
      <c r="V1329" s="5">
        <v>8.94</v>
      </c>
      <c r="Y1329" s="5">
        <v>1117076</v>
      </c>
      <c r="Z1329" s="5">
        <v>10007055.550000001</v>
      </c>
      <c r="AA1329" s="5">
        <v>1645</v>
      </c>
      <c r="AB1329" s="5" t="s">
        <v>85</v>
      </c>
      <c r="AC1329" s="5">
        <v>1</v>
      </c>
    </row>
    <row r="1330" spans="1:29" x14ac:dyDescent="0.3">
      <c r="A1330" s="34">
        <v>46274</v>
      </c>
      <c r="B1330" s="34">
        <v>46274</v>
      </c>
      <c r="C1330" s="5" t="s">
        <v>78</v>
      </c>
      <c r="D1330" s="5" t="s">
        <v>79</v>
      </c>
      <c r="E1330" s="5" t="s">
        <v>80</v>
      </c>
      <c r="F1330" s="5">
        <v>8968</v>
      </c>
      <c r="G1330" s="5" t="s">
        <v>4083</v>
      </c>
      <c r="H1330" s="5" t="s">
        <v>4084</v>
      </c>
      <c r="I1330" s="5" t="s">
        <v>212</v>
      </c>
      <c r="N1330" s="5" t="s">
        <v>4085</v>
      </c>
      <c r="O1330" s="5">
        <v>370</v>
      </c>
      <c r="P1330" s="5">
        <v>372</v>
      </c>
      <c r="Q1330" s="5">
        <v>365</v>
      </c>
      <c r="R1330" s="5">
        <v>366.15</v>
      </c>
      <c r="S1330" s="5">
        <v>365</v>
      </c>
      <c r="T1330" s="5">
        <v>371.7</v>
      </c>
      <c r="V1330" s="5">
        <v>366.14</v>
      </c>
      <c r="Y1330" s="5">
        <v>89526</v>
      </c>
      <c r="Z1330" s="5">
        <v>32877591.149999999</v>
      </c>
      <c r="AA1330" s="5">
        <v>3458</v>
      </c>
      <c r="AB1330" s="5" t="s">
        <v>85</v>
      </c>
      <c r="AC1330" s="5">
        <v>1</v>
      </c>
    </row>
    <row r="1331" spans="1:29" x14ac:dyDescent="0.3">
      <c r="A1331" s="34">
        <v>46274</v>
      </c>
      <c r="B1331" s="34">
        <v>46274</v>
      </c>
      <c r="C1331" s="5" t="s">
        <v>78</v>
      </c>
      <c r="D1331" s="5" t="s">
        <v>79</v>
      </c>
      <c r="E1331" s="5" t="s">
        <v>80</v>
      </c>
      <c r="F1331" s="5">
        <v>764703</v>
      </c>
      <c r="G1331" s="5" t="s">
        <v>4086</v>
      </c>
      <c r="H1331" s="5" t="s">
        <v>4087</v>
      </c>
      <c r="I1331" s="5" t="s">
        <v>212</v>
      </c>
      <c r="N1331" s="5" t="s">
        <v>4088</v>
      </c>
      <c r="O1331" s="5">
        <v>102.5</v>
      </c>
      <c r="P1331" s="5">
        <v>102.5</v>
      </c>
      <c r="Q1331" s="5">
        <v>98.11</v>
      </c>
      <c r="R1331" s="5">
        <v>99.95</v>
      </c>
      <c r="S1331" s="5">
        <v>99.95</v>
      </c>
      <c r="T1331" s="5">
        <v>100.62</v>
      </c>
      <c r="V1331" s="5">
        <v>99.95</v>
      </c>
      <c r="Y1331" s="5">
        <v>784</v>
      </c>
      <c r="Z1331" s="5">
        <v>77759.37</v>
      </c>
      <c r="AA1331" s="5">
        <v>45</v>
      </c>
      <c r="AB1331" s="5" t="s">
        <v>85</v>
      </c>
      <c r="AC1331" s="5">
        <v>1</v>
      </c>
    </row>
    <row r="1332" spans="1:29" x14ac:dyDescent="0.3">
      <c r="A1332" s="34">
        <v>46274</v>
      </c>
      <c r="B1332" s="34">
        <v>46274</v>
      </c>
      <c r="C1332" s="5" t="s">
        <v>78</v>
      </c>
      <c r="D1332" s="5" t="s">
        <v>79</v>
      </c>
      <c r="E1332" s="5" t="s">
        <v>80</v>
      </c>
      <c r="F1332" s="5">
        <v>1313</v>
      </c>
      <c r="G1332" s="5" t="s">
        <v>4089</v>
      </c>
      <c r="H1332" s="5" t="s">
        <v>4090</v>
      </c>
      <c r="I1332" s="5" t="s">
        <v>212</v>
      </c>
      <c r="N1332" s="5" t="s">
        <v>4091</v>
      </c>
      <c r="O1332" s="5">
        <v>190.59</v>
      </c>
      <c r="P1332" s="5">
        <v>190.59</v>
      </c>
      <c r="Q1332" s="5">
        <v>186.7</v>
      </c>
      <c r="R1332" s="5">
        <v>187.72</v>
      </c>
      <c r="S1332" s="5">
        <v>186.75</v>
      </c>
      <c r="T1332" s="5">
        <v>189.92</v>
      </c>
      <c r="V1332" s="5">
        <v>187.82</v>
      </c>
      <c r="Y1332" s="5">
        <v>6634</v>
      </c>
      <c r="Z1332" s="5">
        <v>1249669.5</v>
      </c>
      <c r="AA1332" s="5">
        <v>286</v>
      </c>
      <c r="AB1332" s="5" t="s">
        <v>85</v>
      </c>
      <c r="AC1332" s="5">
        <v>1</v>
      </c>
    </row>
    <row r="1333" spans="1:29" x14ac:dyDescent="0.3">
      <c r="A1333" s="34">
        <v>46274</v>
      </c>
      <c r="B1333" s="34">
        <v>46274</v>
      </c>
      <c r="C1333" s="5" t="s">
        <v>78</v>
      </c>
      <c r="D1333" s="5" t="s">
        <v>79</v>
      </c>
      <c r="E1333" s="5" t="s">
        <v>80</v>
      </c>
      <c r="F1333" s="5">
        <v>11162</v>
      </c>
      <c r="G1333" s="5" t="s">
        <v>4092</v>
      </c>
      <c r="H1333" s="5" t="s">
        <v>4093</v>
      </c>
      <c r="I1333" s="5" t="s">
        <v>212</v>
      </c>
      <c r="N1333" s="5" t="s">
        <v>4094</v>
      </c>
      <c r="O1333" s="5">
        <v>466.8</v>
      </c>
      <c r="P1333" s="5">
        <v>470.95</v>
      </c>
      <c r="Q1333" s="5">
        <v>449.05</v>
      </c>
      <c r="R1333" s="5">
        <v>453.4</v>
      </c>
      <c r="S1333" s="5">
        <v>451</v>
      </c>
      <c r="T1333" s="5">
        <v>466.8</v>
      </c>
      <c r="V1333" s="5">
        <v>453.39</v>
      </c>
      <c r="Y1333" s="5">
        <v>175392</v>
      </c>
      <c r="Z1333" s="5">
        <v>79893167.950000003</v>
      </c>
      <c r="AA1333" s="5">
        <v>6471</v>
      </c>
      <c r="AB1333" s="5" t="s">
        <v>85</v>
      </c>
      <c r="AC1333" s="5">
        <v>1</v>
      </c>
    </row>
    <row r="1334" spans="1:29" x14ac:dyDescent="0.3">
      <c r="A1334" s="34">
        <v>46274</v>
      </c>
      <c r="B1334" s="34">
        <v>46274</v>
      </c>
      <c r="C1334" s="5" t="s">
        <v>78</v>
      </c>
      <c r="D1334" s="5" t="s">
        <v>79</v>
      </c>
      <c r="E1334" s="5" t="s">
        <v>80</v>
      </c>
      <c r="F1334" s="5">
        <v>18154</v>
      </c>
      <c r="G1334" s="5" t="s">
        <v>4095</v>
      </c>
      <c r="H1334" s="5" t="s">
        <v>4096</v>
      </c>
      <c r="I1334" s="5" t="s">
        <v>212</v>
      </c>
      <c r="N1334" s="5" t="s">
        <v>4097</v>
      </c>
      <c r="O1334" s="5">
        <v>10.28</v>
      </c>
      <c r="P1334" s="5">
        <v>10.3</v>
      </c>
      <c r="Q1334" s="5">
        <v>10.210000000000001</v>
      </c>
      <c r="R1334" s="5">
        <v>10.220000000000001</v>
      </c>
      <c r="S1334" s="5">
        <v>10.220000000000001</v>
      </c>
      <c r="T1334" s="5">
        <v>10.29</v>
      </c>
      <c r="V1334" s="5">
        <v>10.220000000000001</v>
      </c>
      <c r="Y1334" s="5">
        <v>847215</v>
      </c>
      <c r="Z1334" s="5">
        <v>8674687.9100000001</v>
      </c>
      <c r="AA1334" s="5">
        <v>1736</v>
      </c>
      <c r="AB1334" s="5" t="s">
        <v>85</v>
      </c>
      <c r="AC1334" s="5">
        <v>1</v>
      </c>
    </row>
    <row r="1335" spans="1:29" x14ac:dyDescent="0.3">
      <c r="A1335" s="34">
        <v>46274</v>
      </c>
      <c r="B1335" s="34">
        <v>46274</v>
      </c>
      <c r="C1335" s="5" t="s">
        <v>78</v>
      </c>
      <c r="D1335" s="5" t="s">
        <v>79</v>
      </c>
      <c r="E1335" s="5" t="s">
        <v>80</v>
      </c>
      <c r="F1335" s="5">
        <v>3892</v>
      </c>
      <c r="G1335" s="5" t="s">
        <v>4098</v>
      </c>
      <c r="H1335" s="5" t="s">
        <v>4099</v>
      </c>
      <c r="I1335" s="5" t="s">
        <v>212</v>
      </c>
      <c r="N1335" s="5" t="s">
        <v>4100</v>
      </c>
      <c r="O1335" s="5">
        <v>1200</v>
      </c>
      <c r="P1335" s="5">
        <v>1215</v>
      </c>
      <c r="Q1335" s="5">
        <v>1155.0999999999999</v>
      </c>
      <c r="R1335" s="5">
        <v>1199.0999999999999</v>
      </c>
      <c r="S1335" s="5">
        <v>1200</v>
      </c>
      <c r="T1335" s="5">
        <v>1198</v>
      </c>
      <c r="V1335" s="5">
        <v>1199.1400000000001</v>
      </c>
      <c r="Y1335" s="5">
        <v>122744</v>
      </c>
      <c r="Z1335" s="5">
        <v>145300987.80000001</v>
      </c>
      <c r="AA1335" s="5">
        <v>9724</v>
      </c>
      <c r="AB1335" s="5" t="s">
        <v>85</v>
      </c>
      <c r="AC1335" s="5">
        <v>1</v>
      </c>
    </row>
    <row r="1336" spans="1:29" x14ac:dyDescent="0.3">
      <c r="A1336" s="34">
        <v>46274</v>
      </c>
      <c r="B1336" s="34">
        <v>46274</v>
      </c>
      <c r="C1336" s="5" t="s">
        <v>78</v>
      </c>
      <c r="D1336" s="5" t="s">
        <v>79</v>
      </c>
      <c r="E1336" s="5" t="s">
        <v>80</v>
      </c>
      <c r="F1336" s="5">
        <v>9819</v>
      </c>
      <c r="G1336" s="5" t="s">
        <v>4101</v>
      </c>
      <c r="H1336" s="5" t="s">
        <v>4102</v>
      </c>
      <c r="I1336" s="5" t="s">
        <v>212</v>
      </c>
      <c r="N1336" s="5" t="s">
        <v>4103</v>
      </c>
      <c r="O1336" s="5">
        <v>1136</v>
      </c>
      <c r="P1336" s="5">
        <v>1143.5</v>
      </c>
      <c r="Q1336" s="5">
        <v>1118.9000000000001</v>
      </c>
      <c r="R1336" s="5">
        <v>1120.4000000000001</v>
      </c>
      <c r="S1336" s="5">
        <v>1120.4000000000001</v>
      </c>
      <c r="T1336" s="5">
        <v>1140</v>
      </c>
      <c r="V1336" s="5">
        <v>1120.44</v>
      </c>
      <c r="Y1336" s="5">
        <v>608049</v>
      </c>
      <c r="Z1336" s="5">
        <v>685551583.70000005</v>
      </c>
      <c r="AA1336" s="5">
        <v>40847</v>
      </c>
      <c r="AB1336" s="5" t="s">
        <v>85</v>
      </c>
      <c r="AC1336" s="5">
        <v>1</v>
      </c>
    </row>
    <row r="1337" spans="1:29" x14ac:dyDescent="0.3">
      <c r="A1337" s="34">
        <v>46274</v>
      </c>
      <c r="B1337" s="34">
        <v>46274</v>
      </c>
      <c r="C1337" s="5" t="s">
        <v>78</v>
      </c>
      <c r="D1337" s="5" t="s">
        <v>79</v>
      </c>
      <c r="E1337" s="5" t="s">
        <v>80</v>
      </c>
      <c r="F1337" s="5">
        <v>4444</v>
      </c>
      <c r="G1337" s="5" t="s">
        <v>4104</v>
      </c>
      <c r="H1337" s="5" t="s">
        <v>4105</v>
      </c>
      <c r="I1337" s="5" t="s">
        <v>212</v>
      </c>
      <c r="N1337" s="5" t="s">
        <v>4106</v>
      </c>
      <c r="O1337" s="5">
        <v>8340</v>
      </c>
      <c r="P1337" s="5">
        <v>8640</v>
      </c>
      <c r="Q1337" s="5">
        <v>8337</v>
      </c>
      <c r="R1337" s="5">
        <v>8504.5</v>
      </c>
      <c r="S1337" s="5">
        <v>8515</v>
      </c>
      <c r="T1337" s="5">
        <v>8212</v>
      </c>
      <c r="V1337" s="5">
        <v>8503.99</v>
      </c>
      <c r="Y1337" s="5">
        <v>5000</v>
      </c>
      <c r="Z1337" s="5">
        <v>42695808</v>
      </c>
      <c r="AA1337" s="5">
        <v>1465</v>
      </c>
      <c r="AB1337" s="5" t="s">
        <v>85</v>
      </c>
      <c r="AC1337" s="5">
        <v>1</v>
      </c>
    </row>
    <row r="1338" spans="1:29" x14ac:dyDescent="0.3">
      <c r="A1338" s="34">
        <v>46274</v>
      </c>
      <c r="B1338" s="34">
        <v>46274</v>
      </c>
      <c r="C1338" s="5" t="s">
        <v>78</v>
      </c>
      <c r="D1338" s="5" t="s">
        <v>79</v>
      </c>
      <c r="E1338" s="5" t="s">
        <v>80</v>
      </c>
      <c r="F1338" s="5">
        <v>764693</v>
      </c>
      <c r="G1338" s="5" t="s">
        <v>4107</v>
      </c>
      <c r="H1338" s="5" t="s">
        <v>4108</v>
      </c>
      <c r="I1338" s="5" t="s">
        <v>212</v>
      </c>
      <c r="N1338" s="5" t="s">
        <v>4109</v>
      </c>
      <c r="O1338" s="5">
        <v>20.37</v>
      </c>
      <c r="P1338" s="5">
        <v>20.59</v>
      </c>
      <c r="Q1338" s="5">
        <v>19.670000000000002</v>
      </c>
      <c r="R1338" s="5">
        <v>19.88</v>
      </c>
      <c r="S1338" s="5">
        <v>19.75</v>
      </c>
      <c r="T1338" s="5">
        <v>19.97</v>
      </c>
      <c r="V1338" s="5">
        <v>19.89</v>
      </c>
      <c r="Y1338" s="5">
        <v>641192</v>
      </c>
      <c r="Z1338" s="5">
        <v>13010325.18</v>
      </c>
      <c r="AA1338" s="5">
        <v>1483</v>
      </c>
      <c r="AB1338" s="5" t="s">
        <v>85</v>
      </c>
      <c r="AC1338" s="5">
        <v>1</v>
      </c>
    </row>
    <row r="1339" spans="1:29" x14ac:dyDescent="0.3">
      <c r="A1339" s="34">
        <v>46274</v>
      </c>
      <c r="B1339" s="34">
        <v>46274</v>
      </c>
      <c r="C1339" s="5" t="s">
        <v>78</v>
      </c>
      <c r="D1339" s="5" t="s">
        <v>79</v>
      </c>
      <c r="E1339" s="5" t="s">
        <v>80</v>
      </c>
      <c r="F1339" s="5">
        <v>765080</v>
      </c>
      <c r="G1339" s="5" t="s">
        <v>4110</v>
      </c>
      <c r="H1339" s="5" t="s">
        <v>4111</v>
      </c>
      <c r="I1339" s="5" t="s">
        <v>212</v>
      </c>
      <c r="N1339" s="5" t="s">
        <v>4112</v>
      </c>
      <c r="O1339" s="5">
        <v>58.56</v>
      </c>
      <c r="P1339" s="5">
        <v>61.5</v>
      </c>
      <c r="Q1339" s="5">
        <v>58.56</v>
      </c>
      <c r="R1339" s="5">
        <v>59.37</v>
      </c>
      <c r="S1339" s="5">
        <v>59.05</v>
      </c>
      <c r="T1339" s="5">
        <v>61.79</v>
      </c>
      <c r="V1339" s="5">
        <v>60.46</v>
      </c>
      <c r="Y1339" s="5">
        <v>928</v>
      </c>
      <c r="Z1339" s="5">
        <v>56994.25</v>
      </c>
      <c r="AA1339" s="5">
        <v>19</v>
      </c>
      <c r="AB1339" s="5" t="s">
        <v>85</v>
      </c>
      <c r="AC1339" s="5">
        <v>1</v>
      </c>
    </row>
    <row r="1340" spans="1:29" x14ac:dyDescent="0.3">
      <c r="A1340" s="34">
        <v>46274</v>
      </c>
      <c r="B1340" s="34">
        <v>46274</v>
      </c>
      <c r="C1340" s="5" t="s">
        <v>78</v>
      </c>
      <c r="D1340" s="5" t="s">
        <v>79</v>
      </c>
      <c r="E1340" s="5" t="s">
        <v>80</v>
      </c>
      <c r="F1340" s="5">
        <v>4116</v>
      </c>
      <c r="G1340" s="5" t="s">
        <v>4113</v>
      </c>
      <c r="H1340" s="5" t="s">
        <v>4114</v>
      </c>
      <c r="I1340" s="5" t="s">
        <v>212</v>
      </c>
      <c r="N1340" s="5" t="s">
        <v>4115</v>
      </c>
      <c r="O1340" s="5">
        <v>54.4</v>
      </c>
      <c r="P1340" s="5">
        <v>54.4</v>
      </c>
      <c r="Q1340" s="5">
        <v>52.1</v>
      </c>
      <c r="R1340" s="5">
        <v>52.86</v>
      </c>
      <c r="S1340" s="5">
        <v>52.86</v>
      </c>
      <c r="T1340" s="5">
        <v>54.01</v>
      </c>
      <c r="V1340" s="5">
        <v>52.86</v>
      </c>
      <c r="Y1340" s="5">
        <v>2927</v>
      </c>
      <c r="Z1340" s="5">
        <v>154966.64000000001</v>
      </c>
      <c r="AA1340" s="5">
        <v>120</v>
      </c>
      <c r="AB1340" s="5" t="s">
        <v>85</v>
      </c>
      <c r="AC1340" s="5">
        <v>1</v>
      </c>
    </row>
    <row r="1341" spans="1:29" x14ac:dyDescent="0.3">
      <c r="A1341" s="34">
        <v>46274</v>
      </c>
      <c r="B1341" s="34">
        <v>46274</v>
      </c>
      <c r="C1341" s="5" t="s">
        <v>78</v>
      </c>
      <c r="D1341" s="5" t="s">
        <v>79</v>
      </c>
      <c r="E1341" s="5" t="s">
        <v>80</v>
      </c>
      <c r="F1341" s="5">
        <v>13966</v>
      </c>
      <c r="G1341" s="5" t="s">
        <v>4116</v>
      </c>
      <c r="H1341" s="5" t="s">
        <v>4117</v>
      </c>
      <c r="I1341" s="5" t="s">
        <v>212</v>
      </c>
      <c r="N1341" s="5" t="s">
        <v>4118</v>
      </c>
      <c r="O1341" s="5">
        <v>732.65</v>
      </c>
      <c r="P1341" s="5">
        <v>772.8</v>
      </c>
      <c r="Q1341" s="5">
        <v>726</v>
      </c>
      <c r="R1341" s="5">
        <v>730.1</v>
      </c>
      <c r="S1341" s="5">
        <v>728</v>
      </c>
      <c r="T1341" s="5">
        <v>731.25</v>
      </c>
      <c r="V1341" s="5">
        <v>730.18</v>
      </c>
      <c r="Y1341" s="5">
        <v>6705010</v>
      </c>
      <c r="Z1341" s="5">
        <v>5030003477.8500004</v>
      </c>
      <c r="AA1341" s="5">
        <v>154190</v>
      </c>
      <c r="AB1341" s="5" t="s">
        <v>85</v>
      </c>
      <c r="AC1341" s="5">
        <v>1</v>
      </c>
    </row>
    <row r="1342" spans="1:29" x14ac:dyDescent="0.3">
      <c r="A1342" s="34">
        <v>46274</v>
      </c>
      <c r="B1342" s="34">
        <v>46274</v>
      </c>
      <c r="C1342" s="5" t="s">
        <v>78</v>
      </c>
      <c r="D1342" s="5" t="s">
        <v>79</v>
      </c>
      <c r="E1342" s="5" t="s">
        <v>80</v>
      </c>
      <c r="F1342" s="5">
        <v>1327</v>
      </c>
      <c r="G1342" s="5" t="s">
        <v>4119</v>
      </c>
      <c r="H1342" s="5" t="s">
        <v>4120</v>
      </c>
      <c r="I1342" s="5" t="s">
        <v>212</v>
      </c>
      <c r="N1342" s="5" t="s">
        <v>4121</v>
      </c>
      <c r="O1342" s="5">
        <v>10.02</v>
      </c>
      <c r="P1342" s="5">
        <v>10.29</v>
      </c>
      <c r="Q1342" s="5">
        <v>10.02</v>
      </c>
      <c r="R1342" s="5">
        <v>10.09</v>
      </c>
      <c r="S1342" s="5">
        <v>10.1</v>
      </c>
      <c r="T1342" s="5">
        <v>10.119999999999999</v>
      </c>
      <c r="V1342" s="5">
        <v>10.09</v>
      </c>
      <c r="Y1342" s="5">
        <v>166878</v>
      </c>
      <c r="Z1342" s="5">
        <v>1688929.43</v>
      </c>
      <c r="AA1342" s="5">
        <v>672</v>
      </c>
      <c r="AB1342" s="5" t="s">
        <v>85</v>
      </c>
      <c r="AC1342" s="5">
        <v>1</v>
      </c>
    </row>
    <row r="1343" spans="1:29" x14ac:dyDescent="0.3">
      <c r="A1343" s="34">
        <v>46274</v>
      </c>
      <c r="B1343" s="34">
        <v>46274</v>
      </c>
      <c r="C1343" s="5" t="s">
        <v>78</v>
      </c>
      <c r="D1343" s="5" t="s">
        <v>79</v>
      </c>
      <c r="E1343" s="5" t="s">
        <v>80</v>
      </c>
      <c r="F1343" s="5">
        <v>7229</v>
      </c>
      <c r="G1343" s="5" t="s">
        <v>4122</v>
      </c>
      <c r="H1343" s="5" t="s">
        <v>4123</v>
      </c>
      <c r="I1343" s="5" t="s">
        <v>212</v>
      </c>
      <c r="N1343" s="5" t="s">
        <v>4124</v>
      </c>
      <c r="O1343" s="5">
        <v>1248.8</v>
      </c>
      <c r="P1343" s="5">
        <v>1264.8</v>
      </c>
      <c r="Q1343" s="5">
        <v>1222.7</v>
      </c>
      <c r="R1343" s="5">
        <v>1229.8</v>
      </c>
      <c r="S1343" s="5">
        <v>1229.8</v>
      </c>
      <c r="T1343" s="5">
        <v>1277</v>
      </c>
      <c r="V1343" s="5">
        <v>1229.74</v>
      </c>
      <c r="Y1343" s="5">
        <v>2099173</v>
      </c>
      <c r="Z1343" s="5">
        <v>2593571106</v>
      </c>
      <c r="AA1343" s="5">
        <v>79263</v>
      </c>
      <c r="AB1343" s="5" t="s">
        <v>85</v>
      </c>
      <c r="AC1343" s="5">
        <v>1</v>
      </c>
    </row>
    <row r="1344" spans="1:29" x14ac:dyDescent="0.3">
      <c r="A1344" s="34">
        <v>46274</v>
      </c>
      <c r="B1344" s="34">
        <v>46274</v>
      </c>
      <c r="C1344" s="5" t="s">
        <v>78</v>
      </c>
      <c r="D1344" s="5" t="s">
        <v>79</v>
      </c>
      <c r="E1344" s="5" t="s">
        <v>80</v>
      </c>
      <c r="F1344" s="5">
        <v>757772</v>
      </c>
      <c r="G1344" s="5" t="s">
        <v>4125</v>
      </c>
      <c r="H1344" s="5" t="s">
        <v>4126</v>
      </c>
      <c r="I1344" s="5" t="s">
        <v>212</v>
      </c>
      <c r="N1344" s="5" t="s">
        <v>4127</v>
      </c>
      <c r="O1344" s="5">
        <v>680</v>
      </c>
      <c r="P1344" s="5">
        <v>684.8</v>
      </c>
      <c r="Q1344" s="5">
        <v>673.1</v>
      </c>
      <c r="R1344" s="5">
        <v>675.05</v>
      </c>
      <c r="S1344" s="5">
        <v>675</v>
      </c>
      <c r="T1344" s="5">
        <v>683.1</v>
      </c>
      <c r="V1344" s="5">
        <v>675.05</v>
      </c>
      <c r="Y1344" s="5">
        <v>424779</v>
      </c>
      <c r="Z1344" s="5">
        <v>286870591.85000002</v>
      </c>
      <c r="AA1344" s="5">
        <v>8851</v>
      </c>
      <c r="AB1344" s="5" t="s">
        <v>85</v>
      </c>
      <c r="AC1344" s="5">
        <v>1</v>
      </c>
    </row>
    <row r="1345" spans="1:29" x14ac:dyDescent="0.3">
      <c r="A1345" s="34">
        <v>46274</v>
      </c>
      <c r="B1345" s="34">
        <v>46274</v>
      </c>
      <c r="C1345" s="5" t="s">
        <v>78</v>
      </c>
      <c r="D1345" s="5" t="s">
        <v>79</v>
      </c>
      <c r="E1345" s="5" t="s">
        <v>80</v>
      </c>
      <c r="F1345" s="5">
        <v>4244</v>
      </c>
      <c r="G1345" s="5" t="s">
        <v>4128</v>
      </c>
      <c r="H1345" s="5" t="s">
        <v>4129</v>
      </c>
      <c r="I1345" s="5" t="s">
        <v>212</v>
      </c>
      <c r="N1345" s="5" t="s">
        <v>4130</v>
      </c>
      <c r="O1345" s="5">
        <v>2444</v>
      </c>
      <c r="P1345" s="5">
        <v>2446.4</v>
      </c>
      <c r="Q1345" s="5">
        <v>2410.9</v>
      </c>
      <c r="R1345" s="5">
        <v>2440</v>
      </c>
      <c r="S1345" s="5">
        <v>2440</v>
      </c>
      <c r="T1345" s="5">
        <v>2447.3000000000002</v>
      </c>
      <c r="V1345" s="5">
        <v>2439.98</v>
      </c>
      <c r="Y1345" s="5">
        <v>455316</v>
      </c>
      <c r="Z1345" s="5">
        <v>1104604031.5</v>
      </c>
      <c r="AA1345" s="5">
        <v>30539</v>
      </c>
      <c r="AB1345" s="5" t="s">
        <v>85</v>
      </c>
      <c r="AC1345" s="5">
        <v>1</v>
      </c>
    </row>
    <row r="1346" spans="1:29" x14ac:dyDescent="0.3">
      <c r="A1346" s="34">
        <v>46274</v>
      </c>
      <c r="B1346" s="34">
        <v>46274</v>
      </c>
      <c r="C1346" s="5" t="s">
        <v>78</v>
      </c>
      <c r="D1346" s="5" t="s">
        <v>79</v>
      </c>
      <c r="E1346" s="5" t="s">
        <v>80</v>
      </c>
      <c r="F1346" s="5">
        <v>1333</v>
      </c>
      <c r="G1346" s="5" t="s">
        <v>4131</v>
      </c>
      <c r="H1346" s="5" t="s">
        <v>4132</v>
      </c>
      <c r="I1346" s="5" t="s">
        <v>212</v>
      </c>
      <c r="N1346" s="5" t="s">
        <v>4133</v>
      </c>
      <c r="O1346" s="5">
        <v>698</v>
      </c>
      <c r="P1346" s="5">
        <v>700</v>
      </c>
      <c r="Q1346" s="5">
        <v>687.1</v>
      </c>
      <c r="R1346" s="5">
        <v>687.1</v>
      </c>
      <c r="S1346" s="5">
        <v>687.1</v>
      </c>
      <c r="T1346" s="5">
        <v>703</v>
      </c>
      <c r="V1346" s="5">
        <v>687.1</v>
      </c>
      <c r="Y1346" s="5">
        <v>39173990</v>
      </c>
      <c r="Z1346" s="5">
        <v>27166163430.349998</v>
      </c>
      <c r="AA1346" s="5">
        <v>525234</v>
      </c>
      <c r="AB1346" s="5" t="s">
        <v>85</v>
      </c>
      <c r="AC1346" s="5">
        <v>1</v>
      </c>
    </row>
    <row r="1347" spans="1:29" x14ac:dyDescent="0.3">
      <c r="A1347" s="34">
        <v>46274</v>
      </c>
      <c r="B1347" s="34">
        <v>46274</v>
      </c>
      <c r="C1347" s="5" t="s">
        <v>78</v>
      </c>
      <c r="D1347" s="5" t="s">
        <v>79</v>
      </c>
      <c r="E1347" s="5" t="s">
        <v>80</v>
      </c>
      <c r="F1347" s="5">
        <v>19543</v>
      </c>
      <c r="G1347" s="5" t="s">
        <v>4134</v>
      </c>
      <c r="H1347" s="5" t="s">
        <v>4135</v>
      </c>
      <c r="I1347" s="5" t="s">
        <v>212</v>
      </c>
      <c r="N1347" s="5" t="s">
        <v>4136</v>
      </c>
      <c r="O1347" s="5">
        <v>129.99</v>
      </c>
      <c r="P1347" s="5">
        <v>130.55000000000001</v>
      </c>
      <c r="Q1347" s="5">
        <v>129.35</v>
      </c>
      <c r="R1347" s="5">
        <v>130.06</v>
      </c>
      <c r="S1347" s="5">
        <v>129.91999999999999</v>
      </c>
      <c r="T1347" s="5">
        <v>130.18</v>
      </c>
      <c r="V1347" s="5">
        <v>130.06</v>
      </c>
      <c r="Y1347" s="5">
        <v>2291910</v>
      </c>
      <c r="Z1347" s="5">
        <v>298112021.97000003</v>
      </c>
      <c r="AA1347" s="5">
        <v>11178</v>
      </c>
      <c r="AB1347" s="5" t="s">
        <v>85</v>
      </c>
      <c r="AC1347" s="5">
        <v>1</v>
      </c>
    </row>
    <row r="1348" spans="1:29" x14ac:dyDescent="0.3">
      <c r="A1348" s="34">
        <v>46274</v>
      </c>
      <c r="B1348" s="34">
        <v>46274</v>
      </c>
      <c r="C1348" s="5" t="s">
        <v>78</v>
      </c>
      <c r="D1348" s="5" t="s">
        <v>79</v>
      </c>
      <c r="E1348" s="5" t="s">
        <v>80</v>
      </c>
      <c r="F1348" s="5">
        <v>467</v>
      </c>
      <c r="G1348" s="5" t="s">
        <v>4137</v>
      </c>
      <c r="H1348" s="5" t="s">
        <v>4138</v>
      </c>
      <c r="I1348" s="5" t="s">
        <v>212</v>
      </c>
      <c r="N1348" s="5" t="s">
        <v>4139</v>
      </c>
      <c r="O1348" s="5">
        <v>533.70000000000005</v>
      </c>
      <c r="P1348" s="5">
        <v>534.6</v>
      </c>
      <c r="Q1348" s="5">
        <v>508.95</v>
      </c>
      <c r="R1348" s="5">
        <v>514</v>
      </c>
      <c r="S1348" s="5">
        <v>514</v>
      </c>
      <c r="T1348" s="5">
        <v>533.79999999999995</v>
      </c>
      <c r="V1348" s="5">
        <v>514.01</v>
      </c>
      <c r="Y1348" s="5">
        <v>9024185</v>
      </c>
      <c r="Z1348" s="5">
        <v>4669847003.1999998</v>
      </c>
      <c r="AA1348" s="5">
        <v>110697</v>
      </c>
      <c r="AB1348" s="5" t="s">
        <v>85</v>
      </c>
      <c r="AC1348" s="5">
        <v>1</v>
      </c>
    </row>
    <row r="1349" spans="1:29" x14ac:dyDescent="0.3">
      <c r="A1349" s="34">
        <v>46274</v>
      </c>
      <c r="B1349" s="34">
        <v>46274</v>
      </c>
      <c r="C1349" s="5" t="s">
        <v>78</v>
      </c>
      <c r="D1349" s="5" t="s">
        <v>79</v>
      </c>
      <c r="E1349" s="5" t="s">
        <v>80</v>
      </c>
      <c r="F1349" s="5">
        <v>14230</v>
      </c>
      <c r="G1349" s="5" t="s">
        <v>4140</v>
      </c>
      <c r="H1349" s="5" t="s">
        <v>4141</v>
      </c>
      <c r="I1349" s="5" t="s">
        <v>212</v>
      </c>
      <c r="N1349" s="5" t="s">
        <v>4142</v>
      </c>
      <c r="O1349" s="5">
        <v>37.36</v>
      </c>
      <c r="P1349" s="5">
        <v>37.36</v>
      </c>
      <c r="Q1349" s="5">
        <v>36.799999999999997</v>
      </c>
      <c r="R1349" s="5">
        <v>37</v>
      </c>
      <c r="S1349" s="5">
        <v>36.799999999999997</v>
      </c>
      <c r="T1349" s="5">
        <v>37.35</v>
      </c>
      <c r="V1349" s="5">
        <v>37</v>
      </c>
      <c r="Y1349" s="5">
        <v>2479438</v>
      </c>
      <c r="Z1349" s="5">
        <v>91723327.319999993</v>
      </c>
      <c r="AA1349" s="5">
        <v>436</v>
      </c>
      <c r="AB1349" s="5" t="s">
        <v>85</v>
      </c>
      <c r="AC1349" s="5">
        <v>1</v>
      </c>
    </row>
    <row r="1350" spans="1:29" x14ac:dyDescent="0.3">
      <c r="A1350" s="34">
        <v>46274</v>
      </c>
      <c r="B1350" s="34">
        <v>46274</v>
      </c>
      <c r="C1350" s="5" t="s">
        <v>78</v>
      </c>
      <c r="D1350" s="5" t="s">
        <v>79</v>
      </c>
      <c r="E1350" s="5" t="s">
        <v>80</v>
      </c>
      <c r="F1350" s="5">
        <v>11241</v>
      </c>
      <c r="G1350" s="5" t="s">
        <v>4143</v>
      </c>
      <c r="H1350" s="5" t="s">
        <v>4144</v>
      </c>
      <c r="I1350" s="5" t="s">
        <v>212</v>
      </c>
      <c r="N1350" s="5" t="s">
        <v>4145</v>
      </c>
      <c r="O1350" s="5">
        <v>117.02</v>
      </c>
      <c r="P1350" s="5">
        <v>117.02</v>
      </c>
      <c r="Q1350" s="5">
        <v>115.71</v>
      </c>
      <c r="R1350" s="5">
        <v>116.15</v>
      </c>
      <c r="S1350" s="5">
        <v>115.96</v>
      </c>
      <c r="T1350" s="5">
        <v>117.33</v>
      </c>
      <c r="V1350" s="5">
        <v>116.14</v>
      </c>
      <c r="Y1350" s="5">
        <v>18270</v>
      </c>
      <c r="Z1350" s="5">
        <v>2119733.1</v>
      </c>
      <c r="AA1350" s="5">
        <v>278</v>
      </c>
      <c r="AB1350" s="5" t="s">
        <v>85</v>
      </c>
      <c r="AC1350" s="5">
        <v>1</v>
      </c>
    </row>
    <row r="1351" spans="1:29" x14ac:dyDescent="0.3">
      <c r="A1351" s="34">
        <v>46274</v>
      </c>
      <c r="B1351" s="34">
        <v>46274</v>
      </c>
      <c r="C1351" s="5" t="s">
        <v>78</v>
      </c>
      <c r="D1351" s="5" t="s">
        <v>79</v>
      </c>
      <c r="E1351" s="5" t="s">
        <v>80</v>
      </c>
      <c r="F1351" s="5">
        <v>18279</v>
      </c>
      <c r="G1351" s="5" t="s">
        <v>4146</v>
      </c>
      <c r="H1351" s="5" t="s">
        <v>4147</v>
      </c>
      <c r="I1351" s="5" t="s">
        <v>212</v>
      </c>
      <c r="N1351" s="5" t="s">
        <v>4148</v>
      </c>
      <c r="O1351" s="5">
        <v>1077.1300000000001</v>
      </c>
      <c r="P1351" s="5">
        <v>1077.1300000000001</v>
      </c>
      <c r="Q1351" s="5">
        <v>1077.1099999999999</v>
      </c>
      <c r="R1351" s="5">
        <v>1077.1199999999999</v>
      </c>
      <c r="S1351" s="5">
        <v>1077.1099999999999</v>
      </c>
      <c r="T1351" s="5">
        <v>1077</v>
      </c>
      <c r="V1351" s="5">
        <v>1077.1199999999999</v>
      </c>
      <c r="Y1351" s="5">
        <v>21185</v>
      </c>
      <c r="Z1351" s="5">
        <v>22818758.27</v>
      </c>
      <c r="AA1351" s="5">
        <v>50</v>
      </c>
      <c r="AB1351" s="5" t="s">
        <v>85</v>
      </c>
      <c r="AC1351" s="5">
        <v>1</v>
      </c>
    </row>
    <row r="1352" spans="1:29" x14ac:dyDescent="0.3">
      <c r="A1352" s="34">
        <v>46274</v>
      </c>
      <c r="B1352" s="34">
        <v>46274</v>
      </c>
      <c r="C1352" s="5" t="s">
        <v>78</v>
      </c>
      <c r="D1352" s="5" t="s">
        <v>79</v>
      </c>
      <c r="E1352" s="5" t="s">
        <v>80</v>
      </c>
      <c r="F1352" s="5">
        <v>11547</v>
      </c>
      <c r="G1352" s="5" t="s">
        <v>4149</v>
      </c>
      <c r="H1352" s="5" t="s">
        <v>4150</v>
      </c>
      <c r="I1352" s="5" t="s">
        <v>212</v>
      </c>
      <c r="N1352" s="5" t="s">
        <v>4151</v>
      </c>
      <c r="O1352" s="5">
        <v>20.79</v>
      </c>
      <c r="P1352" s="5">
        <v>20.79</v>
      </c>
      <c r="Q1352" s="5">
        <v>20</v>
      </c>
      <c r="R1352" s="5">
        <v>20.100000000000001</v>
      </c>
      <c r="S1352" s="5">
        <v>20.170000000000002</v>
      </c>
      <c r="T1352" s="5">
        <v>20.29</v>
      </c>
      <c r="V1352" s="5">
        <v>20.079999999999998</v>
      </c>
      <c r="Y1352" s="5">
        <v>4649</v>
      </c>
      <c r="Z1352" s="5">
        <v>93624.91</v>
      </c>
      <c r="AA1352" s="5">
        <v>94</v>
      </c>
      <c r="AB1352" s="5" t="s">
        <v>85</v>
      </c>
      <c r="AC1352" s="5">
        <v>1</v>
      </c>
    </row>
    <row r="1353" spans="1:29" x14ac:dyDescent="0.3">
      <c r="A1353" s="34">
        <v>46274</v>
      </c>
      <c r="B1353" s="34">
        <v>46274</v>
      </c>
      <c r="C1353" s="5" t="s">
        <v>78</v>
      </c>
      <c r="D1353" s="5" t="s">
        <v>79</v>
      </c>
      <c r="E1353" s="5" t="s">
        <v>80</v>
      </c>
      <c r="F1353" s="5">
        <v>14236</v>
      </c>
      <c r="G1353" s="5" t="s">
        <v>4152</v>
      </c>
      <c r="H1353" s="5" t="s">
        <v>4153</v>
      </c>
      <c r="I1353" s="5" t="s">
        <v>212</v>
      </c>
      <c r="N1353" s="5" t="s">
        <v>4154</v>
      </c>
      <c r="O1353" s="5">
        <v>23.42</v>
      </c>
      <c r="P1353" s="5">
        <v>23.42</v>
      </c>
      <c r="Q1353" s="5">
        <v>23.24</v>
      </c>
      <c r="R1353" s="5">
        <v>23.3</v>
      </c>
      <c r="S1353" s="5">
        <v>23.34</v>
      </c>
      <c r="T1353" s="5">
        <v>23.42</v>
      </c>
      <c r="V1353" s="5">
        <v>23.3</v>
      </c>
      <c r="Y1353" s="5">
        <v>247192</v>
      </c>
      <c r="Z1353" s="5">
        <v>5764112.8600000003</v>
      </c>
      <c r="AA1353" s="5">
        <v>1334</v>
      </c>
      <c r="AB1353" s="5" t="s">
        <v>85</v>
      </c>
      <c r="AC1353" s="5">
        <v>1</v>
      </c>
    </row>
    <row r="1354" spans="1:29" x14ac:dyDescent="0.3">
      <c r="A1354" s="34">
        <v>46274</v>
      </c>
      <c r="B1354" s="34">
        <v>46274</v>
      </c>
      <c r="C1354" s="5" t="s">
        <v>78</v>
      </c>
      <c r="D1354" s="5" t="s">
        <v>79</v>
      </c>
      <c r="E1354" s="5" t="s">
        <v>80</v>
      </c>
      <c r="F1354" s="5">
        <v>11538</v>
      </c>
      <c r="G1354" s="5" t="s">
        <v>4155</v>
      </c>
      <c r="H1354" s="5" t="s">
        <v>4156</v>
      </c>
      <c r="I1354" s="5" t="s">
        <v>212</v>
      </c>
      <c r="N1354" s="5" t="s">
        <v>4157</v>
      </c>
      <c r="O1354" s="5">
        <v>31.33</v>
      </c>
      <c r="P1354" s="5">
        <v>31.56</v>
      </c>
      <c r="Q1354" s="5">
        <v>31.19</v>
      </c>
      <c r="R1354" s="5">
        <v>31.36</v>
      </c>
      <c r="S1354" s="5">
        <v>31.52</v>
      </c>
      <c r="T1354" s="5">
        <v>31.23</v>
      </c>
      <c r="V1354" s="5">
        <v>31.36</v>
      </c>
      <c r="Y1354" s="5">
        <v>204344</v>
      </c>
      <c r="Z1354" s="5">
        <v>6408027.9500000002</v>
      </c>
      <c r="AA1354" s="5">
        <v>629</v>
      </c>
      <c r="AB1354" s="5" t="s">
        <v>85</v>
      </c>
      <c r="AC1354" s="5">
        <v>1</v>
      </c>
    </row>
    <row r="1355" spans="1:29" x14ac:dyDescent="0.3">
      <c r="A1355" s="34">
        <v>46274</v>
      </c>
      <c r="B1355" s="34">
        <v>46274</v>
      </c>
      <c r="C1355" s="5" t="s">
        <v>78</v>
      </c>
      <c r="D1355" s="5" t="s">
        <v>79</v>
      </c>
      <c r="E1355" s="5" t="s">
        <v>80</v>
      </c>
      <c r="F1355" s="5">
        <v>10619</v>
      </c>
      <c r="G1355" s="5" t="s">
        <v>4158</v>
      </c>
      <c r="H1355" s="5" t="s">
        <v>4159</v>
      </c>
      <c r="I1355" s="5" t="s">
        <v>212</v>
      </c>
      <c r="N1355" s="5" t="s">
        <v>4160</v>
      </c>
      <c r="O1355" s="5">
        <v>74.78</v>
      </c>
      <c r="P1355" s="5">
        <v>75</v>
      </c>
      <c r="Q1355" s="5">
        <v>74.08</v>
      </c>
      <c r="R1355" s="5">
        <v>74.58</v>
      </c>
      <c r="S1355" s="5">
        <v>74.790000000000006</v>
      </c>
      <c r="T1355" s="5">
        <v>74.5</v>
      </c>
      <c r="V1355" s="5">
        <v>74.59</v>
      </c>
      <c r="Y1355" s="5">
        <v>77234</v>
      </c>
      <c r="Z1355" s="5">
        <v>5759059.6399999997</v>
      </c>
      <c r="AA1355" s="5">
        <v>555</v>
      </c>
      <c r="AB1355" s="5" t="s">
        <v>85</v>
      </c>
      <c r="AC1355" s="5">
        <v>1</v>
      </c>
    </row>
    <row r="1356" spans="1:29" x14ac:dyDescent="0.3">
      <c r="A1356" s="34">
        <v>46274</v>
      </c>
      <c r="B1356" s="34">
        <v>46274</v>
      </c>
      <c r="C1356" s="5" t="s">
        <v>78</v>
      </c>
      <c r="D1356" s="5" t="s">
        <v>79</v>
      </c>
      <c r="E1356" s="5" t="s">
        <v>80</v>
      </c>
      <c r="F1356" s="5">
        <v>10633</v>
      </c>
      <c r="G1356" s="5" t="s">
        <v>4161</v>
      </c>
      <c r="H1356" s="5" t="s">
        <v>4162</v>
      </c>
      <c r="I1356" s="5" t="s">
        <v>212</v>
      </c>
      <c r="N1356" s="5" t="s">
        <v>4163</v>
      </c>
      <c r="O1356" s="5">
        <v>25.71</v>
      </c>
      <c r="P1356" s="5">
        <v>25.96</v>
      </c>
      <c r="Q1356" s="5">
        <v>25.53</v>
      </c>
      <c r="R1356" s="5">
        <v>25.55</v>
      </c>
      <c r="S1356" s="5">
        <v>25.53</v>
      </c>
      <c r="T1356" s="5">
        <v>25.71</v>
      </c>
      <c r="V1356" s="5">
        <v>25.55</v>
      </c>
      <c r="Y1356" s="5">
        <v>16271</v>
      </c>
      <c r="Z1356" s="5">
        <v>416539.22</v>
      </c>
      <c r="AA1356" s="5">
        <v>285</v>
      </c>
      <c r="AB1356" s="5" t="s">
        <v>85</v>
      </c>
      <c r="AC1356" s="5">
        <v>1</v>
      </c>
    </row>
    <row r="1357" spans="1:29" x14ac:dyDescent="0.3">
      <c r="A1357" s="34">
        <v>46274</v>
      </c>
      <c r="B1357" s="34">
        <v>46274</v>
      </c>
      <c r="C1357" s="5" t="s">
        <v>78</v>
      </c>
      <c r="D1357" s="5" t="s">
        <v>79</v>
      </c>
      <c r="E1357" s="5" t="s">
        <v>80</v>
      </c>
      <c r="F1357" s="5">
        <v>22433</v>
      </c>
      <c r="G1357" s="5" t="s">
        <v>4164</v>
      </c>
      <c r="H1357" s="5" t="s">
        <v>4165</v>
      </c>
      <c r="I1357" s="5" t="s">
        <v>212</v>
      </c>
      <c r="N1357" s="5" t="s">
        <v>4166</v>
      </c>
      <c r="O1357" s="5">
        <v>58.4</v>
      </c>
      <c r="P1357" s="5">
        <v>58.51</v>
      </c>
      <c r="Q1357" s="5">
        <v>58</v>
      </c>
      <c r="R1357" s="5">
        <v>58.16</v>
      </c>
      <c r="S1357" s="5">
        <v>58.23</v>
      </c>
      <c r="T1357" s="5">
        <v>58.55</v>
      </c>
      <c r="V1357" s="5">
        <v>58.16</v>
      </c>
      <c r="Y1357" s="5">
        <v>181659</v>
      </c>
      <c r="Z1357" s="5">
        <v>10592169.41</v>
      </c>
      <c r="AA1357" s="5">
        <v>528</v>
      </c>
      <c r="AB1357" s="5" t="s">
        <v>85</v>
      </c>
      <c r="AC1357" s="5">
        <v>1</v>
      </c>
    </row>
    <row r="1358" spans="1:29" x14ac:dyDescent="0.3">
      <c r="A1358" s="34">
        <v>46274</v>
      </c>
      <c r="B1358" s="34">
        <v>46274</v>
      </c>
      <c r="C1358" s="5" t="s">
        <v>78</v>
      </c>
      <c r="D1358" s="5" t="s">
        <v>79</v>
      </c>
      <c r="E1358" s="5" t="s">
        <v>80</v>
      </c>
      <c r="F1358" s="5">
        <v>12101</v>
      </c>
      <c r="G1358" s="5" t="s">
        <v>4167</v>
      </c>
      <c r="H1358" s="5" t="s">
        <v>4168</v>
      </c>
      <c r="I1358" s="5" t="s">
        <v>212</v>
      </c>
      <c r="N1358" s="5" t="s">
        <v>4169</v>
      </c>
      <c r="O1358" s="5">
        <v>31.77</v>
      </c>
      <c r="P1358" s="5">
        <v>31.77</v>
      </c>
      <c r="Q1358" s="5">
        <v>30.81</v>
      </c>
      <c r="R1358" s="5">
        <v>30.9</v>
      </c>
      <c r="S1358" s="5">
        <v>31.01</v>
      </c>
      <c r="T1358" s="5">
        <v>32</v>
      </c>
      <c r="V1358" s="5">
        <v>30.9</v>
      </c>
      <c r="Y1358" s="5">
        <v>354288</v>
      </c>
      <c r="Z1358" s="5">
        <v>10980845.359999999</v>
      </c>
      <c r="AA1358" s="5">
        <v>803</v>
      </c>
      <c r="AB1358" s="5" t="s">
        <v>85</v>
      </c>
      <c r="AC1358" s="5">
        <v>1</v>
      </c>
    </row>
    <row r="1359" spans="1:29" x14ac:dyDescent="0.3">
      <c r="A1359" s="34">
        <v>46274</v>
      </c>
      <c r="B1359" s="34">
        <v>46274</v>
      </c>
      <c r="C1359" s="5" t="s">
        <v>78</v>
      </c>
      <c r="D1359" s="5" t="s">
        <v>79</v>
      </c>
      <c r="E1359" s="5" t="s">
        <v>80</v>
      </c>
      <c r="F1359" s="5">
        <v>11591</v>
      </c>
      <c r="G1359" s="5" t="s">
        <v>4170</v>
      </c>
      <c r="H1359" s="5" t="s">
        <v>4171</v>
      </c>
      <c r="I1359" s="5" t="s">
        <v>212</v>
      </c>
      <c r="N1359" s="5" t="s">
        <v>4172</v>
      </c>
      <c r="O1359" s="5">
        <v>266.91000000000003</v>
      </c>
      <c r="P1359" s="5">
        <v>266.91000000000003</v>
      </c>
      <c r="Q1359" s="5">
        <v>265.02999999999997</v>
      </c>
      <c r="R1359" s="5">
        <v>265.24</v>
      </c>
      <c r="S1359" s="5">
        <v>266.04000000000002</v>
      </c>
      <c r="T1359" s="5">
        <v>267.23</v>
      </c>
      <c r="V1359" s="5">
        <v>265.24</v>
      </c>
      <c r="Y1359" s="5">
        <v>180394</v>
      </c>
      <c r="Z1359" s="5">
        <v>47895772.780000001</v>
      </c>
      <c r="AA1359" s="5">
        <v>1300</v>
      </c>
      <c r="AB1359" s="5" t="s">
        <v>85</v>
      </c>
      <c r="AC1359" s="5">
        <v>1</v>
      </c>
    </row>
    <row r="1360" spans="1:29" x14ac:dyDescent="0.3">
      <c r="A1360" s="34">
        <v>46274</v>
      </c>
      <c r="B1360" s="34">
        <v>46274</v>
      </c>
      <c r="C1360" s="5" t="s">
        <v>78</v>
      </c>
      <c r="D1360" s="5" t="s">
        <v>79</v>
      </c>
      <c r="E1360" s="5" t="s">
        <v>80</v>
      </c>
      <c r="F1360" s="5">
        <v>764336</v>
      </c>
      <c r="G1360" s="5" t="s">
        <v>4173</v>
      </c>
      <c r="H1360" s="5" t="s">
        <v>4174</v>
      </c>
      <c r="I1360" s="5" t="s">
        <v>212</v>
      </c>
      <c r="N1360" s="5" t="s">
        <v>4175</v>
      </c>
      <c r="O1360" s="5">
        <v>132.16999999999999</v>
      </c>
      <c r="P1360" s="5">
        <v>134.27000000000001</v>
      </c>
      <c r="Q1360" s="5">
        <v>131.97999999999999</v>
      </c>
      <c r="R1360" s="5">
        <v>133.99</v>
      </c>
      <c r="S1360" s="5">
        <v>133.5</v>
      </c>
      <c r="T1360" s="5">
        <v>131.80000000000001</v>
      </c>
      <c r="V1360" s="5">
        <v>133.99</v>
      </c>
      <c r="Y1360" s="5">
        <v>36595</v>
      </c>
      <c r="Z1360" s="5">
        <v>4900949.78</v>
      </c>
      <c r="AA1360" s="5">
        <v>141</v>
      </c>
      <c r="AB1360" s="5" t="s">
        <v>85</v>
      </c>
      <c r="AC1360" s="5">
        <v>1</v>
      </c>
    </row>
    <row r="1361" spans="1:29" x14ac:dyDescent="0.3">
      <c r="A1361" s="34">
        <v>46274</v>
      </c>
      <c r="B1361" s="34">
        <v>46274</v>
      </c>
      <c r="C1361" s="5" t="s">
        <v>78</v>
      </c>
      <c r="D1361" s="5" t="s">
        <v>79</v>
      </c>
      <c r="E1361" s="5" t="s">
        <v>80</v>
      </c>
      <c r="F1361" s="5">
        <v>12108</v>
      </c>
      <c r="G1361" s="5" t="s">
        <v>4176</v>
      </c>
      <c r="H1361" s="5" t="s">
        <v>4177</v>
      </c>
      <c r="I1361" s="5" t="s">
        <v>212</v>
      </c>
      <c r="N1361" s="5" t="s">
        <v>4178</v>
      </c>
      <c r="O1361" s="5">
        <v>28.04</v>
      </c>
      <c r="P1361" s="5">
        <v>28.04</v>
      </c>
      <c r="Q1361" s="5">
        <v>27.65</v>
      </c>
      <c r="R1361" s="5">
        <v>27.89</v>
      </c>
      <c r="S1361" s="5">
        <v>27.99</v>
      </c>
      <c r="T1361" s="5">
        <v>28.04</v>
      </c>
      <c r="V1361" s="5">
        <v>27.89</v>
      </c>
      <c r="Y1361" s="5">
        <v>69478</v>
      </c>
      <c r="Z1361" s="5">
        <v>1937564.47</v>
      </c>
      <c r="AA1361" s="5">
        <v>317</v>
      </c>
      <c r="AB1361" s="5" t="s">
        <v>85</v>
      </c>
      <c r="AC1361" s="5">
        <v>1</v>
      </c>
    </row>
    <row r="1362" spans="1:29" x14ac:dyDescent="0.3">
      <c r="A1362" s="34">
        <v>46274</v>
      </c>
      <c r="B1362" s="34">
        <v>46274</v>
      </c>
      <c r="C1362" s="5" t="s">
        <v>78</v>
      </c>
      <c r="D1362" s="5" t="s">
        <v>79</v>
      </c>
      <c r="E1362" s="5" t="s">
        <v>80</v>
      </c>
      <c r="F1362" s="5">
        <v>11255</v>
      </c>
      <c r="G1362" s="5" t="s">
        <v>4179</v>
      </c>
      <c r="H1362" s="5" t="s">
        <v>4180</v>
      </c>
      <c r="I1362" s="5" t="s">
        <v>212</v>
      </c>
      <c r="N1362" s="5" t="s">
        <v>4181</v>
      </c>
      <c r="O1362" s="5">
        <v>57.96</v>
      </c>
      <c r="P1362" s="5">
        <v>57.96</v>
      </c>
      <c r="Q1362" s="5">
        <v>57.63</v>
      </c>
      <c r="R1362" s="5">
        <v>57.72</v>
      </c>
      <c r="S1362" s="5">
        <v>57.7</v>
      </c>
      <c r="T1362" s="5">
        <v>58.25</v>
      </c>
      <c r="V1362" s="5">
        <v>57.72</v>
      </c>
      <c r="Y1362" s="5">
        <v>5316</v>
      </c>
      <c r="Z1362" s="5">
        <v>307434.23</v>
      </c>
      <c r="AA1362" s="5">
        <v>134</v>
      </c>
      <c r="AB1362" s="5" t="s">
        <v>85</v>
      </c>
      <c r="AC1362" s="5">
        <v>1</v>
      </c>
    </row>
    <row r="1363" spans="1:29" x14ac:dyDescent="0.3">
      <c r="A1363" s="34">
        <v>46274</v>
      </c>
      <c r="B1363" s="34">
        <v>46274</v>
      </c>
      <c r="C1363" s="5" t="s">
        <v>78</v>
      </c>
      <c r="D1363" s="5" t="s">
        <v>79</v>
      </c>
      <c r="E1363" s="5" t="s">
        <v>80</v>
      </c>
      <c r="F1363" s="5">
        <v>11593</v>
      </c>
      <c r="G1363" s="5" t="s">
        <v>4182</v>
      </c>
      <c r="H1363" s="5" t="s">
        <v>4183</v>
      </c>
      <c r="I1363" s="5" t="s">
        <v>212</v>
      </c>
      <c r="N1363" s="5" t="s">
        <v>4184</v>
      </c>
      <c r="O1363" s="5">
        <v>88.13</v>
      </c>
      <c r="P1363" s="5">
        <v>88.13</v>
      </c>
      <c r="Q1363" s="5">
        <v>85.01</v>
      </c>
      <c r="R1363" s="5">
        <v>85.46</v>
      </c>
      <c r="S1363" s="5">
        <v>85.46</v>
      </c>
      <c r="T1363" s="5">
        <v>85.99</v>
      </c>
      <c r="V1363" s="5">
        <v>85.51</v>
      </c>
      <c r="Y1363" s="5">
        <v>131101</v>
      </c>
      <c r="Z1363" s="5">
        <v>11182343.49</v>
      </c>
      <c r="AA1363" s="5">
        <v>1015</v>
      </c>
      <c r="AB1363" s="5" t="s">
        <v>85</v>
      </c>
      <c r="AC1363" s="5">
        <v>1</v>
      </c>
    </row>
    <row r="1364" spans="1:29" x14ac:dyDescent="0.3">
      <c r="A1364" s="34">
        <v>46274</v>
      </c>
      <c r="B1364" s="34">
        <v>46274</v>
      </c>
      <c r="C1364" s="5" t="s">
        <v>78</v>
      </c>
      <c r="D1364" s="5" t="s">
        <v>79</v>
      </c>
      <c r="E1364" s="5" t="s">
        <v>80</v>
      </c>
      <c r="F1364" s="5">
        <v>10876</v>
      </c>
      <c r="G1364" s="5" t="s">
        <v>4185</v>
      </c>
      <c r="H1364" s="5" t="s">
        <v>4186</v>
      </c>
      <c r="I1364" s="5" t="s">
        <v>212</v>
      </c>
      <c r="N1364" s="5" t="s">
        <v>4187</v>
      </c>
      <c r="O1364" s="5">
        <v>221.31</v>
      </c>
      <c r="P1364" s="5">
        <v>223.65</v>
      </c>
      <c r="Q1364" s="5">
        <v>221.31</v>
      </c>
      <c r="R1364" s="5">
        <v>222.54</v>
      </c>
      <c r="S1364" s="5">
        <v>222.37</v>
      </c>
      <c r="T1364" s="5">
        <v>221.31</v>
      </c>
      <c r="V1364" s="5">
        <v>222.54</v>
      </c>
      <c r="Y1364" s="5">
        <v>1537585</v>
      </c>
      <c r="Z1364" s="5">
        <v>342339986.14999998</v>
      </c>
      <c r="AA1364" s="5">
        <v>7055</v>
      </c>
      <c r="AB1364" s="5" t="s">
        <v>85</v>
      </c>
      <c r="AC1364" s="5">
        <v>1</v>
      </c>
    </row>
    <row r="1365" spans="1:29" x14ac:dyDescent="0.3">
      <c r="A1365" s="34">
        <v>46274</v>
      </c>
      <c r="B1365" s="34">
        <v>46274</v>
      </c>
      <c r="C1365" s="5" t="s">
        <v>78</v>
      </c>
      <c r="D1365" s="5" t="s">
        <v>79</v>
      </c>
      <c r="E1365" s="5" t="s">
        <v>80</v>
      </c>
      <c r="F1365" s="5">
        <v>14233</v>
      </c>
      <c r="G1365" s="5" t="s">
        <v>4188</v>
      </c>
      <c r="H1365" s="5" t="s">
        <v>4189</v>
      </c>
      <c r="I1365" s="5" t="s">
        <v>212</v>
      </c>
      <c r="N1365" s="5" t="s">
        <v>4190</v>
      </c>
      <c r="O1365" s="5">
        <v>187.12</v>
      </c>
      <c r="P1365" s="5">
        <v>187.12</v>
      </c>
      <c r="Q1365" s="5">
        <v>185.01</v>
      </c>
      <c r="R1365" s="5">
        <v>185.46</v>
      </c>
      <c r="S1365" s="5">
        <v>185.35</v>
      </c>
      <c r="T1365" s="5">
        <v>186.57</v>
      </c>
      <c r="V1365" s="5">
        <v>185.46</v>
      </c>
      <c r="Y1365" s="5">
        <v>1166407</v>
      </c>
      <c r="Z1365" s="5">
        <v>216930317.88999999</v>
      </c>
      <c r="AA1365" s="5">
        <v>11758</v>
      </c>
      <c r="AB1365" s="5" t="s">
        <v>85</v>
      </c>
      <c r="AC1365" s="5">
        <v>1</v>
      </c>
    </row>
    <row r="1366" spans="1:29" x14ac:dyDescent="0.3">
      <c r="A1366" s="34">
        <v>46274</v>
      </c>
      <c r="B1366" s="34">
        <v>46274</v>
      </c>
      <c r="C1366" s="5" t="s">
        <v>78</v>
      </c>
      <c r="D1366" s="5" t="s">
        <v>79</v>
      </c>
      <c r="E1366" s="5" t="s">
        <v>80</v>
      </c>
      <c r="F1366" s="5">
        <v>11260</v>
      </c>
      <c r="G1366" s="5" t="s">
        <v>4191</v>
      </c>
      <c r="H1366" s="5" t="s">
        <v>4192</v>
      </c>
      <c r="I1366" s="5" t="s">
        <v>212</v>
      </c>
      <c r="N1366" s="5" t="s">
        <v>4193</v>
      </c>
      <c r="O1366" s="5">
        <v>123.19</v>
      </c>
      <c r="P1366" s="5">
        <v>128</v>
      </c>
      <c r="Q1366" s="5">
        <v>122.61</v>
      </c>
      <c r="R1366" s="5">
        <v>122.89</v>
      </c>
      <c r="S1366" s="5">
        <v>123.12</v>
      </c>
      <c r="T1366" s="5">
        <v>123.92</v>
      </c>
      <c r="V1366" s="5">
        <v>122.9</v>
      </c>
      <c r="Y1366" s="5">
        <v>12597</v>
      </c>
      <c r="Z1366" s="5">
        <v>1549098.92</v>
      </c>
      <c r="AA1366" s="5">
        <v>131</v>
      </c>
      <c r="AB1366" s="5" t="s">
        <v>85</v>
      </c>
      <c r="AC1366" s="5">
        <v>1</v>
      </c>
    </row>
    <row r="1367" spans="1:29" x14ac:dyDescent="0.3">
      <c r="A1367" s="34">
        <v>46274</v>
      </c>
      <c r="B1367" s="34">
        <v>46274</v>
      </c>
      <c r="C1367" s="5" t="s">
        <v>78</v>
      </c>
      <c r="D1367" s="5" t="s">
        <v>79</v>
      </c>
      <c r="E1367" s="5" t="s">
        <v>80</v>
      </c>
      <c r="F1367" s="5">
        <v>22595</v>
      </c>
      <c r="G1367" s="5" t="s">
        <v>4194</v>
      </c>
      <c r="H1367" s="5" t="s">
        <v>4195</v>
      </c>
      <c r="I1367" s="5" t="s">
        <v>212</v>
      </c>
      <c r="N1367" s="5" t="s">
        <v>4196</v>
      </c>
      <c r="O1367" s="5">
        <v>84.46</v>
      </c>
      <c r="P1367" s="5">
        <v>85.26</v>
      </c>
      <c r="Q1367" s="5">
        <v>84.26</v>
      </c>
      <c r="R1367" s="5">
        <v>84.75</v>
      </c>
      <c r="S1367" s="5">
        <v>84.26</v>
      </c>
      <c r="T1367" s="5">
        <v>84.59</v>
      </c>
      <c r="V1367" s="5">
        <v>84.75</v>
      </c>
      <c r="Y1367" s="5">
        <v>22385</v>
      </c>
      <c r="Z1367" s="5">
        <v>1901034.43</v>
      </c>
      <c r="AA1367" s="5">
        <v>182</v>
      </c>
      <c r="AB1367" s="5" t="s">
        <v>85</v>
      </c>
      <c r="AC1367" s="5">
        <v>1</v>
      </c>
    </row>
    <row r="1368" spans="1:29" x14ac:dyDescent="0.3">
      <c r="A1368" s="34">
        <v>46274</v>
      </c>
      <c r="B1368" s="34">
        <v>46274</v>
      </c>
      <c r="C1368" s="5" t="s">
        <v>78</v>
      </c>
      <c r="D1368" s="5" t="s">
        <v>79</v>
      </c>
      <c r="E1368" s="5" t="s">
        <v>80</v>
      </c>
      <c r="F1368" s="5">
        <v>19205</v>
      </c>
      <c r="G1368" s="5" t="s">
        <v>4197</v>
      </c>
      <c r="H1368" s="5" t="s">
        <v>4198</v>
      </c>
      <c r="I1368" s="5" t="s">
        <v>212</v>
      </c>
      <c r="N1368" s="5" t="s">
        <v>4199</v>
      </c>
      <c r="O1368" s="5">
        <v>7.25</v>
      </c>
      <c r="P1368" s="5">
        <v>7.25</v>
      </c>
      <c r="Q1368" s="5">
        <v>6.6</v>
      </c>
      <c r="R1368" s="5">
        <v>6.94</v>
      </c>
      <c r="S1368" s="5">
        <v>6.71</v>
      </c>
      <c r="T1368" s="5">
        <v>7.04</v>
      </c>
      <c r="V1368" s="5">
        <v>6.86</v>
      </c>
      <c r="Y1368" s="5">
        <v>23178</v>
      </c>
      <c r="Z1368" s="5">
        <v>163919.60999999999</v>
      </c>
      <c r="AA1368" s="5">
        <v>76</v>
      </c>
      <c r="AB1368" s="5" t="s">
        <v>85</v>
      </c>
      <c r="AC1368" s="5">
        <v>1</v>
      </c>
    </row>
    <row r="1369" spans="1:29" x14ac:dyDescent="0.3">
      <c r="A1369" s="34">
        <v>46274</v>
      </c>
      <c r="B1369" s="34">
        <v>46274</v>
      </c>
      <c r="C1369" s="5" t="s">
        <v>78</v>
      </c>
      <c r="D1369" s="5" t="s">
        <v>79</v>
      </c>
      <c r="E1369" s="5" t="s">
        <v>80</v>
      </c>
      <c r="F1369" s="5">
        <v>20063</v>
      </c>
      <c r="G1369" s="5" t="s">
        <v>4200</v>
      </c>
      <c r="H1369" s="5" t="s">
        <v>4201</v>
      </c>
      <c r="I1369" s="5" t="s">
        <v>212</v>
      </c>
      <c r="N1369" s="5" t="s">
        <v>4202</v>
      </c>
      <c r="O1369" s="5">
        <v>302.85000000000002</v>
      </c>
      <c r="P1369" s="5">
        <v>304</v>
      </c>
      <c r="Q1369" s="5">
        <v>297</v>
      </c>
      <c r="R1369" s="5">
        <v>299.5</v>
      </c>
      <c r="S1369" s="5">
        <v>303</v>
      </c>
      <c r="T1369" s="5">
        <v>302.60000000000002</v>
      </c>
      <c r="V1369" s="5">
        <v>300.18</v>
      </c>
      <c r="Y1369" s="5">
        <v>4355</v>
      </c>
      <c r="Z1369" s="5">
        <v>1314168.5</v>
      </c>
      <c r="AA1369" s="5">
        <v>142</v>
      </c>
      <c r="AB1369" s="5" t="s">
        <v>85</v>
      </c>
      <c r="AC1369" s="5">
        <v>1</v>
      </c>
    </row>
    <row r="1370" spans="1:29" x14ac:dyDescent="0.3">
      <c r="A1370" s="34">
        <v>46274</v>
      </c>
      <c r="B1370" s="34">
        <v>46274</v>
      </c>
      <c r="C1370" s="5" t="s">
        <v>78</v>
      </c>
      <c r="D1370" s="5" t="s">
        <v>79</v>
      </c>
      <c r="E1370" s="5" t="s">
        <v>80</v>
      </c>
      <c r="F1370" s="5">
        <v>15555</v>
      </c>
      <c r="G1370" s="5" t="s">
        <v>4203</v>
      </c>
      <c r="H1370" s="5" t="s">
        <v>17</v>
      </c>
      <c r="I1370" s="5" t="s">
        <v>212</v>
      </c>
      <c r="N1370" s="5" t="s">
        <v>4204</v>
      </c>
      <c r="O1370" s="5">
        <v>692.9</v>
      </c>
      <c r="P1370" s="5">
        <v>715.65</v>
      </c>
      <c r="Q1370" s="5">
        <v>688</v>
      </c>
      <c r="R1370" s="5">
        <v>712.55</v>
      </c>
      <c r="S1370" s="5">
        <v>712.7</v>
      </c>
      <c r="T1370" s="5">
        <v>690.6</v>
      </c>
      <c r="V1370" s="5">
        <v>712.53</v>
      </c>
      <c r="Y1370" s="5">
        <v>123628</v>
      </c>
      <c r="Z1370" s="5">
        <v>87454897.200000003</v>
      </c>
      <c r="AA1370" s="5">
        <v>13263</v>
      </c>
      <c r="AB1370" s="5" t="s">
        <v>85</v>
      </c>
      <c r="AC1370" s="5">
        <v>1</v>
      </c>
    </row>
    <row r="1371" spans="1:29" x14ac:dyDescent="0.3">
      <c r="A1371" s="34">
        <v>46274</v>
      </c>
      <c r="B1371" s="34">
        <v>46274</v>
      </c>
      <c r="C1371" s="5" t="s">
        <v>78</v>
      </c>
      <c r="D1371" s="5" t="s">
        <v>79</v>
      </c>
      <c r="E1371" s="5" t="s">
        <v>80</v>
      </c>
      <c r="F1371" s="5">
        <v>7425</v>
      </c>
      <c r="G1371" s="5" t="s">
        <v>4205</v>
      </c>
      <c r="H1371" s="5" t="s">
        <v>4206</v>
      </c>
      <c r="I1371" s="5" t="s">
        <v>212</v>
      </c>
      <c r="N1371" s="5" t="s">
        <v>4207</v>
      </c>
      <c r="O1371" s="5">
        <v>126.4</v>
      </c>
      <c r="P1371" s="5">
        <v>126.4</v>
      </c>
      <c r="Q1371" s="5">
        <v>122.05</v>
      </c>
      <c r="R1371" s="5">
        <v>122.14</v>
      </c>
      <c r="S1371" s="5">
        <v>122.5</v>
      </c>
      <c r="T1371" s="5">
        <v>122.98</v>
      </c>
      <c r="V1371" s="5">
        <v>122.14</v>
      </c>
      <c r="Y1371" s="5">
        <v>6948</v>
      </c>
      <c r="Z1371" s="5">
        <v>854752.2</v>
      </c>
      <c r="AA1371" s="5">
        <v>73</v>
      </c>
      <c r="AB1371" s="5" t="s">
        <v>85</v>
      </c>
      <c r="AC1371" s="5">
        <v>1</v>
      </c>
    </row>
    <row r="1372" spans="1:29" x14ac:dyDescent="0.3">
      <c r="A1372" s="34">
        <v>46274</v>
      </c>
      <c r="B1372" s="34">
        <v>46274</v>
      </c>
      <c r="C1372" s="5" t="s">
        <v>78</v>
      </c>
      <c r="D1372" s="5" t="s">
        <v>79</v>
      </c>
      <c r="E1372" s="5" t="s">
        <v>80</v>
      </c>
      <c r="F1372" s="5">
        <v>7368</v>
      </c>
      <c r="G1372" s="5" t="s">
        <v>4208</v>
      </c>
      <c r="H1372" s="5" t="s">
        <v>18</v>
      </c>
      <c r="I1372" s="5" t="s">
        <v>234</v>
      </c>
      <c r="N1372" s="5" t="s">
        <v>4209</v>
      </c>
      <c r="O1372" s="5">
        <v>257</v>
      </c>
      <c r="P1372" s="5">
        <v>271.5</v>
      </c>
      <c r="Q1372" s="5">
        <v>255</v>
      </c>
      <c r="R1372" s="5">
        <v>262.75</v>
      </c>
      <c r="S1372" s="5">
        <v>263.10000000000002</v>
      </c>
      <c r="T1372" s="5">
        <v>258.60000000000002</v>
      </c>
      <c r="V1372" s="5">
        <v>262.82</v>
      </c>
      <c r="Y1372" s="5">
        <v>3289030</v>
      </c>
      <c r="Z1372" s="5">
        <v>882384169.10000002</v>
      </c>
      <c r="AA1372" s="5">
        <v>25665</v>
      </c>
      <c r="AB1372" s="5" t="s">
        <v>85</v>
      </c>
      <c r="AC1372" s="5">
        <v>1</v>
      </c>
    </row>
    <row r="1373" spans="1:29" x14ac:dyDescent="0.3">
      <c r="A1373" s="34">
        <v>46274</v>
      </c>
      <c r="B1373" s="34">
        <v>46274</v>
      </c>
      <c r="C1373" s="5" t="s">
        <v>78</v>
      </c>
      <c r="D1373" s="5" t="s">
        <v>79</v>
      </c>
      <c r="E1373" s="5" t="s">
        <v>80</v>
      </c>
      <c r="F1373" s="5">
        <v>2316</v>
      </c>
      <c r="G1373" s="5" t="s">
        <v>4210</v>
      </c>
      <c r="H1373" s="5" t="s">
        <v>4211</v>
      </c>
      <c r="I1373" s="5" t="s">
        <v>212</v>
      </c>
      <c r="N1373" s="5" t="s">
        <v>4212</v>
      </c>
      <c r="O1373" s="5">
        <v>160.19</v>
      </c>
      <c r="P1373" s="5">
        <v>160.5</v>
      </c>
      <c r="Q1373" s="5">
        <v>159.49</v>
      </c>
      <c r="R1373" s="5">
        <v>159.86000000000001</v>
      </c>
      <c r="S1373" s="5">
        <v>159.9</v>
      </c>
      <c r="T1373" s="5">
        <v>159.72</v>
      </c>
      <c r="V1373" s="5">
        <v>159.82</v>
      </c>
      <c r="Y1373" s="5">
        <v>326934</v>
      </c>
      <c r="Z1373" s="5">
        <v>52264265.159999996</v>
      </c>
      <c r="AA1373" s="5">
        <v>2568</v>
      </c>
      <c r="AB1373" s="5" t="s">
        <v>85</v>
      </c>
      <c r="AC1373" s="5">
        <v>1</v>
      </c>
    </row>
    <row r="1374" spans="1:29" x14ac:dyDescent="0.3">
      <c r="A1374" s="34">
        <v>46274</v>
      </c>
      <c r="B1374" s="34">
        <v>46274</v>
      </c>
      <c r="C1374" s="5" t="s">
        <v>78</v>
      </c>
      <c r="D1374" s="5" t="s">
        <v>79</v>
      </c>
      <c r="E1374" s="5" t="s">
        <v>80</v>
      </c>
      <c r="F1374" s="5">
        <v>701</v>
      </c>
      <c r="G1374" s="5" t="s">
        <v>4213</v>
      </c>
      <c r="H1374" s="5" t="s">
        <v>4214</v>
      </c>
      <c r="I1374" s="5" t="s">
        <v>212</v>
      </c>
      <c r="N1374" s="5" t="s">
        <v>4215</v>
      </c>
      <c r="O1374" s="5">
        <v>124.02</v>
      </c>
      <c r="P1374" s="5">
        <v>125.4</v>
      </c>
      <c r="Q1374" s="5">
        <v>122.15</v>
      </c>
      <c r="R1374" s="5">
        <v>123.18</v>
      </c>
      <c r="S1374" s="5">
        <v>123.3</v>
      </c>
      <c r="T1374" s="5">
        <v>124.41</v>
      </c>
      <c r="V1374" s="5">
        <v>123.19</v>
      </c>
      <c r="Y1374" s="5">
        <v>310633</v>
      </c>
      <c r="Z1374" s="5">
        <v>38333885.200000003</v>
      </c>
      <c r="AA1374" s="5">
        <v>2594</v>
      </c>
      <c r="AB1374" s="5" t="s">
        <v>85</v>
      </c>
      <c r="AC1374" s="5">
        <v>1</v>
      </c>
    </row>
    <row r="1375" spans="1:29" x14ac:dyDescent="0.3">
      <c r="A1375" s="34">
        <v>46274</v>
      </c>
      <c r="B1375" s="34">
        <v>46274</v>
      </c>
      <c r="C1375" s="5" t="s">
        <v>78</v>
      </c>
      <c r="D1375" s="5" t="s">
        <v>79</v>
      </c>
      <c r="E1375" s="5" t="s">
        <v>80</v>
      </c>
      <c r="F1375" s="5">
        <v>2614</v>
      </c>
      <c r="G1375" s="5" t="s">
        <v>4216</v>
      </c>
      <c r="H1375" s="5" t="s">
        <v>4217</v>
      </c>
      <c r="I1375" s="5" t="s">
        <v>212</v>
      </c>
      <c r="N1375" s="5" t="s">
        <v>4218</v>
      </c>
      <c r="O1375" s="5">
        <v>173.62</v>
      </c>
      <c r="P1375" s="5">
        <v>174.97</v>
      </c>
      <c r="Q1375" s="5">
        <v>170.51</v>
      </c>
      <c r="R1375" s="5">
        <v>173.93</v>
      </c>
      <c r="S1375" s="5">
        <v>173.99</v>
      </c>
      <c r="T1375" s="5">
        <v>172.8</v>
      </c>
      <c r="V1375" s="5">
        <v>173.93</v>
      </c>
      <c r="Y1375" s="5">
        <v>31477</v>
      </c>
      <c r="Z1375" s="5">
        <v>5457004.2300000004</v>
      </c>
      <c r="AA1375" s="5">
        <v>1070</v>
      </c>
      <c r="AB1375" s="5" t="s">
        <v>85</v>
      </c>
      <c r="AC1375" s="5">
        <v>1</v>
      </c>
    </row>
    <row r="1376" spans="1:29" x14ac:dyDescent="0.3">
      <c r="A1376" s="34">
        <v>46274</v>
      </c>
      <c r="B1376" s="34">
        <v>46274</v>
      </c>
      <c r="C1376" s="5" t="s">
        <v>78</v>
      </c>
      <c r="D1376" s="5" t="s">
        <v>79</v>
      </c>
      <c r="E1376" s="5" t="s">
        <v>80</v>
      </c>
      <c r="F1376" s="5">
        <v>4598</v>
      </c>
      <c r="G1376" s="5" t="s">
        <v>4219</v>
      </c>
      <c r="H1376" s="5" t="s">
        <v>21</v>
      </c>
      <c r="I1376" s="5" t="s">
        <v>212</v>
      </c>
      <c r="N1376" s="5" t="s">
        <v>4220</v>
      </c>
      <c r="O1376" s="5">
        <v>382.1</v>
      </c>
      <c r="P1376" s="5">
        <v>383.3</v>
      </c>
      <c r="Q1376" s="5">
        <v>377</v>
      </c>
      <c r="R1376" s="5">
        <v>380.1</v>
      </c>
      <c r="S1376" s="5">
        <v>380</v>
      </c>
      <c r="T1376" s="5">
        <v>382.15</v>
      </c>
      <c r="V1376" s="5">
        <v>380.09</v>
      </c>
      <c r="Y1376" s="5">
        <v>279635</v>
      </c>
      <c r="Z1376" s="5">
        <v>106228038.65000001</v>
      </c>
      <c r="AA1376" s="5">
        <v>5844</v>
      </c>
      <c r="AB1376" s="5" t="s">
        <v>85</v>
      </c>
      <c r="AC1376" s="5">
        <v>1</v>
      </c>
    </row>
    <row r="1377" spans="1:29" x14ac:dyDescent="0.3">
      <c r="A1377" s="34">
        <v>46274</v>
      </c>
      <c r="B1377" s="34">
        <v>46274</v>
      </c>
      <c r="C1377" s="5" t="s">
        <v>78</v>
      </c>
      <c r="D1377" s="5" t="s">
        <v>79</v>
      </c>
      <c r="E1377" s="5" t="s">
        <v>80</v>
      </c>
      <c r="F1377" s="5">
        <v>1348</v>
      </c>
      <c r="G1377" s="5" t="s">
        <v>4221</v>
      </c>
      <c r="H1377" s="5" t="s">
        <v>4222</v>
      </c>
      <c r="I1377" s="5" t="s">
        <v>212</v>
      </c>
      <c r="N1377" s="5" t="s">
        <v>4223</v>
      </c>
      <c r="O1377" s="5">
        <v>5266.5</v>
      </c>
      <c r="P1377" s="5">
        <v>5297</v>
      </c>
      <c r="Q1377" s="5">
        <v>5205.5</v>
      </c>
      <c r="R1377" s="5">
        <v>5218</v>
      </c>
      <c r="S1377" s="5">
        <v>5218</v>
      </c>
      <c r="T1377" s="5">
        <v>5333.5</v>
      </c>
      <c r="V1377" s="5">
        <v>5218.03</v>
      </c>
      <c r="Y1377" s="5">
        <v>532099</v>
      </c>
      <c r="Z1377" s="5">
        <v>2788908287.5</v>
      </c>
      <c r="AA1377" s="5">
        <v>49014</v>
      </c>
      <c r="AB1377" s="5" t="s">
        <v>85</v>
      </c>
      <c r="AC1377" s="5">
        <v>1</v>
      </c>
    </row>
    <row r="1378" spans="1:29" x14ac:dyDescent="0.3">
      <c r="A1378" s="34">
        <v>46274</v>
      </c>
      <c r="B1378" s="34">
        <v>46274</v>
      </c>
      <c r="C1378" s="5" t="s">
        <v>78</v>
      </c>
      <c r="D1378" s="5" t="s">
        <v>79</v>
      </c>
      <c r="E1378" s="5" t="s">
        <v>80</v>
      </c>
      <c r="F1378" s="5">
        <v>7048</v>
      </c>
      <c r="G1378" s="5" t="s">
        <v>4224</v>
      </c>
      <c r="H1378" s="5" t="s">
        <v>4225</v>
      </c>
      <c r="I1378" s="5" t="s">
        <v>212</v>
      </c>
      <c r="N1378" s="5" t="s">
        <v>4226</v>
      </c>
      <c r="O1378" s="5">
        <v>2316.9</v>
      </c>
      <c r="P1378" s="5">
        <v>2360</v>
      </c>
      <c r="Q1378" s="5">
        <v>2257.4</v>
      </c>
      <c r="R1378" s="5">
        <v>2322.6</v>
      </c>
      <c r="S1378" s="5">
        <v>2330</v>
      </c>
      <c r="T1378" s="5">
        <v>2318.3000000000002</v>
      </c>
      <c r="V1378" s="5">
        <v>2322.2800000000002</v>
      </c>
      <c r="Y1378" s="5">
        <v>3779</v>
      </c>
      <c r="Z1378" s="5">
        <v>8665198.9000000004</v>
      </c>
      <c r="AA1378" s="5">
        <v>778</v>
      </c>
      <c r="AB1378" s="5" t="s">
        <v>85</v>
      </c>
      <c r="AC1378" s="5">
        <v>1</v>
      </c>
    </row>
    <row r="1379" spans="1:29" x14ac:dyDescent="0.3">
      <c r="A1379" s="34">
        <v>46274</v>
      </c>
      <c r="B1379" s="34">
        <v>46274</v>
      </c>
      <c r="C1379" s="5" t="s">
        <v>78</v>
      </c>
      <c r="D1379" s="5" t="s">
        <v>79</v>
      </c>
      <c r="E1379" s="5" t="s">
        <v>80</v>
      </c>
      <c r="F1379" s="5">
        <v>27008</v>
      </c>
      <c r="G1379" s="5" t="s">
        <v>4227</v>
      </c>
      <c r="H1379" s="5" t="s">
        <v>4228</v>
      </c>
      <c r="I1379" s="5" t="s">
        <v>212</v>
      </c>
      <c r="N1379" s="5" t="s">
        <v>4229</v>
      </c>
      <c r="O1379" s="5">
        <v>160.80000000000001</v>
      </c>
      <c r="P1379" s="5">
        <v>160.80000000000001</v>
      </c>
      <c r="Q1379" s="5">
        <v>156.15</v>
      </c>
      <c r="R1379" s="5">
        <v>156.24</v>
      </c>
      <c r="S1379" s="5">
        <v>156.15</v>
      </c>
      <c r="T1379" s="5">
        <v>157.34</v>
      </c>
      <c r="V1379" s="5">
        <v>156.24</v>
      </c>
      <c r="Y1379" s="5">
        <v>10694</v>
      </c>
      <c r="Z1379" s="5">
        <v>1675588.85</v>
      </c>
      <c r="AA1379" s="5">
        <v>95</v>
      </c>
      <c r="AB1379" s="5" t="s">
        <v>85</v>
      </c>
      <c r="AC1379" s="5">
        <v>1</v>
      </c>
    </row>
    <row r="1380" spans="1:29" x14ac:dyDescent="0.3">
      <c r="A1380" s="34">
        <v>46274</v>
      </c>
      <c r="B1380" s="34">
        <v>46274</v>
      </c>
      <c r="C1380" s="5" t="s">
        <v>78</v>
      </c>
      <c r="D1380" s="5" t="s">
        <v>79</v>
      </c>
      <c r="E1380" s="5" t="s">
        <v>80</v>
      </c>
      <c r="F1380" s="5">
        <v>750116</v>
      </c>
      <c r="G1380" s="5" t="s">
        <v>4230</v>
      </c>
      <c r="H1380" s="5" t="s">
        <v>4231</v>
      </c>
      <c r="I1380" s="5" t="s">
        <v>234</v>
      </c>
      <c r="N1380" s="5" t="s">
        <v>4232</v>
      </c>
      <c r="O1380" s="5">
        <v>63.5</v>
      </c>
      <c r="P1380" s="5">
        <v>67.42</v>
      </c>
      <c r="Q1380" s="5">
        <v>62.5</v>
      </c>
      <c r="R1380" s="5">
        <v>67.42</v>
      </c>
      <c r="S1380" s="5">
        <v>67.42</v>
      </c>
      <c r="T1380" s="5">
        <v>64.209999999999994</v>
      </c>
      <c r="V1380" s="5">
        <v>67.42</v>
      </c>
      <c r="Y1380" s="5">
        <v>226751</v>
      </c>
      <c r="Z1380" s="5">
        <v>15104690.76</v>
      </c>
      <c r="AA1380" s="5">
        <v>610</v>
      </c>
      <c r="AB1380" s="5" t="s">
        <v>85</v>
      </c>
      <c r="AC1380" s="5">
        <v>1</v>
      </c>
    </row>
    <row r="1381" spans="1:29" x14ac:dyDescent="0.3">
      <c r="A1381" s="34">
        <v>46274</v>
      </c>
      <c r="B1381" s="34">
        <v>46274</v>
      </c>
      <c r="C1381" s="5" t="s">
        <v>78</v>
      </c>
      <c r="D1381" s="5" t="s">
        <v>79</v>
      </c>
      <c r="E1381" s="5" t="s">
        <v>80</v>
      </c>
      <c r="F1381" s="5">
        <v>29666</v>
      </c>
      <c r="G1381" s="5" t="s">
        <v>4233</v>
      </c>
      <c r="H1381" s="5" t="s">
        <v>4234</v>
      </c>
      <c r="I1381" s="5" t="s">
        <v>212</v>
      </c>
      <c r="N1381" s="5" t="s">
        <v>4235</v>
      </c>
      <c r="O1381" s="5">
        <v>517.75</v>
      </c>
      <c r="P1381" s="5">
        <v>518.45000000000005</v>
      </c>
      <c r="Q1381" s="5">
        <v>506.55</v>
      </c>
      <c r="R1381" s="5">
        <v>509.9</v>
      </c>
      <c r="S1381" s="5">
        <v>511</v>
      </c>
      <c r="T1381" s="5">
        <v>518.85</v>
      </c>
      <c r="V1381" s="5">
        <v>509.97</v>
      </c>
      <c r="Y1381" s="5">
        <v>138830</v>
      </c>
      <c r="Z1381" s="5">
        <v>71235113.5</v>
      </c>
      <c r="AA1381" s="5">
        <v>6686</v>
      </c>
      <c r="AB1381" s="5" t="s">
        <v>85</v>
      </c>
      <c r="AC1381" s="5">
        <v>1</v>
      </c>
    </row>
    <row r="1382" spans="1:29" x14ac:dyDescent="0.3">
      <c r="A1382" s="34">
        <v>46274</v>
      </c>
      <c r="B1382" s="34">
        <v>46274</v>
      </c>
      <c r="C1382" s="5" t="s">
        <v>78</v>
      </c>
      <c r="D1382" s="5" t="s">
        <v>79</v>
      </c>
      <c r="E1382" s="5" t="s">
        <v>80</v>
      </c>
      <c r="F1382" s="5">
        <v>21954</v>
      </c>
      <c r="G1382" s="5" t="s">
        <v>4236</v>
      </c>
      <c r="H1382" s="5" t="s">
        <v>4237</v>
      </c>
      <c r="I1382" s="5" t="s">
        <v>234</v>
      </c>
      <c r="N1382" s="5" t="s">
        <v>4238</v>
      </c>
      <c r="O1382" s="5">
        <v>249.5</v>
      </c>
      <c r="P1382" s="5">
        <v>254</v>
      </c>
      <c r="Q1382" s="5">
        <v>240.65</v>
      </c>
      <c r="R1382" s="5">
        <v>245.43</v>
      </c>
      <c r="S1382" s="5">
        <v>246</v>
      </c>
      <c r="T1382" s="5">
        <v>250.76</v>
      </c>
      <c r="V1382" s="5">
        <v>245.46</v>
      </c>
      <c r="Y1382" s="5">
        <v>6833419</v>
      </c>
      <c r="Z1382" s="5">
        <v>1694923423.0999999</v>
      </c>
      <c r="AA1382" s="5">
        <v>36223</v>
      </c>
      <c r="AB1382" s="5" t="s">
        <v>85</v>
      </c>
      <c r="AC1382" s="5">
        <v>1</v>
      </c>
    </row>
    <row r="1383" spans="1:29" x14ac:dyDescent="0.3">
      <c r="A1383" s="34">
        <v>46274</v>
      </c>
      <c r="B1383" s="34">
        <v>46274</v>
      </c>
      <c r="C1383" s="5" t="s">
        <v>78</v>
      </c>
      <c r="D1383" s="5" t="s">
        <v>79</v>
      </c>
      <c r="E1383" s="5" t="s">
        <v>80</v>
      </c>
      <c r="F1383" s="5">
        <v>25622</v>
      </c>
      <c r="G1383" s="5" t="s">
        <v>4239</v>
      </c>
      <c r="H1383" s="5" t="s">
        <v>4240</v>
      </c>
      <c r="I1383" s="5" t="s">
        <v>580</v>
      </c>
      <c r="N1383" s="5" t="s">
        <v>4241</v>
      </c>
      <c r="O1383" s="5">
        <v>104325</v>
      </c>
      <c r="P1383" s="5">
        <v>104325</v>
      </c>
      <c r="Q1383" s="5">
        <v>104325</v>
      </c>
      <c r="R1383" s="5">
        <v>104325</v>
      </c>
      <c r="S1383" s="5">
        <v>104325</v>
      </c>
      <c r="T1383" s="5">
        <v>100000</v>
      </c>
      <c r="V1383" s="5">
        <v>104325</v>
      </c>
      <c r="Y1383" s="5">
        <v>1</v>
      </c>
      <c r="Z1383" s="5">
        <v>104325</v>
      </c>
      <c r="AA1383" s="5">
        <v>1</v>
      </c>
      <c r="AB1383" s="5" t="s">
        <v>85</v>
      </c>
      <c r="AC1383" s="5">
        <v>1</v>
      </c>
    </row>
    <row r="1384" spans="1:29" x14ac:dyDescent="0.3">
      <c r="A1384" s="34">
        <v>46274</v>
      </c>
      <c r="B1384" s="34">
        <v>46274</v>
      </c>
      <c r="C1384" s="5" t="s">
        <v>78</v>
      </c>
      <c r="D1384" s="5" t="s">
        <v>79</v>
      </c>
      <c r="E1384" s="5" t="s">
        <v>80</v>
      </c>
      <c r="F1384" s="5">
        <v>18794</v>
      </c>
      <c r="G1384" s="5" t="s">
        <v>4242</v>
      </c>
      <c r="H1384" s="5" t="s">
        <v>4243</v>
      </c>
      <c r="I1384" s="5" t="s">
        <v>313</v>
      </c>
      <c r="N1384" s="5" t="s">
        <v>4244</v>
      </c>
      <c r="O1384" s="5">
        <v>120</v>
      </c>
      <c r="P1384" s="5">
        <v>121.95</v>
      </c>
      <c r="Q1384" s="5">
        <v>119.25</v>
      </c>
      <c r="R1384" s="5">
        <v>119.25</v>
      </c>
      <c r="S1384" s="5">
        <v>119.25</v>
      </c>
      <c r="T1384" s="5">
        <v>121.1</v>
      </c>
      <c r="V1384" s="5">
        <v>119.25</v>
      </c>
      <c r="Y1384" s="5">
        <v>7200</v>
      </c>
      <c r="Z1384" s="5">
        <v>867720</v>
      </c>
      <c r="AA1384" s="5">
        <v>9</v>
      </c>
      <c r="AB1384" s="5" t="s">
        <v>85</v>
      </c>
      <c r="AC1384" s="5">
        <v>800</v>
      </c>
    </row>
    <row r="1385" spans="1:29" x14ac:dyDescent="0.3">
      <c r="A1385" s="34">
        <v>46274</v>
      </c>
      <c r="B1385" s="34">
        <v>46274</v>
      </c>
      <c r="C1385" s="5" t="s">
        <v>78</v>
      </c>
      <c r="D1385" s="5" t="s">
        <v>79</v>
      </c>
      <c r="E1385" s="5" t="s">
        <v>80</v>
      </c>
      <c r="F1385" s="5">
        <v>2868</v>
      </c>
      <c r="G1385" s="5" t="s">
        <v>4245</v>
      </c>
      <c r="H1385" s="5" t="s">
        <v>4246</v>
      </c>
      <c r="I1385" s="5" t="s">
        <v>212</v>
      </c>
      <c r="N1385" s="5" t="s">
        <v>4247</v>
      </c>
      <c r="O1385" s="5">
        <v>75</v>
      </c>
      <c r="P1385" s="5">
        <v>77.14</v>
      </c>
      <c r="Q1385" s="5">
        <v>74.58</v>
      </c>
      <c r="R1385" s="5">
        <v>76.790000000000006</v>
      </c>
      <c r="S1385" s="5">
        <v>76.8</v>
      </c>
      <c r="T1385" s="5">
        <v>75.400000000000006</v>
      </c>
      <c r="V1385" s="5">
        <v>76.790000000000006</v>
      </c>
      <c r="Y1385" s="5">
        <v>1108418</v>
      </c>
      <c r="Z1385" s="5">
        <v>84538544.120000005</v>
      </c>
      <c r="AA1385" s="5">
        <v>7155</v>
      </c>
      <c r="AB1385" s="5" t="s">
        <v>85</v>
      </c>
      <c r="AC1385" s="5">
        <v>1</v>
      </c>
    </row>
    <row r="1386" spans="1:29" x14ac:dyDescent="0.3">
      <c r="A1386" s="34">
        <v>46274</v>
      </c>
      <c r="B1386" s="34">
        <v>46274</v>
      </c>
      <c r="C1386" s="5" t="s">
        <v>78</v>
      </c>
      <c r="D1386" s="5" t="s">
        <v>79</v>
      </c>
      <c r="E1386" s="5" t="s">
        <v>80</v>
      </c>
      <c r="F1386" s="5">
        <v>759103</v>
      </c>
      <c r="G1386" s="5" t="s">
        <v>4248</v>
      </c>
      <c r="H1386" s="5" t="s">
        <v>4249</v>
      </c>
      <c r="I1386" s="5" t="s">
        <v>212</v>
      </c>
      <c r="N1386" s="5" t="s">
        <v>4250</v>
      </c>
      <c r="O1386" s="5">
        <v>43.25</v>
      </c>
      <c r="P1386" s="5">
        <v>43.79</v>
      </c>
      <c r="Q1386" s="5">
        <v>43.1</v>
      </c>
      <c r="R1386" s="5">
        <v>43.28</v>
      </c>
      <c r="S1386" s="5">
        <v>43.38</v>
      </c>
      <c r="T1386" s="5">
        <v>43.7</v>
      </c>
      <c r="V1386" s="5">
        <v>43.28</v>
      </c>
      <c r="Y1386" s="5">
        <v>40711</v>
      </c>
      <c r="Z1386" s="5">
        <v>1764531</v>
      </c>
      <c r="AA1386" s="5">
        <v>724</v>
      </c>
      <c r="AB1386" s="5" t="s">
        <v>85</v>
      </c>
      <c r="AC1386" s="5">
        <v>1</v>
      </c>
    </row>
    <row r="1387" spans="1:29" x14ac:dyDescent="0.3">
      <c r="A1387" s="34">
        <v>46274</v>
      </c>
      <c r="B1387" s="34">
        <v>46274</v>
      </c>
      <c r="C1387" s="5" t="s">
        <v>78</v>
      </c>
      <c r="D1387" s="5" t="s">
        <v>79</v>
      </c>
      <c r="E1387" s="5" t="s">
        <v>80</v>
      </c>
      <c r="F1387" s="5">
        <v>9668</v>
      </c>
      <c r="G1387" s="5" t="s">
        <v>4251</v>
      </c>
      <c r="H1387" s="5" t="s">
        <v>4252</v>
      </c>
      <c r="I1387" s="5" t="s">
        <v>212</v>
      </c>
      <c r="N1387" s="5" t="s">
        <v>4253</v>
      </c>
      <c r="O1387" s="5">
        <v>245.88</v>
      </c>
      <c r="P1387" s="5">
        <v>245.9</v>
      </c>
      <c r="Q1387" s="5">
        <v>238.76</v>
      </c>
      <c r="R1387" s="5">
        <v>240.69</v>
      </c>
      <c r="S1387" s="5">
        <v>240.6</v>
      </c>
      <c r="T1387" s="5">
        <v>246.01</v>
      </c>
      <c r="V1387" s="5">
        <v>240.69</v>
      </c>
      <c r="Y1387" s="5">
        <v>1270796</v>
      </c>
      <c r="Z1387" s="5">
        <v>306786930.13999999</v>
      </c>
      <c r="AA1387" s="5">
        <v>18470</v>
      </c>
      <c r="AB1387" s="5" t="s">
        <v>85</v>
      </c>
      <c r="AC1387" s="5">
        <v>1</v>
      </c>
    </row>
    <row r="1388" spans="1:29" x14ac:dyDescent="0.3">
      <c r="A1388" s="34">
        <v>46274</v>
      </c>
      <c r="B1388" s="34">
        <v>46274</v>
      </c>
      <c r="C1388" s="5" t="s">
        <v>78</v>
      </c>
      <c r="D1388" s="5" t="s">
        <v>79</v>
      </c>
      <c r="E1388" s="5" t="s">
        <v>80</v>
      </c>
      <c r="F1388" s="5">
        <v>14627</v>
      </c>
      <c r="G1388" s="5" t="s">
        <v>4254</v>
      </c>
      <c r="H1388" s="5" t="s">
        <v>4255</v>
      </c>
      <c r="I1388" s="5" t="s">
        <v>212</v>
      </c>
      <c r="N1388" s="5" t="s">
        <v>4256</v>
      </c>
      <c r="O1388" s="5">
        <v>18.97</v>
      </c>
      <c r="P1388" s="5">
        <v>18.97</v>
      </c>
      <c r="Q1388" s="5">
        <v>18.34</v>
      </c>
      <c r="R1388" s="5">
        <v>18.440000000000001</v>
      </c>
      <c r="S1388" s="5">
        <v>18.399999999999999</v>
      </c>
      <c r="T1388" s="5">
        <v>18.649999999999999</v>
      </c>
      <c r="V1388" s="5">
        <v>18.45</v>
      </c>
      <c r="Y1388" s="5">
        <v>52156</v>
      </c>
      <c r="Z1388" s="5">
        <v>967985.73</v>
      </c>
      <c r="AA1388" s="5">
        <v>268</v>
      </c>
      <c r="AB1388" s="5" t="s">
        <v>85</v>
      </c>
      <c r="AC1388" s="5">
        <v>1</v>
      </c>
    </row>
    <row r="1389" spans="1:29" x14ac:dyDescent="0.3">
      <c r="A1389" s="34">
        <v>46274</v>
      </c>
      <c r="B1389" s="34">
        <v>46274</v>
      </c>
      <c r="C1389" s="5" t="s">
        <v>78</v>
      </c>
      <c r="D1389" s="5" t="s">
        <v>79</v>
      </c>
      <c r="E1389" s="5" t="s">
        <v>80</v>
      </c>
      <c r="F1389" s="5">
        <v>14334</v>
      </c>
      <c r="G1389" s="5" t="s">
        <v>4257</v>
      </c>
      <c r="H1389" s="5" t="s">
        <v>4258</v>
      </c>
      <c r="I1389" s="5" t="s">
        <v>212</v>
      </c>
      <c r="N1389" s="5" t="s">
        <v>4259</v>
      </c>
      <c r="O1389" s="5">
        <v>672</v>
      </c>
      <c r="P1389" s="5">
        <v>673</v>
      </c>
      <c r="Q1389" s="5">
        <v>661.2</v>
      </c>
      <c r="R1389" s="5">
        <v>667.05</v>
      </c>
      <c r="S1389" s="5">
        <v>667.6</v>
      </c>
      <c r="T1389" s="5">
        <v>670.65</v>
      </c>
      <c r="V1389" s="5">
        <v>666.99</v>
      </c>
      <c r="Y1389" s="5">
        <v>2178664</v>
      </c>
      <c r="Z1389" s="5">
        <v>1454277948.05</v>
      </c>
      <c r="AA1389" s="5">
        <v>29320</v>
      </c>
      <c r="AB1389" s="5" t="s">
        <v>85</v>
      </c>
      <c r="AC1389" s="5">
        <v>1</v>
      </c>
    </row>
    <row r="1390" spans="1:29" x14ac:dyDescent="0.3">
      <c r="A1390" s="34">
        <v>46274</v>
      </c>
      <c r="B1390" s="34">
        <v>46274</v>
      </c>
      <c r="C1390" s="5" t="s">
        <v>78</v>
      </c>
      <c r="D1390" s="5" t="s">
        <v>79</v>
      </c>
      <c r="E1390" s="5" t="s">
        <v>80</v>
      </c>
      <c r="F1390" s="5">
        <v>1360</v>
      </c>
      <c r="G1390" s="5" t="s">
        <v>4260</v>
      </c>
      <c r="H1390" s="5" t="s">
        <v>4261</v>
      </c>
      <c r="I1390" s="5" t="s">
        <v>212</v>
      </c>
      <c r="N1390" s="5" t="s">
        <v>4262</v>
      </c>
      <c r="O1390" s="5">
        <v>69.89</v>
      </c>
      <c r="P1390" s="5">
        <v>70.3</v>
      </c>
      <c r="Q1390" s="5">
        <v>69.239999999999995</v>
      </c>
      <c r="R1390" s="5">
        <v>69.44</v>
      </c>
      <c r="S1390" s="5">
        <v>69.75</v>
      </c>
      <c r="T1390" s="5">
        <v>69.459999999999994</v>
      </c>
      <c r="V1390" s="5">
        <v>69.44</v>
      </c>
      <c r="Y1390" s="5">
        <v>175080</v>
      </c>
      <c r="Z1390" s="5">
        <v>12205099.6</v>
      </c>
      <c r="AA1390" s="5">
        <v>2023</v>
      </c>
      <c r="AB1390" s="5" t="s">
        <v>85</v>
      </c>
      <c r="AC1390" s="5">
        <v>1</v>
      </c>
    </row>
    <row r="1391" spans="1:29" x14ac:dyDescent="0.3">
      <c r="A1391" s="34">
        <v>46274</v>
      </c>
      <c r="B1391" s="34">
        <v>46274</v>
      </c>
      <c r="C1391" s="5" t="s">
        <v>78</v>
      </c>
      <c r="D1391" s="5" t="s">
        <v>79</v>
      </c>
      <c r="E1391" s="5" t="s">
        <v>80</v>
      </c>
      <c r="F1391" s="5">
        <v>765085</v>
      </c>
      <c r="G1391" s="5" t="s">
        <v>4263</v>
      </c>
      <c r="H1391" s="5" t="s">
        <v>4264</v>
      </c>
      <c r="I1391" s="5" t="s">
        <v>212</v>
      </c>
      <c r="N1391" s="5" t="s">
        <v>4265</v>
      </c>
      <c r="O1391" s="5">
        <v>97.95</v>
      </c>
      <c r="P1391" s="5">
        <v>97.95</v>
      </c>
      <c r="Q1391" s="5">
        <v>96.35</v>
      </c>
      <c r="R1391" s="5">
        <v>97.38</v>
      </c>
      <c r="S1391" s="5">
        <v>97.53</v>
      </c>
      <c r="T1391" s="5">
        <v>97.9</v>
      </c>
      <c r="V1391" s="5">
        <v>97.65</v>
      </c>
      <c r="Y1391" s="5">
        <v>531</v>
      </c>
      <c r="Z1391" s="5">
        <v>51618.080000000002</v>
      </c>
      <c r="AA1391" s="5">
        <v>45</v>
      </c>
      <c r="AB1391" s="5" t="s">
        <v>85</v>
      </c>
      <c r="AC1391" s="5">
        <v>1</v>
      </c>
    </row>
    <row r="1392" spans="1:29" x14ac:dyDescent="0.3">
      <c r="A1392" s="34">
        <v>46274</v>
      </c>
      <c r="B1392" s="34">
        <v>46274</v>
      </c>
      <c r="C1392" s="5" t="s">
        <v>78</v>
      </c>
      <c r="D1392" s="5" t="s">
        <v>79</v>
      </c>
      <c r="E1392" s="5" t="s">
        <v>80</v>
      </c>
      <c r="F1392" s="5">
        <v>1363</v>
      </c>
      <c r="G1392" s="5" t="s">
        <v>4266</v>
      </c>
      <c r="H1392" s="5" t="s">
        <v>4267</v>
      </c>
      <c r="I1392" s="5" t="s">
        <v>212</v>
      </c>
      <c r="N1392" s="5" t="s">
        <v>4268</v>
      </c>
      <c r="O1392" s="5">
        <v>1013.9</v>
      </c>
      <c r="P1392" s="5">
        <v>1032.4000000000001</v>
      </c>
      <c r="Q1392" s="5">
        <v>1010.7</v>
      </c>
      <c r="R1392" s="5">
        <v>1026.9000000000001</v>
      </c>
      <c r="S1392" s="5">
        <v>1026.9000000000001</v>
      </c>
      <c r="T1392" s="5">
        <v>1009</v>
      </c>
      <c r="V1392" s="5">
        <v>1026.8900000000001</v>
      </c>
      <c r="Y1392" s="5">
        <v>3255790</v>
      </c>
      <c r="Z1392" s="5">
        <v>3334912716.4000001</v>
      </c>
      <c r="AA1392" s="5">
        <v>78439</v>
      </c>
      <c r="AB1392" s="5" t="s">
        <v>85</v>
      </c>
      <c r="AC1392" s="5">
        <v>1</v>
      </c>
    </row>
    <row r="1393" spans="1:29" x14ac:dyDescent="0.3">
      <c r="A1393" s="34">
        <v>46274</v>
      </c>
      <c r="B1393" s="34">
        <v>46274</v>
      </c>
      <c r="C1393" s="5" t="s">
        <v>78</v>
      </c>
      <c r="D1393" s="5" t="s">
        <v>79</v>
      </c>
      <c r="E1393" s="5" t="s">
        <v>80</v>
      </c>
      <c r="F1393" s="5">
        <v>4920</v>
      </c>
      <c r="G1393" s="5" t="s">
        <v>4269</v>
      </c>
      <c r="H1393" s="5" t="s">
        <v>4270</v>
      </c>
      <c r="I1393" s="5" t="s">
        <v>212</v>
      </c>
      <c r="N1393" s="5" t="s">
        <v>4271</v>
      </c>
      <c r="O1393" s="5">
        <v>24.74</v>
      </c>
      <c r="P1393" s="5">
        <v>24.74</v>
      </c>
      <c r="Q1393" s="5">
        <v>23.65</v>
      </c>
      <c r="R1393" s="5">
        <v>23.71</v>
      </c>
      <c r="S1393" s="5">
        <v>23.76</v>
      </c>
      <c r="T1393" s="5">
        <v>24.39</v>
      </c>
      <c r="V1393" s="5">
        <v>23.71</v>
      </c>
      <c r="Y1393" s="5">
        <v>28580</v>
      </c>
      <c r="Z1393" s="5">
        <v>683876.27</v>
      </c>
      <c r="AA1393" s="5">
        <v>308</v>
      </c>
      <c r="AB1393" s="5" t="s">
        <v>85</v>
      </c>
      <c r="AC1393" s="5">
        <v>1</v>
      </c>
    </row>
    <row r="1394" spans="1:29" x14ac:dyDescent="0.3">
      <c r="A1394" s="34">
        <v>46274</v>
      </c>
      <c r="B1394" s="34">
        <v>46274</v>
      </c>
      <c r="C1394" s="5" t="s">
        <v>78</v>
      </c>
      <c r="D1394" s="5" t="s">
        <v>79</v>
      </c>
      <c r="E1394" s="5" t="s">
        <v>80</v>
      </c>
      <c r="F1394" s="5">
        <v>11796</v>
      </c>
      <c r="G1394" s="5" t="s">
        <v>4272</v>
      </c>
      <c r="H1394" s="5" t="s">
        <v>4273</v>
      </c>
      <c r="I1394" s="5" t="s">
        <v>212</v>
      </c>
      <c r="N1394" s="5" t="s">
        <v>4274</v>
      </c>
      <c r="O1394" s="5">
        <v>121.5</v>
      </c>
      <c r="P1394" s="5">
        <v>124</v>
      </c>
      <c r="Q1394" s="5">
        <v>118.2</v>
      </c>
      <c r="R1394" s="5">
        <v>121</v>
      </c>
      <c r="S1394" s="5">
        <v>121</v>
      </c>
      <c r="T1394" s="5">
        <v>122</v>
      </c>
      <c r="V1394" s="5">
        <v>121</v>
      </c>
      <c r="Y1394" s="5">
        <v>358</v>
      </c>
      <c r="Z1394" s="5">
        <v>43505.07</v>
      </c>
      <c r="AA1394" s="5">
        <v>38</v>
      </c>
      <c r="AB1394" s="5" t="s">
        <v>85</v>
      </c>
      <c r="AC1394" s="5">
        <v>1</v>
      </c>
    </row>
    <row r="1395" spans="1:29" x14ac:dyDescent="0.3">
      <c r="A1395" s="34">
        <v>46274</v>
      </c>
      <c r="B1395" s="34">
        <v>46274</v>
      </c>
      <c r="C1395" s="5" t="s">
        <v>78</v>
      </c>
      <c r="D1395" s="5" t="s">
        <v>79</v>
      </c>
      <c r="E1395" s="5" t="s">
        <v>80</v>
      </c>
      <c r="F1395" s="5">
        <v>14712</v>
      </c>
      <c r="G1395" s="5" t="s">
        <v>4275</v>
      </c>
      <c r="H1395" s="5" t="s">
        <v>4276</v>
      </c>
      <c r="I1395" s="5" t="s">
        <v>212</v>
      </c>
      <c r="N1395" s="5" t="s">
        <v>4277</v>
      </c>
      <c r="O1395" s="5">
        <v>387</v>
      </c>
      <c r="P1395" s="5">
        <v>393.9</v>
      </c>
      <c r="Q1395" s="5">
        <v>381</v>
      </c>
      <c r="R1395" s="5">
        <v>384.75</v>
      </c>
      <c r="S1395" s="5">
        <v>385</v>
      </c>
      <c r="T1395" s="5">
        <v>387.95</v>
      </c>
      <c r="V1395" s="5">
        <v>384.74</v>
      </c>
      <c r="Y1395" s="5">
        <v>11159</v>
      </c>
      <c r="Z1395" s="5">
        <v>4314132.95</v>
      </c>
      <c r="AA1395" s="5">
        <v>1022</v>
      </c>
      <c r="AB1395" s="5" t="s">
        <v>85</v>
      </c>
      <c r="AC1395" s="5">
        <v>1</v>
      </c>
    </row>
    <row r="1396" spans="1:29" x14ac:dyDescent="0.3">
      <c r="A1396" s="34">
        <v>46274</v>
      </c>
      <c r="B1396" s="34">
        <v>46274</v>
      </c>
      <c r="C1396" s="5" t="s">
        <v>78</v>
      </c>
      <c r="D1396" s="5" t="s">
        <v>79</v>
      </c>
      <c r="E1396" s="5" t="s">
        <v>80</v>
      </c>
      <c r="F1396" s="5">
        <v>764698</v>
      </c>
      <c r="G1396" s="5" t="s">
        <v>4278</v>
      </c>
      <c r="H1396" s="5" t="s">
        <v>4279</v>
      </c>
      <c r="I1396" s="5" t="s">
        <v>212</v>
      </c>
      <c r="N1396" s="5" t="s">
        <v>4280</v>
      </c>
      <c r="O1396" s="5">
        <v>363.7</v>
      </c>
      <c r="P1396" s="5">
        <v>374.45</v>
      </c>
      <c r="Q1396" s="5">
        <v>357</v>
      </c>
      <c r="R1396" s="5">
        <v>367.2</v>
      </c>
      <c r="S1396" s="5">
        <v>371</v>
      </c>
      <c r="T1396" s="5">
        <v>363.7</v>
      </c>
      <c r="V1396" s="5">
        <v>367.18</v>
      </c>
      <c r="Y1396" s="5">
        <v>1390</v>
      </c>
      <c r="Z1396" s="5">
        <v>508525.85</v>
      </c>
      <c r="AA1396" s="5">
        <v>71</v>
      </c>
      <c r="AB1396" s="5" t="s">
        <v>85</v>
      </c>
      <c r="AC1396" s="5">
        <v>1</v>
      </c>
    </row>
    <row r="1397" spans="1:29" x14ac:dyDescent="0.3">
      <c r="A1397" s="34">
        <v>46274</v>
      </c>
      <c r="B1397" s="34">
        <v>46274</v>
      </c>
      <c r="C1397" s="5" t="s">
        <v>78</v>
      </c>
      <c r="D1397" s="5" t="s">
        <v>79</v>
      </c>
      <c r="E1397" s="5" t="s">
        <v>80</v>
      </c>
      <c r="F1397" s="5">
        <v>2303</v>
      </c>
      <c r="G1397" s="5" t="s">
        <v>4281</v>
      </c>
      <c r="H1397" s="5" t="s">
        <v>4282</v>
      </c>
      <c r="I1397" s="5" t="s">
        <v>212</v>
      </c>
      <c r="N1397" s="5" t="s">
        <v>4283</v>
      </c>
      <c r="O1397" s="5">
        <v>5031.1000000000004</v>
      </c>
      <c r="P1397" s="5">
        <v>5097.3999999999996</v>
      </c>
      <c r="Q1397" s="5">
        <v>5000.5</v>
      </c>
      <c r="R1397" s="5">
        <v>5000.5</v>
      </c>
      <c r="S1397" s="5">
        <v>5000.5</v>
      </c>
      <c r="T1397" s="5">
        <v>5031.1000000000004</v>
      </c>
      <c r="V1397" s="5">
        <v>5000.55</v>
      </c>
      <c r="Y1397" s="5">
        <v>1669937</v>
      </c>
      <c r="Z1397" s="5">
        <v>8427466381</v>
      </c>
      <c r="AA1397" s="5">
        <v>83594</v>
      </c>
      <c r="AB1397" s="5" t="s">
        <v>85</v>
      </c>
      <c r="AC1397" s="5">
        <v>1</v>
      </c>
    </row>
    <row r="1398" spans="1:29" x14ac:dyDescent="0.3">
      <c r="A1398" s="34">
        <v>46274</v>
      </c>
      <c r="B1398" s="34">
        <v>46274</v>
      </c>
      <c r="C1398" s="5" t="s">
        <v>78</v>
      </c>
      <c r="D1398" s="5" t="s">
        <v>79</v>
      </c>
      <c r="E1398" s="5" t="s">
        <v>80</v>
      </c>
      <c r="F1398" s="5">
        <v>1372</v>
      </c>
      <c r="G1398" s="5" t="s">
        <v>4284</v>
      </c>
      <c r="H1398" s="5" t="s">
        <v>4285</v>
      </c>
      <c r="I1398" s="5" t="s">
        <v>212</v>
      </c>
      <c r="N1398" s="5" t="s">
        <v>4286</v>
      </c>
      <c r="O1398" s="5">
        <v>395.35</v>
      </c>
      <c r="P1398" s="5">
        <v>400</v>
      </c>
      <c r="Q1398" s="5">
        <v>380.2</v>
      </c>
      <c r="R1398" s="5">
        <v>387.05</v>
      </c>
      <c r="S1398" s="5">
        <v>384.8</v>
      </c>
      <c r="T1398" s="5">
        <v>395.35</v>
      </c>
      <c r="V1398" s="5">
        <v>386.48</v>
      </c>
      <c r="Y1398" s="5">
        <v>4341</v>
      </c>
      <c r="Z1398" s="5">
        <v>1701162.5</v>
      </c>
      <c r="AA1398" s="5">
        <v>312</v>
      </c>
      <c r="AB1398" s="5" t="s">
        <v>85</v>
      </c>
      <c r="AC1398" s="5">
        <v>1</v>
      </c>
    </row>
    <row r="1399" spans="1:29" x14ac:dyDescent="0.3">
      <c r="A1399" s="34">
        <v>46274</v>
      </c>
      <c r="B1399" s="34">
        <v>46274</v>
      </c>
      <c r="C1399" s="5" t="s">
        <v>78</v>
      </c>
      <c r="D1399" s="5" t="s">
        <v>79</v>
      </c>
      <c r="E1399" s="5" t="s">
        <v>80</v>
      </c>
      <c r="F1399" s="5">
        <v>1375</v>
      </c>
      <c r="G1399" s="5" t="s">
        <v>4287</v>
      </c>
      <c r="H1399" s="5" t="s">
        <v>4288</v>
      </c>
      <c r="I1399" s="5" t="s">
        <v>212</v>
      </c>
      <c r="N1399" s="5" t="s">
        <v>4289</v>
      </c>
      <c r="O1399" s="5">
        <v>23.66</v>
      </c>
      <c r="P1399" s="5">
        <v>23.95</v>
      </c>
      <c r="Q1399" s="5">
        <v>23.22</v>
      </c>
      <c r="R1399" s="5">
        <v>23.43</v>
      </c>
      <c r="S1399" s="5">
        <v>23.35</v>
      </c>
      <c r="T1399" s="5">
        <v>23.86</v>
      </c>
      <c r="V1399" s="5">
        <v>23.43</v>
      </c>
      <c r="Y1399" s="5">
        <v>25015712</v>
      </c>
      <c r="Z1399" s="5">
        <v>588428330.50999999</v>
      </c>
      <c r="AA1399" s="5">
        <v>26771</v>
      </c>
      <c r="AB1399" s="5" t="s">
        <v>85</v>
      </c>
      <c r="AC1399" s="5">
        <v>1</v>
      </c>
    </row>
    <row r="1400" spans="1:29" x14ac:dyDescent="0.3">
      <c r="A1400" s="34">
        <v>46274</v>
      </c>
      <c r="B1400" s="34">
        <v>46274</v>
      </c>
      <c r="C1400" s="5" t="s">
        <v>78</v>
      </c>
      <c r="D1400" s="5" t="s">
        <v>79</v>
      </c>
      <c r="E1400" s="5" t="s">
        <v>80</v>
      </c>
      <c r="F1400" s="5">
        <v>17939</v>
      </c>
      <c r="G1400" s="5" t="s">
        <v>4290</v>
      </c>
      <c r="H1400" s="5" t="s">
        <v>4291</v>
      </c>
      <c r="I1400" s="5" t="s">
        <v>212</v>
      </c>
      <c r="N1400" s="5" t="s">
        <v>4292</v>
      </c>
      <c r="O1400" s="5">
        <v>538.4</v>
      </c>
      <c r="P1400" s="5">
        <v>545</v>
      </c>
      <c r="Q1400" s="5">
        <v>530.5</v>
      </c>
      <c r="R1400" s="5">
        <v>532.29999999999995</v>
      </c>
      <c r="S1400" s="5">
        <v>530.5</v>
      </c>
      <c r="T1400" s="5">
        <v>532.85</v>
      </c>
      <c r="V1400" s="5">
        <v>532.29999999999995</v>
      </c>
      <c r="Y1400" s="5">
        <v>15102525</v>
      </c>
      <c r="Z1400" s="5">
        <v>8126217373.5500002</v>
      </c>
      <c r="AA1400" s="5">
        <v>154104</v>
      </c>
      <c r="AB1400" s="5" t="s">
        <v>85</v>
      </c>
      <c r="AC1400" s="5">
        <v>1</v>
      </c>
    </row>
    <row r="1401" spans="1:29" x14ac:dyDescent="0.3">
      <c r="A1401" s="34">
        <v>46274</v>
      </c>
      <c r="B1401" s="34">
        <v>46274</v>
      </c>
      <c r="C1401" s="5" t="s">
        <v>78</v>
      </c>
      <c r="D1401" s="5" t="s">
        <v>79</v>
      </c>
      <c r="E1401" s="5" t="s">
        <v>80</v>
      </c>
      <c r="F1401" s="5">
        <v>12173</v>
      </c>
      <c r="G1401" s="5" t="s">
        <v>4293</v>
      </c>
      <c r="H1401" s="5" t="s">
        <v>4294</v>
      </c>
      <c r="I1401" s="5" t="s">
        <v>212</v>
      </c>
      <c r="N1401" s="5" t="s">
        <v>4295</v>
      </c>
      <c r="O1401" s="5">
        <v>626</v>
      </c>
      <c r="P1401" s="5">
        <v>626</v>
      </c>
      <c r="Q1401" s="5">
        <v>608.54999999999995</v>
      </c>
      <c r="R1401" s="5">
        <v>615.25</v>
      </c>
      <c r="S1401" s="5">
        <v>615.65</v>
      </c>
      <c r="T1401" s="5">
        <v>623.5</v>
      </c>
      <c r="V1401" s="5">
        <v>614.99</v>
      </c>
      <c r="Y1401" s="5">
        <v>53963</v>
      </c>
      <c r="Z1401" s="5">
        <v>33451495</v>
      </c>
      <c r="AA1401" s="5">
        <v>3514</v>
      </c>
      <c r="AB1401" s="5" t="s">
        <v>85</v>
      </c>
      <c r="AC1401" s="5">
        <v>1</v>
      </c>
    </row>
    <row r="1402" spans="1:29" x14ac:dyDescent="0.3">
      <c r="A1402" s="34">
        <v>46274</v>
      </c>
      <c r="B1402" s="34">
        <v>46274</v>
      </c>
      <c r="C1402" s="5" t="s">
        <v>78</v>
      </c>
      <c r="D1402" s="5" t="s">
        <v>79</v>
      </c>
      <c r="E1402" s="5" t="s">
        <v>80</v>
      </c>
      <c r="F1402" s="5">
        <v>19215</v>
      </c>
      <c r="G1402" s="5" t="s">
        <v>4296</v>
      </c>
      <c r="H1402" s="5" t="s">
        <v>4297</v>
      </c>
      <c r="I1402" s="5" t="s">
        <v>234</v>
      </c>
      <c r="N1402" s="5" t="s">
        <v>4298</v>
      </c>
      <c r="O1402" s="5">
        <v>82.3</v>
      </c>
      <c r="P1402" s="5">
        <v>82.3</v>
      </c>
      <c r="Q1402" s="5">
        <v>78.2</v>
      </c>
      <c r="R1402" s="5">
        <v>80.42</v>
      </c>
      <c r="S1402" s="5">
        <v>79.5</v>
      </c>
      <c r="T1402" s="5">
        <v>81.98</v>
      </c>
      <c r="V1402" s="5">
        <v>80.37</v>
      </c>
      <c r="Y1402" s="5">
        <v>24250</v>
      </c>
      <c r="Z1402" s="5">
        <v>1940110.28</v>
      </c>
      <c r="AA1402" s="5">
        <v>229</v>
      </c>
      <c r="AB1402" s="5" t="s">
        <v>85</v>
      </c>
      <c r="AC1402" s="5">
        <v>1</v>
      </c>
    </row>
    <row r="1403" spans="1:29" x14ac:dyDescent="0.3">
      <c r="A1403" s="34">
        <v>46274</v>
      </c>
      <c r="B1403" s="34">
        <v>46274</v>
      </c>
      <c r="C1403" s="5" t="s">
        <v>78</v>
      </c>
      <c r="D1403" s="5" t="s">
        <v>79</v>
      </c>
      <c r="E1403" s="5" t="s">
        <v>80</v>
      </c>
      <c r="F1403" s="5">
        <v>1403</v>
      </c>
      <c r="G1403" s="5" t="s">
        <v>4299</v>
      </c>
      <c r="H1403" s="5" t="s">
        <v>22</v>
      </c>
      <c r="I1403" s="5" t="s">
        <v>212</v>
      </c>
      <c r="N1403" s="5" t="s">
        <v>4300</v>
      </c>
      <c r="O1403" s="5">
        <v>194.62</v>
      </c>
      <c r="P1403" s="5">
        <v>201.44</v>
      </c>
      <c r="Q1403" s="5">
        <v>193.9</v>
      </c>
      <c r="R1403" s="5">
        <v>195.83</v>
      </c>
      <c r="S1403" s="5">
        <v>195.9</v>
      </c>
      <c r="T1403" s="5">
        <v>193.66</v>
      </c>
      <c r="V1403" s="5">
        <v>195.82</v>
      </c>
      <c r="Y1403" s="5">
        <v>3991694</v>
      </c>
      <c r="Z1403" s="5">
        <v>788707147.32000005</v>
      </c>
      <c r="AA1403" s="5">
        <v>37949</v>
      </c>
      <c r="AB1403" s="5" t="s">
        <v>85</v>
      </c>
      <c r="AC1403" s="5">
        <v>1</v>
      </c>
    </row>
    <row r="1404" spans="1:29" x14ac:dyDescent="0.3">
      <c r="A1404" s="34">
        <v>46274</v>
      </c>
      <c r="B1404" s="34">
        <v>46274</v>
      </c>
      <c r="C1404" s="5" t="s">
        <v>78</v>
      </c>
      <c r="D1404" s="5" t="s">
        <v>79</v>
      </c>
      <c r="E1404" s="5" t="s">
        <v>80</v>
      </c>
      <c r="F1404" s="5">
        <v>1406</v>
      </c>
      <c r="G1404" s="5" t="s">
        <v>4301</v>
      </c>
      <c r="H1404" s="5" t="s">
        <v>4302</v>
      </c>
      <c r="I1404" s="5" t="s">
        <v>212</v>
      </c>
      <c r="N1404" s="5" t="s">
        <v>4303</v>
      </c>
      <c r="O1404" s="5">
        <v>345.55</v>
      </c>
      <c r="P1404" s="5">
        <v>350.9</v>
      </c>
      <c r="Q1404" s="5">
        <v>343.55</v>
      </c>
      <c r="R1404" s="5">
        <v>348.9</v>
      </c>
      <c r="S1404" s="5">
        <v>348.9</v>
      </c>
      <c r="T1404" s="5">
        <v>347</v>
      </c>
      <c r="V1404" s="5">
        <v>348.9</v>
      </c>
      <c r="Y1404" s="5">
        <v>5786455</v>
      </c>
      <c r="Z1404" s="5">
        <v>2019815229.4000001</v>
      </c>
      <c r="AA1404" s="5">
        <v>52857</v>
      </c>
      <c r="AB1404" s="5" t="s">
        <v>85</v>
      </c>
      <c r="AC1404" s="5">
        <v>1</v>
      </c>
    </row>
    <row r="1405" spans="1:29" x14ac:dyDescent="0.3">
      <c r="A1405" s="34">
        <v>46274</v>
      </c>
      <c r="B1405" s="34">
        <v>46274</v>
      </c>
      <c r="C1405" s="5" t="s">
        <v>78</v>
      </c>
      <c r="D1405" s="5" t="s">
        <v>79</v>
      </c>
      <c r="E1405" s="5" t="s">
        <v>80</v>
      </c>
      <c r="F1405" s="5">
        <v>1394</v>
      </c>
      <c r="G1405" s="5" t="s">
        <v>4304</v>
      </c>
      <c r="H1405" s="5" t="s">
        <v>4305</v>
      </c>
      <c r="I1405" s="5" t="s">
        <v>212</v>
      </c>
      <c r="N1405" s="5" t="s">
        <v>4306</v>
      </c>
      <c r="O1405" s="5">
        <v>1973</v>
      </c>
      <c r="P1405" s="5">
        <v>1979.6</v>
      </c>
      <c r="Q1405" s="5">
        <v>1936</v>
      </c>
      <c r="R1405" s="5">
        <v>1945</v>
      </c>
      <c r="S1405" s="5">
        <v>1945</v>
      </c>
      <c r="T1405" s="5">
        <v>1980</v>
      </c>
      <c r="V1405" s="5">
        <v>1945</v>
      </c>
      <c r="Y1405" s="5">
        <v>1455307</v>
      </c>
      <c r="Z1405" s="5">
        <v>2834927285</v>
      </c>
      <c r="AA1405" s="5">
        <v>70847</v>
      </c>
      <c r="AB1405" s="5" t="s">
        <v>85</v>
      </c>
      <c r="AC1405" s="5">
        <v>1</v>
      </c>
    </row>
    <row r="1406" spans="1:29" x14ac:dyDescent="0.3">
      <c r="A1406" s="34">
        <v>46274</v>
      </c>
      <c r="B1406" s="34">
        <v>46274</v>
      </c>
      <c r="C1406" s="5" t="s">
        <v>78</v>
      </c>
      <c r="D1406" s="5" t="s">
        <v>79</v>
      </c>
      <c r="E1406" s="5" t="s">
        <v>80</v>
      </c>
      <c r="F1406" s="5">
        <v>1424</v>
      </c>
      <c r="G1406" s="5" t="s">
        <v>4307</v>
      </c>
      <c r="H1406" s="5" t="s">
        <v>4308</v>
      </c>
      <c r="I1406" s="5" t="s">
        <v>212</v>
      </c>
      <c r="N1406" s="5" t="s">
        <v>4309</v>
      </c>
      <c r="O1406" s="5">
        <v>595</v>
      </c>
      <c r="P1406" s="5">
        <v>608.75</v>
      </c>
      <c r="Q1406" s="5">
        <v>593.1</v>
      </c>
      <c r="R1406" s="5">
        <v>605.4</v>
      </c>
      <c r="S1406" s="5">
        <v>605.4</v>
      </c>
      <c r="T1406" s="5">
        <v>595.5</v>
      </c>
      <c r="V1406" s="5">
        <v>605.42999999999995</v>
      </c>
      <c r="Y1406" s="5">
        <v>6313228</v>
      </c>
      <c r="Z1406" s="5">
        <v>3808799549.1999998</v>
      </c>
      <c r="AA1406" s="5">
        <v>121620</v>
      </c>
      <c r="AB1406" s="5" t="s">
        <v>85</v>
      </c>
      <c r="AC1406" s="5">
        <v>1</v>
      </c>
    </row>
    <row r="1407" spans="1:29" x14ac:dyDescent="0.3">
      <c r="A1407" s="34">
        <v>46274</v>
      </c>
      <c r="B1407" s="34">
        <v>46274</v>
      </c>
      <c r="C1407" s="5" t="s">
        <v>78</v>
      </c>
      <c r="D1407" s="5" t="s">
        <v>79</v>
      </c>
      <c r="E1407" s="5" t="s">
        <v>80</v>
      </c>
      <c r="F1407" s="5">
        <v>15883</v>
      </c>
      <c r="G1407" s="5" t="s">
        <v>4310</v>
      </c>
      <c r="H1407" s="5" t="s">
        <v>4311</v>
      </c>
      <c r="I1407" s="5" t="s">
        <v>212</v>
      </c>
      <c r="N1407" s="5" t="s">
        <v>4312</v>
      </c>
      <c r="O1407" s="5">
        <v>181.46</v>
      </c>
      <c r="P1407" s="5">
        <v>183.9</v>
      </c>
      <c r="Q1407" s="5">
        <v>179</v>
      </c>
      <c r="R1407" s="5">
        <v>179.66</v>
      </c>
      <c r="S1407" s="5">
        <v>180.5</v>
      </c>
      <c r="T1407" s="5">
        <v>180.28</v>
      </c>
      <c r="V1407" s="5">
        <v>179.67</v>
      </c>
      <c r="Y1407" s="5">
        <v>81549</v>
      </c>
      <c r="Z1407" s="5">
        <v>14677933.92</v>
      </c>
      <c r="AA1407" s="5">
        <v>1660</v>
      </c>
      <c r="AB1407" s="5" t="s">
        <v>85</v>
      </c>
      <c r="AC1407" s="5">
        <v>1</v>
      </c>
    </row>
    <row r="1408" spans="1:29" x14ac:dyDescent="0.3">
      <c r="A1408" s="34">
        <v>46274</v>
      </c>
      <c r="B1408" s="34">
        <v>46274</v>
      </c>
      <c r="C1408" s="5" t="s">
        <v>78</v>
      </c>
      <c r="D1408" s="5" t="s">
        <v>79</v>
      </c>
      <c r="E1408" s="5" t="s">
        <v>80</v>
      </c>
      <c r="F1408" s="5">
        <v>13890</v>
      </c>
      <c r="G1408" s="5" t="s">
        <v>4313</v>
      </c>
      <c r="H1408" s="5" t="s">
        <v>4314</v>
      </c>
      <c r="I1408" s="5" t="s">
        <v>212</v>
      </c>
      <c r="N1408" s="5" t="s">
        <v>4315</v>
      </c>
      <c r="O1408" s="5">
        <v>1281.4000000000001</v>
      </c>
      <c r="P1408" s="5">
        <v>1318.5</v>
      </c>
      <c r="Q1408" s="5">
        <v>1263</v>
      </c>
      <c r="R1408" s="5">
        <v>1273.5999999999999</v>
      </c>
      <c r="S1408" s="5">
        <v>1272</v>
      </c>
      <c r="T1408" s="5">
        <v>1281.4000000000001</v>
      </c>
      <c r="V1408" s="5">
        <v>1273.6600000000001</v>
      </c>
      <c r="Y1408" s="5">
        <v>99771</v>
      </c>
      <c r="Z1408" s="5">
        <v>129013188.8</v>
      </c>
      <c r="AA1408" s="5">
        <v>8134</v>
      </c>
      <c r="AB1408" s="5" t="s">
        <v>85</v>
      </c>
      <c r="AC1408" s="5">
        <v>1</v>
      </c>
    </row>
    <row r="1409" spans="1:29" x14ac:dyDescent="0.3">
      <c r="A1409" s="34">
        <v>46274</v>
      </c>
      <c r="B1409" s="34">
        <v>46274</v>
      </c>
      <c r="C1409" s="5" t="s">
        <v>78</v>
      </c>
      <c r="D1409" s="5" t="s">
        <v>79</v>
      </c>
      <c r="E1409" s="5" t="s">
        <v>80</v>
      </c>
      <c r="F1409" s="5">
        <v>19322</v>
      </c>
      <c r="G1409" s="5" t="s">
        <v>4316</v>
      </c>
      <c r="H1409" s="5" t="s">
        <v>4317</v>
      </c>
      <c r="I1409" s="5" t="s">
        <v>212</v>
      </c>
      <c r="N1409" s="5" t="s">
        <v>4318</v>
      </c>
      <c r="O1409" s="5">
        <v>160.01</v>
      </c>
      <c r="P1409" s="5">
        <v>160.01</v>
      </c>
      <c r="Q1409" s="5">
        <v>150.80000000000001</v>
      </c>
      <c r="R1409" s="5">
        <v>153.91</v>
      </c>
      <c r="S1409" s="5">
        <v>155</v>
      </c>
      <c r="T1409" s="5">
        <v>160.26</v>
      </c>
      <c r="V1409" s="5">
        <v>153.91</v>
      </c>
      <c r="Y1409" s="5">
        <v>2386</v>
      </c>
      <c r="Z1409" s="5">
        <v>367819.79</v>
      </c>
      <c r="AA1409" s="5">
        <v>178</v>
      </c>
      <c r="AB1409" s="5" t="s">
        <v>85</v>
      </c>
      <c r="AC1409" s="5">
        <v>1</v>
      </c>
    </row>
    <row r="1410" spans="1:29" x14ac:dyDescent="0.3">
      <c r="A1410" s="34">
        <v>46274</v>
      </c>
      <c r="B1410" s="34">
        <v>46274</v>
      </c>
      <c r="C1410" s="5" t="s">
        <v>78</v>
      </c>
      <c r="D1410" s="5" t="s">
        <v>79</v>
      </c>
      <c r="E1410" s="5" t="s">
        <v>80</v>
      </c>
      <c r="F1410" s="5">
        <v>18457</v>
      </c>
      <c r="G1410" s="5" t="s">
        <v>4319</v>
      </c>
      <c r="H1410" s="5" t="s">
        <v>4320</v>
      </c>
      <c r="I1410" s="5" t="s">
        <v>212</v>
      </c>
      <c r="N1410" s="5" t="s">
        <v>4321</v>
      </c>
      <c r="O1410" s="5">
        <v>31195</v>
      </c>
      <c r="P1410" s="5">
        <v>31590</v>
      </c>
      <c r="Q1410" s="5">
        <v>31025</v>
      </c>
      <c r="R1410" s="5">
        <v>31580</v>
      </c>
      <c r="S1410" s="5">
        <v>31580</v>
      </c>
      <c r="T1410" s="5">
        <v>31135</v>
      </c>
      <c r="V1410" s="5">
        <v>31580</v>
      </c>
      <c r="Y1410" s="5">
        <v>94112</v>
      </c>
      <c r="Z1410" s="5">
        <v>2952168920</v>
      </c>
      <c r="AA1410" s="5">
        <v>27834</v>
      </c>
      <c r="AB1410" s="5" t="s">
        <v>85</v>
      </c>
      <c r="AC1410" s="5">
        <v>1</v>
      </c>
    </row>
    <row r="1411" spans="1:29" x14ac:dyDescent="0.3">
      <c r="A1411" s="34">
        <v>46274</v>
      </c>
      <c r="B1411" s="34">
        <v>46274</v>
      </c>
      <c r="C1411" s="5" t="s">
        <v>78</v>
      </c>
      <c r="D1411" s="5" t="s">
        <v>79</v>
      </c>
      <c r="E1411" s="5" t="s">
        <v>80</v>
      </c>
      <c r="F1411" s="5">
        <v>15165</v>
      </c>
      <c r="G1411" s="5" t="s">
        <v>4322</v>
      </c>
      <c r="H1411" s="5" t="s">
        <v>4323</v>
      </c>
      <c r="I1411" s="5" t="s">
        <v>234</v>
      </c>
      <c r="N1411" s="5" t="s">
        <v>4324</v>
      </c>
      <c r="O1411" s="5">
        <v>336.8</v>
      </c>
      <c r="P1411" s="5">
        <v>340</v>
      </c>
      <c r="Q1411" s="5">
        <v>333.1</v>
      </c>
      <c r="R1411" s="5">
        <v>335.5</v>
      </c>
      <c r="S1411" s="5">
        <v>335.5</v>
      </c>
      <c r="T1411" s="5">
        <v>335.95</v>
      </c>
      <c r="V1411" s="5">
        <v>335.5</v>
      </c>
      <c r="Y1411" s="5">
        <v>20809</v>
      </c>
      <c r="Z1411" s="5">
        <v>7010335.2000000002</v>
      </c>
      <c r="AA1411" s="5">
        <v>89</v>
      </c>
      <c r="AB1411" s="5" t="s">
        <v>85</v>
      </c>
      <c r="AC1411" s="5">
        <v>1</v>
      </c>
    </row>
    <row r="1412" spans="1:29" x14ac:dyDescent="0.3">
      <c r="A1412" s="34">
        <v>46274</v>
      </c>
      <c r="B1412" s="34">
        <v>46274</v>
      </c>
      <c r="C1412" s="5" t="s">
        <v>78</v>
      </c>
      <c r="D1412" s="5" t="s">
        <v>79</v>
      </c>
      <c r="E1412" s="5" t="s">
        <v>80</v>
      </c>
      <c r="F1412" s="5">
        <v>2289</v>
      </c>
      <c r="G1412" s="5" t="s">
        <v>4325</v>
      </c>
      <c r="H1412" s="5" t="s">
        <v>4326</v>
      </c>
      <c r="I1412" s="5" t="s">
        <v>212</v>
      </c>
      <c r="N1412" s="5" t="s">
        <v>4327</v>
      </c>
      <c r="O1412" s="5">
        <v>333.05</v>
      </c>
      <c r="P1412" s="5">
        <v>367.95</v>
      </c>
      <c r="Q1412" s="5">
        <v>333.05</v>
      </c>
      <c r="R1412" s="5">
        <v>367.95</v>
      </c>
      <c r="S1412" s="5">
        <v>367.95</v>
      </c>
      <c r="T1412" s="5">
        <v>334.5</v>
      </c>
      <c r="V1412" s="5">
        <v>368.05</v>
      </c>
      <c r="Y1412" s="5">
        <v>846199</v>
      </c>
      <c r="Z1412" s="5">
        <v>306661838.64999998</v>
      </c>
      <c r="AA1412" s="5">
        <v>14397</v>
      </c>
      <c r="AB1412" s="5" t="s">
        <v>85</v>
      </c>
      <c r="AC1412" s="5">
        <v>1</v>
      </c>
    </row>
    <row r="1413" spans="1:29" x14ac:dyDescent="0.3">
      <c r="A1413" s="34">
        <v>46274</v>
      </c>
      <c r="B1413" s="34">
        <v>46274</v>
      </c>
      <c r="C1413" s="5" t="s">
        <v>78</v>
      </c>
      <c r="D1413" s="5" t="s">
        <v>79</v>
      </c>
      <c r="E1413" s="5" t="s">
        <v>80</v>
      </c>
      <c r="F1413" s="5">
        <v>1448</v>
      </c>
      <c r="G1413" s="5" t="s">
        <v>4328</v>
      </c>
      <c r="H1413" s="5" t="s">
        <v>4329</v>
      </c>
      <c r="I1413" s="5" t="s">
        <v>212</v>
      </c>
      <c r="N1413" s="5" t="s">
        <v>4330</v>
      </c>
      <c r="O1413" s="5">
        <v>6.33</v>
      </c>
      <c r="P1413" s="5">
        <v>6.57</v>
      </c>
      <c r="Q1413" s="5">
        <v>6.32</v>
      </c>
      <c r="R1413" s="5">
        <v>6.47</v>
      </c>
      <c r="S1413" s="5">
        <v>6.49</v>
      </c>
      <c r="T1413" s="5">
        <v>6.4</v>
      </c>
      <c r="V1413" s="5">
        <v>6.47</v>
      </c>
      <c r="Y1413" s="5">
        <v>139783</v>
      </c>
      <c r="Z1413" s="5">
        <v>903779.86</v>
      </c>
      <c r="AA1413" s="5">
        <v>596</v>
      </c>
      <c r="AB1413" s="5" t="s">
        <v>85</v>
      </c>
      <c r="AC1413" s="5">
        <v>1</v>
      </c>
    </row>
    <row r="1414" spans="1:29" x14ac:dyDescent="0.3">
      <c r="A1414" s="34">
        <v>46274</v>
      </c>
      <c r="B1414" s="34">
        <v>46274</v>
      </c>
      <c r="C1414" s="5" t="s">
        <v>78</v>
      </c>
      <c r="D1414" s="5" t="s">
        <v>79</v>
      </c>
      <c r="E1414" s="5" t="s">
        <v>80</v>
      </c>
      <c r="F1414" s="5">
        <v>17053</v>
      </c>
      <c r="G1414" s="5" t="s">
        <v>4331</v>
      </c>
      <c r="H1414" s="5" t="s">
        <v>4332</v>
      </c>
      <c r="I1414" s="5" t="s">
        <v>212</v>
      </c>
      <c r="N1414" s="5" t="s">
        <v>4333</v>
      </c>
      <c r="O1414" s="5">
        <v>20.11</v>
      </c>
      <c r="P1414" s="5">
        <v>20.3</v>
      </c>
      <c r="Q1414" s="5">
        <v>19.8</v>
      </c>
      <c r="R1414" s="5">
        <v>20.02</v>
      </c>
      <c r="S1414" s="5">
        <v>20.149999999999999</v>
      </c>
      <c r="T1414" s="5">
        <v>20.010000000000002</v>
      </c>
      <c r="V1414" s="5">
        <v>20.02</v>
      </c>
      <c r="Y1414" s="5">
        <v>1106812</v>
      </c>
      <c r="Z1414" s="5">
        <v>22155250.140000001</v>
      </c>
      <c r="AA1414" s="5">
        <v>2103</v>
      </c>
      <c r="AB1414" s="5" t="s">
        <v>85</v>
      </c>
      <c r="AC1414" s="5">
        <v>1</v>
      </c>
    </row>
    <row r="1415" spans="1:29" x14ac:dyDescent="0.3">
      <c r="A1415" s="34">
        <v>46274</v>
      </c>
      <c r="B1415" s="34">
        <v>46274</v>
      </c>
      <c r="C1415" s="5" t="s">
        <v>78</v>
      </c>
      <c r="D1415" s="5" t="s">
        <v>79</v>
      </c>
      <c r="E1415" s="5" t="s">
        <v>80</v>
      </c>
      <c r="F1415" s="5">
        <v>761841</v>
      </c>
      <c r="G1415" s="5" t="s">
        <v>4334</v>
      </c>
      <c r="H1415" s="5" t="s">
        <v>4335</v>
      </c>
      <c r="I1415" s="5" t="s">
        <v>580</v>
      </c>
      <c r="N1415" s="5" t="s">
        <v>4336</v>
      </c>
      <c r="O1415" s="5">
        <v>103630.82</v>
      </c>
      <c r="P1415" s="5">
        <v>103630.82</v>
      </c>
      <c r="Q1415" s="5">
        <v>103630.82</v>
      </c>
      <c r="R1415" s="5">
        <v>103630.82</v>
      </c>
      <c r="S1415" s="5">
        <v>103630.82</v>
      </c>
      <c r="T1415" s="5">
        <v>103487.81</v>
      </c>
      <c r="V1415" s="5">
        <v>103630.82</v>
      </c>
      <c r="Y1415" s="5">
        <v>15</v>
      </c>
      <c r="Z1415" s="5">
        <v>1554462.3</v>
      </c>
      <c r="AA1415" s="5">
        <v>1</v>
      </c>
      <c r="AB1415" s="5" t="s">
        <v>85</v>
      </c>
      <c r="AC1415" s="5">
        <v>1</v>
      </c>
    </row>
    <row r="1416" spans="1:29" x14ac:dyDescent="0.3">
      <c r="A1416" s="34">
        <v>46274</v>
      </c>
      <c r="B1416" s="34">
        <v>46274</v>
      </c>
      <c r="C1416" s="5" t="s">
        <v>78</v>
      </c>
      <c r="D1416" s="5" t="s">
        <v>79</v>
      </c>
      <c r="E1416" s="5" t="s">
        <v>80</v>
      </c>
      <c r="F1416" s="5">
        <v>19698</v>
      </c>
      <c r="G1416" s="5" t="s">
        <v>4337</v>
      </c>
      <c r="H1416" s="5" t="s">
        <v>4338</v>
      </c>
      <c r="I1416" s="5" t="s">
        <v>614</v>
      </c>
      <c r="N1416" s="5" t="s">
        <v>4339</v>
      </c>
      <c r="O1416" s="5">
        <v>69</v>
      </c>
      <c r="P1416" s="5">
        <v>69</v>
      </c>
      <c r="Q1416" s="5">
        <v>65.5</v>
      </c>
      <c r="R1416" s="5">
        <v>66.239999999999995</v>
      </c>
      <c r="S1416" s="5">
        <v>66.010000000000005</v>
      </c>
      <c r="T1416" s="5">
        <v>68.11</v>
      </c>
      <c r="V1416" s="5">
        <v>66.36</v>
      </c>
      <c r="Y1416" s="5">
        <v>18801</v>
      </c>
      <c r="Z1416" s="5">
        <v>1249781.99</v>
      </c>
      <c r="AA1416" s="5">
        <v>282</v>
      </c>
      <c r="AB1416" s="5" t="s">
        <v>85</v>
      </c>
      <c r="AC1416" s="5">
        <v>1</v>
      </c>
    </row>
    <row r="1417" spans="1:29" x14ac:dyDescent="0.3">
      <c r="A1417" s="34">
        <v>46274</v>
      </c>
      <c r="B1417" s="34">
        <v>46274</v>
      </c>
      <c r="C1417" s="5" t="s">
        <v>78</v>
      </c>
      <c r="D1417" s="5" t="s">
        <v>79</v>
      </c>
      <c r="E1417" s="5" t="s">
        <v>80</v>
      </c>
      <c r="F1417" s="5">
        <v>23826</v>
      </c>
      <c r="G1417" s="5" t="s">
        <v>4340</v>
      </c>
      <c r="H1417" s="5" t="s">
        <v>4341</v>
      </c>
      <c r="I1417" s="5" t="s">
        <v>392</v>
      </c>
      <c r="N1417" s="5" t="s">
        <v>4342</v>
      </c>
      <c r="O1417" s="5">
        <v>950.8</v>
      </c>
      <c r="P1417" s="5">
        <v>950.8</v>
      </c>
      <c r="Q1417" s="5">
        <v>950.8</v>
      </c>
      <c r="R1417" s="5">
        <v>950.8</v>
      </c>
      <c r="S1417" s="5">
        <v>950.8</v>
      </c>
      <c r="T1417" s="5">
        <v>970.2</v>
      </c>
      <c r="V1417" s="5">
        <v>950.8</v>
      </c>
      <c r="Y1417" s="5">
        <v>2250</v>
      </c>
      <c r="Z1417" s="5">
        <v>2139300</v>
      </c>
      <c r="AA1417" s="5">
        <v>6</v>
      </c>
      <c r="AB1417" s="5" t="s">
        <v>85</v>
      </c>
      <c r="AC1417" s="5">
        <v>375</v>
      </c>
    </row>
    <row r="1418" spans="1:29" x14ac:dyDescent="0.3">
      <c r="A1418" s="34">
        <v>46274</v>
      </c>
      <c r="B1418" s="34">
        <v>46274</v>
      </c>
      <c r="C1418" s="5" t="s">
        <v>78</v>
      </c>
      <c r="D1418" s="5" t="s">
        <v>79</v>
      </c>
      <c r="E1418" s="5" t="s">
        <v>80</v>
      </c>
      <c r="F1418" s="5">
        <v>18649</v>
      </c>
      <c r="G1418" s="5" t="s">
        <v>4343</v>
      </c>
      <c r="H1418" s="5" t="s">
        <v>4344</v>
      </c>
      <c r="I1418" s="5" t="s">
        <v>313</v>
      </c>
      <c r="N1418" s="5" t="s">
        <v>4345</v>
      </c>
      <c r="O1418" s="5">
        <v>108</v>
      </c>
      <c r="P1418" s="5">
        <v>109</v>
      </c>
      <c r="Q1418" s="5">
        <v>108</v>
      </c>
      <c r="R1418" s="5">
        <v>109</v>
      </c>
      <c r="S1418" s="5">
        <v>109</v>
      </c>
      <c r="T1418" s="5">
        <v>107.9</v>
      </c>
      <c r="V1418" s="5">
        <v>109</v>
      </c>
      <c r="Y1418" s="5">
        <v>3000</v>
      </c>
      <c r="Z1418" s="5">
        <v>325500</v>
      </c>
      <c r="AA1418" s="5">
        <v>4</v>
      </c>
      <c r="AB1418" s="5" t="s">
        <v>85</v>
      </c>
      <c r="AC1418" s="5">
        <v>750</v>
      </c>
    </row>
    <row r="1419" spans="1:29" x14ac:dyDescent="0.3">
      <c r="A1419" s="34">
        <v>46274</v>
      </c>
      <c r="B1419" s="34">
        <v>46274</v>
      </c>
      <c r="C1419" s="5" t="s">
        <v>78</v>
      </c>
      <c r="D1419" s="5" t="s">
        <v>79</v>
      </c>
      <c r="E1419" s="5" t="s">
        <v>80</v>
      </c>
      <c r="F1419" s="5">
        <v>2056</v>
      </c>
      <c r="G1419" s="5" t="s">
        <v>4346</v>
      </c>
      <c r="H1419" s="5" t="s">
        <v>4347</v>
      </c>
      <c r="I1419" s="5" t="s">
        <v>212</v>
      </c>
      <c r="N1419" s="5" t="s">
        <v>4348</v>
      </c>
      <c r="O1419" s="5">
        <v>1231</v>
      </c>
      <c r="P1419" s="5">
        <v>1231</v>
      </c>
      <c r="Q1419" s="5">
        <v>1190.5</v>
      </c>
      <c r="R1419" s="5">
        <v>1202.3</v>
      </c>
      <c r="S1419" s="5">
        <v>1208</v>
      </c>
      <c r="T1419" s="5">
        <v>1237.0999999999999</v>
      </c>
      <c r="V1419" s="5">
        <v>1202.31</v>
      </c>
      <c r="Y1419" s="5">
        <v>156030</v>
      </c>
      <c r="Z1419" s="5">
        <v>187728262</v>
      </c>
      <c r="AA1419" s="5">
        <v>14602</v>
      </c>
      <c r="AB1419" s="5" t="s">
        <v>85</v>
      </c>
      <c r="AC1419" s="5">
        <v>1</v>
      </c>
    </row>
    <row r="1420" spans="1:29" x14ac:dyDescent="0.3">
      <c r="A1420" s="34">
        <v>46274</v>
      </c>
      <c r="B1420" s="34">
        <v>46274</v>
      </c>
      <c r="C1420" s="5" t="s">
        <v>78</v>
      </c>
      <c r="D1420" s="5" t="s">
        <v>79</v>
      </c>
      <c r="E1420" s="5" t="s">
        <v>80</v>
      </c>
      <c r="F1420" s="5">
        <v>19813</v>
      </c>
      <c r="G1420" s="5" t="s">
        <v>4349</v>
      </c>
      <c r="H1420" s="5" t="s">
        <v>4350</v>
      </c>
      <c r="I1420" s="5" t="s">
        <v>212</v>
      </c>
      <c r="N1420" s="5" t="s">
        <v>4351</v>
      </c>
      <c r="O1420" s="5">
        <v>475</v>
      </c>
      <c r="P1420" s="5">
        <v>480.55</v>
      </c>
      <c r="Q1420" s="5">
        <v>466.2</v>
      </c>
      <c r="R1420" s="5">
        <v>471.05</v>
      </c>
      <c r="S1420" s="5">
        <v>473</v>
      </c>
      <c r="T1420" s="5">
        <v>476.05</v>
      </c>
      <c r="V1420" s="5">
        <v>471.05</v>
      </c>
      <c r="Y1420" s="5">
        <v>683211</v>
      </c>
      <c r="Z1420" s="5">
        <v>321477377.75</v>
      </c>
      <c r="AA1420" s="5">
        <v>15573</v>
      </c>
      <c r="AB1420" s="5" t="s">
        <v>85</v>
      </c>
      <c r="AC1420" s="5">
        <v>1</v>
      </c>
    </row>
    <row r="1421" spans="1:29" x14ac:dyDescent="0.3">
      <c r="A1421" s="34">
        <v>46274</v>
      </c>
      <c r="B1421" s="34">
        <v>46274</v>
      </c>
      <c r="C1421" s="5" t="s">
        <v>78</v>
      </c>
      <c r="D1421" s="5" t="s">
        <v>79</v>
      </c>
      <c r="E1421" s="5" t="s">
        <v>80</v>
      </c>
      <c r="F1421" s="5">
        <v>3138</v>
      </c>
      <c r="G1421" s="5" t="s">
        <v>4352</v>
      </c>
      <c r="H1421" s="5" t="s">
        <v>4353</v>
      </c>
      <c r="I1421" s="5" t="s">
        <v>212</v>
      </c>
      <c r="N1421" s="5" t="s">
        <v>4354</v>
      </c>
      <c r="O1421" s="5">
        <v>1981.7</v>
      </c>
      <c r="P1421" s="5">
        <v>1999.7</v>
      </c>
      <c r="Q1421" s="5">
        <v>1949</v>
      </c>
      <c r="R1421" s="5">
        <v>1964.2</v>
      </c>
      <c r="S1421" s="5">
        <v>1954</v>
      </c>
      <c r="T1421" s="5">
        <v>1981.7</v>
      </c>
      <c r="V1421" s="5">
        <v>1964.45</v>
      </c>
      <c r="Y1421" s="5">
        <v>3084</v>
      </c>
      <c r="Z1421" s="5">
        <v>6066851.9000000004</v>
      </c>
      <c r="AA1421" s="5">
        <v>476</v>
      </c>
      <c r="AB1421" s="5" t="s">
        <v>85</v>
      </c>
      <c r="AC1421" s="5">
        <v>1</v>
      </c>
    </row>
    <row r="1422" spans="1:29" x14ac:dyDescent="0.3">
      <c r="A1422" s="34">
        <v>46274</v>
      </c>
      <c r="B1422" s="34">
        <v>46274</v>
      </c>
      <c r="C1422" s="5" t="s">
        <v>78</v>
      </c>
      <c r="D1422" s="5" t="s">
        <v>79</v>
      </c>
      <c r="E1422" s="5" t="s">
        <v>80</v>
      </c>
      <c r="F1422" s="5">
        <v>3417</v>
      </c>
      <c r="G1422" s="5" t="s">
        <v>4355</v>
      </c>
      <c r="H1422" s="5" t="s">
        <v>4356</v>
      </c>
      <c r="I1422" s="5" t="s">
        <v>212</v>
      </c>
      <c r="N1422" s="5" t="s">
        <v>4357</v>
      </c>
      <c r="O1422" s="5">
        <v>35190</v>
      </c>
      <c r="P1422" s="5">
        <v>35285</v>
      </c>
      <c r="Q1422" s="5">
        <v>34055</v>
      </c>
      <c r="R1422" s="5">
        <v>34180</v>
      </c>
      <c r="S1422" s="5">
        <v>34100</v>
      </c>
      <c r="T1422" s="5">
        <v>35060</v>
      </c>
      <c r="V1422" s="5">
        <v>34178.620000000003</v>
      </c>
      <c r="Y1422" s="5">
        <v>3890</v>
      </c>
      <c r="Z1422" s="5">
        <v>133793550</v>
      </c>
      <c r="AA1422" s="5">
        <v>2186</v>
      </c>
      <c r="AB1422" s="5" t="s">
        <v>85</v>
      </c>
      <c r="AC1422" s="5">
        <v>1</v>
      </c>
    </row>
    <row r="1423" spans="1:29" x14ac:dyDescent="0.3">
      <c r="A1423" s="34">
        <v>46274</v>
      </c>
      <c r="B1423" s="34">
        <v>46274</v>
      </c>
      <c r="C1423" s="5" t="s">
        <v>78</v>
      </c>
      <c r="D1423" s="5" t="s">
        <v>79</v>
      </c>
      <c r="E1423" s="5" t="s">
        <v>80</v>
      </c>
      <c r="F1423" s="5">
        <v>765356</v>
      </c>
      <c r="G1423" s="5" t="s">
        <v>4358</v>
      </c>
      <c r="H1423" s="5" t="s">
        <v>4359</v>
      </c>
      <c r="I1423" s="5" t="s">
        <v>212</v>
      </c>
      <c r="N1423" s="5" t="s">
        <v>4360</v>
      </c>
      <c r="O1423" s="5">
        <v>55.05</v>
      </c>
      <c r="P1423" s="5">
        <v>56.8</v>
      </c>
      <c r="Q1423" s="5">
        <v>54.98</v>
      </c>
      <c r="R1423" s="5">
        <v>55.67</v>
      </c>
      <c r="S1423" s="5">
        <v>55.87</v>
      </c>
      <c r="T1423" s="5">
        <v>55.54</v>
      </c>
      <c r="V1423" s="5">
        <v>55.67</v>
      </c>
      <c r="Y1423" s="5">
        <v>3383047</v>
      </c>
      <c r="Z1423" s="5">
        <v>189509397.52000001</v>
      </c>
      <c r="AA1423" s="5">
        <v>34091</v>
      </c>
      <c r="AB1423" s="5" t="s">
        <v>85</v>
      </c>
      <c r="AC1423" s="5">
        <v>1</v>
      </c>
    </row>
    <row r="1424" spans="1:29" x14ac:dyDescent="0.3">
      <c r="A1424" s="34">
        <v>46274</v>
      </c>
      <c r="B1424" s="34">
        <v>46274</v>
      </c>
      <c r="C1424" s="5" t="s">
        <v>78</v>
      </c>
      <c r="D1424" s="5" t="s">
        <v>79</v>
      </c>
      <c r="E1424" s="5" t="s">
        <v>80</v>
      </c>
      <c r="F1424" s="5">
        <v>17920</v>
      </c>
      <c r="G1424" s="5" t="s">
        <v>4361</v>
      </c>
      <c r="H1424" s="5" t="s">
        <v>4362</v>
      </c>
      <c r="I1424" s="5" t="s">
        <v>614</v>
      </c>
      <c r="N1424" s="5" t="s">
        <v>4363</v>
      </c>
      <c r="O1424" s="5">
        <v>1.54</v>
      </c>
      <c r="P1424" s="5">
        <v>1.54</v>
      </c>
      <c r="Q1424" s="5">
        <v>1.48</v>
      </c>
      <c r="R1424" s="5">
        <v>1.49</v>
      </c>
      <c r="S1424" s="5">
        <v>1.51</v>
      </c>
      <c r="T1424" s="5">
        <v>1.5</v>
      </c>
      <c r="V1424" s="5">
        <v>1.49</v>
      </c>
      <c r="Y1424" s="5">
        <v>76865</v>
      </c>
      <c r="Z1424" s="5">
        <v>115245.44</v>
      </c>
      <c r="AA1424" s="5">
        <v>168</v>
      </c>
      <c r="AB1424" s="5" t="s">
        <v>85</v>
      </c>
      <c r="AC1424" s="5">
        <v>1</v>
      </c>
    </row>
    <row r="1425" spans="1:29" x14ac:dyDescent="0.3">
      <c r="A1425" s="34">
        <v>46274</v>
      </c>
      <c r="B1425" s="34">
        <v>46274</v>
      </c>
      <c r="C1425" s="5" t="s">
        <v>78</v>
      </c>
      <c r="D1425" s="5" t="s">
        <v>79</v>
      </c>
      <c r="E1425" s="5" t="s">
        <v>80</v>
      </c>
      <c r="F1425" s="5">
        <v>7376</v>
      </c>
      <c r="G1425" s="5" t="s">
        <v>4364</v>
      </c>
      <c r="H1425" s="5" t="s">
        <v>4365</v>
      </c>
      <c r="I1425" s="5" t="s">
        <v>212</v>
      </c>
      <c r="N1425" s="5" t="s">
        <v>4366</v>
      </c>
      <c r="O1425" s="5">
        <v>35.590000000000003</v>
      </c>
      <c r="P1425" s="5">
        <v>36.07</v>
      </c>
      <c r="Q1425" s="5">
        <v>35.119999999999997</v>
      </c>
      <c r="R1425" s="5">
        <v>35.67</v>
      </c>
      <c r="S1425" s="5">
        <v>35.25</v>
      </c>
      <c r="T1425" s="5">
        <v>35.42</v>
      </c>
      <c r="V1425" s="5">
        <v>35.590000000000003</v>
      </c>
      <c r="Y1425" s="5">
        <v>61671</v>
      </c>
      <c r="Z1425" s="5">
        <v>2199616</v>
      </c>
      <c r="AA1425" s="5">
        <v>713</v>
      </c>
      <c r="AB1425" s="5" t="s">
        <v>85</v>
      </c>
      <c r="AC1425" s="5">
        <v>1</v>
      </c>
    </row>
    <row r="1426" spans="1:29" x14ac:dyDescent="0.3">
      <c r="A1426" s="34">
        <v>46274</v>
      </c>
      <c r="B1426" s="34">
        <v>46274</v>
      </c>
      <c r="C1426" s="5" t="s">
        <v>78</v>
      </c>
      <c r="D1426" s="5" t="s">
        <v>79</v>
      </c>
      <c r="E1426" s="5" t="s">
        <v>80</v>
      </c>
      <c r="F1426" s="5">
        <v>29875</v>
      </c>
      <c r="G1426" s="5" t="s">
        <v>4367</v>
      </c>
      <c r="H1426" s="5" t="s">
        <v>4368</v>
      </c>
      <c r="I1426" s="5" t="s">
        <v>313</v>
      </c>
      <c r="N1426" s="5" t="s">
        <v>4369</v>
      </c>
      <c r="O1426" s="5">
        <v>324.95</v>
      </c>
      <c r="P1426" s="5">
        <v>325</v>
      </c>
      <c r="Q1426" s="5">
        <v>314</v>
      </c>
      <c r="R1426" s="5">
        <v>324.89999999999998</v>
      </c>
      <c r="S1426" s="5">
        <v>324.89999999999998</v>
      </c>
      <c r="T1426" s="5">
        <v>315.5</v>
      </c>
      <c r="V1426" s="5">
        <v>324.89999999999998</v>
      </c>
      <c r="Y1426" s="5">
        <v>15600</v>
      </c>
      <c r="Z1426" s="5">
        <v>4962900</v>
      </c>
      <c r="AA1426" s="5">
        <v>20</v>
      </c>
      <c r="AB1426" s="5" t="s">
        <v>85</v>
      </c>
      <c r="AC1426" s="5">
        <v>600</v>
      </c>
    </row>
    <row r="1427" spans="1:29" x14ac:dyDescent="0.3">
      <c r="A1427" s="34">
        <v>46274</v>
      </c>
      <c r="B1427" s="34">
        <v>46274</v>
      </c>
      <c r="C1427" s="5" t="s">
        <v>78</v>
      </c>
      <c r="D1427" s="5" t="s">
        <v>79</v>
      </c>
      <c r="E1427" s="5" t="s">
        <v>80</v>
      </c>
      <c r="F1427" s="5">
        <v>18679</v>
      </c>
      <c r="G1427" s="5" t="s">
        <v>4370</v>
      </c>
      <c r="H1427" s="5" t="s">
        <v>4371</v>
      </c>
      <c r="I1427" s="5" t="s">
        <v>212</v>
      </c>
      <c r="N1427" s="5" t="s">
        <v>4372</v>
      </c>
      <c r="O1427" s="5">
        <v>302.55</v>
      </c>
      <c r="P1427" s="5">
        <v>305.45</v>
      </c>
      <c r="Q1427" s="5">
        <v>298.05</v>
      </c>
      <c r="R1427" s="5">
        <v>298.64999999999998</v>
      </c>
      <c r="S1427" s="5">
        <v>298.05</v>
      </c>
      <c r="T1427" s="5">
        <v>303</v>
      </c>
      <c r="V1427" s="5">
        <v>298.64</v>
      </c>
      <c r="Y1427" s="5">
        <v>83546</v>
      </c>
      <c r="Z1427" s="5">
        <v>25061540.399999999</v>
      </c>
      <c r="AA1427" s="5">
        <v>3361</v>
      </c>
      <c r="AB1427" s="5" t="s">
        <v>85</v>
      </c>
      <c r="AC1427" s="5">
        <v>1</v>
      </c>
    </row>
    <row r="1428" spans="1:29" x14ac:dyDescent="0.3">
      <c r="A1428" s="34">
        <v>46274</v>
      </c>
      <c r="B1428" s="34">
        <v>46274</v>
      </c>
      <c r="C1428" s="5" t="s">
        <v>78</v>
      </c>
      <c r="D1428" s="5" t="s">
        <v>79</v>
      </c>
      <c r="E1428" s="5" t="s">
        <v>80</v>
      </c>
      <c r="F1428" s="5">
        <v>21107</v>
      </c>
      <c r="G1428" s="5" t="s">
        <v>4373</v>
      </c>
      <c r="H1428" s="5" t="s">
        <v>4374</v>
      </c>
      <c r="I1428" s="5" t="s">
        <v>313</v>
      </c>
      <c r="N1428" s="5" t="s">
        <v>4375</v>
      </c>
      <c r="O1428" s="5">
        <v>26.15</v>
      </c>
      <c r="P1428" s="5">
        <v>26.15</v>
      </c>
      <c r="Q1428" s="5">
        <v>26.15</v>
      </c>
      <c r="R1428" s="5">
        <v>26.15</v>
      </c>
      <c r="S1428" s="5">
        <v>26.15</v>
      </c>
      <c r="T1428" s="5">
        <v>26.15</v>
      </c>
      <c r="V1428" s="5">
        <v>26.15</v>
      </c>
      <c r="Y1428" s="5">
        <v>1500</v>
      </c>
      <c r="Z1428" s="5">
        <v>39225</v>
      </c>
      <c r="AA1428" s="5">
        <v>1</v>
      </c>
      <c r="AB1428" s="5" t="s">
        <v>85</v>
      </c>
      <c r="AC1428" s="5">
        <v>1500</v>
      </c>
    </row>
    <row r="1429" spans="1:29" x14ac:dyDescent="0.3">
      <c r="A1429" s="34">
        <v>46274</v>
      </c>
      <c r="B1429" s="34">
        <v>46274</v>
      </c>
      <c r="C1429" s="5" t="s">
        <v>78</v>
      </c>
      <c r="D1429" s="5" t="s">
        <v>79</v>
      </c>
      <c r="E1429" s="5" t="s">
        <v>80</v>
      </c>
      <c r="F1429" s="5">
        <v>761506</v>
      </c>
      <c r="G1429" s="5" t="s">
        <v>4376</v>
      </c>
      <c r="H1429" s="5" t="s">
        <v>4377</v>
      </c>
      <c r="I1429" s="5" t="s">
        <v>212</v>
      </c>
      <c r="N1429" s="5" t="s">
        <v>4378</v>
      </c>
      <c r="O1429" s="5">
        <v>129.22</v>
      </c>
      <c r="P1429" s="5">
        <v>134.80000000000001</v>
      </c>
      <c r="Q1429" s="5">
        <v>129.22</v>
      </c>
      <c r="R1429" s="5">
        <v>132.63</v>
      </c>
      <c r="S1429" s="5">
        <v>132.62</v>
      </c>
      <c r="T1429" s="5">
        <v>132.66999999999999</v>
      </c>
      <c r="V1429" s="5">
        <v>132.63</v>
      </c>
      <c r="Y1429" s="5">
        <v>8413</v>
      </c>
      <c r="Z1429" s="5">
        <v>1109899.23</v>
      </c>
      <c r="AA1429" s="5">
        <v>45</v>
      </c>
      <c r="AB1429" s="5" t="s">
        <v>85</v>
      </c>
      <c r="AC1429" s="5">
        <v>1</v>
      </c>
    </row>
    <row r="1430" spans="1:29" x14ac:dyDescent="0.3">
      <c r="A1430" s="34">
        <v>46274</v>
      </c>
      <c r="B1430" s="34">
        <v>46274</v>
      </c>
      <c r="C1430" s="5" t="s">
        <v>78</v>
      </c>
      <c r="D1430" s="5" t="s">
        <v>79</v>
      </c>
      <c r="E1430" s="5" t="s">
        <v>80</v>
      </c>
      <c r="F1430" s="5">
        <v>20825</v>
      </c>
      <c r="G1430" s="5" t="s">
        <v>4379</v>
      </c>
      <c r="H1430" s="5" t="s">
        <v>4380</v>
      </c>
      <c r="I1430" s="5" t="s">
        <v>212</v>
      </c>
      <c r="N1430" s="5" t="s">
        <v>4381</v>
      </c>
      <c r="O1430" s="5">
        <v>177.57</v>
      </c>
      <c r="P1430" s="5">
        <v>178.5</v>
      </c>
      <c r="Q1430" s="5">
        <v>175</v>
      </c>
      <c r="R1430" s="5">
        <v>175.35</v>
      </c>
      <c r="S1430" s="5">
        <v>175.5</v>
      </c>
      <c r="T1430" s="5">
        <v>178.26</v>
      </c>
      <c r="V1430" s="5">
        <v>175.35</v>
      </c>
      <c r="Y1430" s="5">
        <v>1174950</v>
      </c>
      <c r="Z1430" s="5">
        <v>207468331.90000001</v>
      </c>
      <c r="AA1430" s="5">
        <v>17171</v>
      </c>
      <c r="AB1430" s="5" t="s">
        <v>85</v>
      </c>
      <c r="AC1430" s="5">
        <v>1</v>
      </c>
    </row>
    <row r="1431" spans="1:29" x14ac:dyDescent="0.3">
      <c r="A1431" s="34">
        <v>46274</v>
      </c>
      <c r="B1431" s="34">
        <v>46274</v>
      </c>
      <c r="C1431" s="5" t="s">
        <v>78</v>
      </c>
      <c r="D1431" s="5" t="s">
        <v>79</v>
      </c>
      <c r="E1431" s="5" t="s">
        <v>80</v>
      </c>
      <c r="F1431" s="5">
        <v>11979</v>
      </c>
      <c r="G1431" s="5" t="s">
        <v>4382</v>
      </c>
      <c r="H1431" s="5" t="s">
        <v>4383</v>
      </c>
      <c r="I1431" s="5" t="s">
        <v>212</v>
      </c>
      <c r="N1431" s="5" t="s">
        <v>4384</v>
      </c>
      <c r="O1431" s="5">
        <v>25.24</v>
      </c>
      <c r="P1431" s="5">
        <v>25.91</v>
      </c>
      <c r="Q1431" s="5">
        <v>24.5</v>
      </c>
      <c r="R1431" s="5">
        <v>24.67</v>
      </c>
      <c r="S1431" s="5">
        <v>24.95</v>
      </c>
      <c r="T1431" s="5">
        <v>25.41</v>
      </c>
      <c r="V1431" s="5">
        <v>24.68</v>
      </c>
      <c r="Y1431" s="5">
        <v>122745</v>
      </c>
      <c r="Z1431" s="5">
        <v>3046048.57</v>
      </c>
      <c r="AA1431" s="5">
        <v>632</v>
      </c>
      <c r="AB1431" s="5" t="s">
        <v>85</v>
      </c>
      <c r="AC1431" s="5">
        <v>1</v>
      </c>
    </row>
    <row r="1432" spans="1:29" x14ac:dyDescent="0.3">
      <c r="A1432" s="34">
        <v>46274</v>
      </c>
      <c r="B1432" s="34">
        <v>46274</v>
      </c>
      <c r="C1432" s="5" t="s">
        <v>78</v>
      </c>
      <c r="D1432" s="5" t="s">
        <v>79</v>
      </c>
      <c r="E1432" s="5" t="s">
        <v>80</v>
      </c>
      <c r="F1432" s="5">
        <v>14203</v>
      </c>
      <c r="G1432" s="5" t="s">
        <v>4385</v>
      </c>
      <c r="H1432" s="5" t="s">
        <v>4386</v>
      </c>
      <c r="I1432" s="5" t="s">
        <v>212</v>
      </c>
      <c r="N1432" s="5" t="s">
        <v>4387</v>
      </c>
      <c r="O1432" s="5">
        <v>184.99</v>
      </c>
      <c r="P1432" s="5">
        <v>188.99</v>
      </c>
      <c r="Q1432" s="5">
        <v>182</v>
      </c>
      <c r="R1432" s="5">
        <v>184</v>
      </c>
      <c r="S1432" s="5">
        <v>183.97</v>
      </c>
      <c r="T1432" s="5">
        <v>185.56</v>
      </c>
      <c r="V1432" s="5">
        <v>183.99</v>
      </c>
      <c r="Y1432" s="5">
        <v>459997</v>
      </c>
      <c r="Z1432" s="5">
        <v>85553891.25</v>
      </c>
      <c r="AA1432" s="5">
        <v>5493</v>
      </c>
      <c r="AB1432" s="5" t="s">
        <v>85</v>
      </c>
      <c r="AC1432" s="5">
        <v>1</v>
      </c>
    </row>
    <row r="1433" spans="1:29" x14ac:dyDescent="0.3">
      <c r="A1433" s="34">
        <v>46274</v>
      </c>
      <c r="B1433" s="34">
        <v>46274</v>
      </c>
      <c r="C1433" s="5" t="s">
        <v>78</v>
      </c>
      <c r="D1433" s="5" t="s">
        <v>79</v>
      </c>
      <c r="E1433" s="5" t="s">
        <v>80</v>
      </c>
      <c r="F1433" s="5">
        <v>2562</v>
      </c>
      <c r="G1433" s="5" t="s">
        <v>4388</v>
      </c>
      <c r="H1433" s="5" t="s">
        <v>4389</v>
      </c>
      <c r="I1433" s="5" t="s">
        <v>212</v>
      </c>
      <c r="N1433" s="5" t="s">
        <v>4390</v>
      </c>
      <c r="O1433" s="5">
        <v>249</v>
      </c>
      <c r="P1433" s="5">
        <v>269.39999999999998</v>
      </c>
      <c r="Q1433" s="5">
        <v>249</v>
      </c>
      <c r="R1433" s="5">
        <v>267.85000000000002</v>
      </c>
      <c r="S1433" s="5">
        <v>268.89999999999998</v>
      </c>
      <c r="T1433" s="5">
        <v>250.7</v>
      </c>
      <c r="V1433" s="5">
        <v>267.83</v>
      </c>
      <c r="Y1433" s="5">
        <v>970555</v>
      </c>
      <c r="Z1433" s="5">
        <v>256849646.44999999</v>
      </c>
      <c r="AA1433" s="5">
        <v>18401</v>
      </c>
      <c r="AB1433" s="5" t="s">
        <v>85</v>
      </c>
      <c r="AC1433" s="5">
        <v>1</v>
      </c>
    </row>
    <row r="1434" spans="1:29" x14ac:dyDescent="0.3">
      <c r="A1434" s="34">
        <v>46274</v>
      </c>
      <c r="B1434" s="34">
        <v>46274</v>
      </c>
      <c r="C1434" s="5" t="s">
        <v>78</v>
      </c>
      <c r="D1434" s="5" t="s">
        <v>79</v>
      </c>
      <c r="E1434" s="5" t="s">
        <v>80</v>
      </c>
      <c r="F1434" s="5">
        <v>25708</v>
      </c>
      <c r="G1434" s="5" t="s">
        <v>4391</v>
      </c>
      <c r="H1434" s="5" t="s">
        <v>4392</v>
      </c>
      <c r="I1434" s="5" t="s">
        <v>313</v>
      </c>
      <c r="N1434" s="5" t="s">
        <v>4393</v>
      </c>
      <c r="O1434" s="5">
        <v>640</v>
      </c>
      <c r="P1434" s="5">
        <v>669</v>
      </c>
      <c r="Q1434" s="5">
        <v>640</v>
      </c>
      <c r="R1434" s="5">
        <v>653</v>
      </c>
      <c r="S1434" s="5">
        <v>669</v>
      </c>
      <c r="T1434" s="5">
        <v>640</v>
      </c>
      <c r="V1434" s="5">
        <v>653</v>
      </c>
      <c r="Y1434" s="5">
        <v>1500</v>
      </c>
      <c r="Z1434" s="5">
        <v>971700</v>
      </c>
      <c r="AA1434" s="5">
        <v>8</v>
      </c>
      <c r="AB1434" s="5" t="s">
        <v>85</v>
      </c>
      <c r="AC1434" s="5">
        <v>150</v>
      </c>
    </row>
    <row r="1435" spans="1:29" x14ac:dyDescent="0.3">
      <c r="A1435" s="34">
        <v>46274</v>
      </c>
      <c r="B1435" s="34">
        <v>46274</v>
      </c>
      <c r="C1435" s="5" t="s">
        <v>78</v>
      </c>
      <c r="D1435" s="5" t="s">
        <v>79</v>
      </c>
      <c r="E1435" s="5" t="s">
        <v>80</v>
      </c>
      <c r="F1435" s="5">
        <v>765468</v>
      </c>
      <c r="G1435" s="5" t="s">
        <v>4394</v>
      </c>
      <c r="H1435" s="5" t="s">
        <v>4395</v>
      </c>
      <c r="I1435" s="5" t="s">
        <v>234</v>
      </c>
      <c r="N1435" s="5" t="s">
        <v>4396</v>
      </c>
      <c r="O1435" s="5">
        <v>74.739999999999995</v>
      </c>
      <c r="P1435" s="5">
        <v>77.650000000000006</v>
      </c>
      <c r="Q1435" s="5">
        <v>73.5</v>
      </c>
      <c r="R1435" s="5">
        <v>77.650000000000006</v>
      </c>
      <c r="S1435" s="5">
        <v>77.650000000000006</v>
      </c>
      <c r="T1435" s="5">
        <v>73.959999999999994</v>
      </c>
      <c r="V1435" s="5">
        <v>77.650000000000006</v>
      </c>
      <c r="Y1435" s="5">
        <v>1719401</v>
      </c>
      <c r="Z1435" s="5">
        <v>131599008.19</v>
      </c>
      <c r="AA1435" s="5">
        <v>5909</v>
      </c>
      <c r="AB1435" s="5" t="s">
        <v>85</v>
      </c>
      <c r="AC1435" s="5">
        <v>1</v>
      </c>
    </row>
    <row r="1436" spans="1:29" x14ac:dyDescent="0.3">
      <c r="A1436" s="34">
        <v>46274</v>
      </c>
      <c r="B1436" s="34">
        <v>46274</v>
      </c>
      <c r="C1436" s="5" t="s">
        <v>78</v>
      </c>
      <c r="D1436" s="5" t="s">
        <v>79</v>
      </c>
      <c r="E1436" s="5" t="s">
        <v>80</v>
      </c>
      <c r="F1436" s="5">
        <v>12814</v>
      </c>
      <c r="G1436" s="5" t="s">
        <v>4397</v>
      </c>
      <c r="H1436" s="5" t="s">
        <v>4398</v>
      </c>
      <c r="I1436" s="5" t="s">
        <v>234</v>
      </c>
      <c r="N1436" s="5" t="s">
        <v>4399</v>
      </c>
      <c r="O1436" s="5">
        <v>16.8</v>
      </c>
      <c r="P1436" s="5">
        <v>17.2</v>
      </c>
      <c r="Q1436" s="5">
        <v>16.8</v>
      </c>
      <c r="R1436" s="5">
        <v>17</v>
      </c>
      <c r="S1436" s="5">
        <v>17</v>
      </c>
      <c r="T1436" s="5">
        <v>17.2</v>
      </c>
      <c r="V1436" s="5">
        <v>17.02</v>
      </c>
      <c r="Y1436" s="5">
        <v>2117</v>
      </c>
      <c r="Z1436" s="5">
        <v>35958.26</v>
      </c>
      <c r="AA1436" s="5">
        <v>14</v>
      </c>
      <c r="AB1436" s="5" t="s">
        <v>85</v>
      </c>
      <c r="AC1436" s="5">
        <v>1</v>
      </c>
    </row>
    <row r="1437" spans="1:29" x14ac:dyDescent="0.3">
      <c r="A1437" s="34">
        <v>46274</v>
      </c>
      <c r="B1437" s="34">
        <v>46274</v>
      </c>
      <c r="C1437" s="5" t="s">
        <v>78</v>
      </c>
      <c r="D1437" s="5" t="s">
        <v>79</v>
      </c>
      <c r="E1437" s="5" t="s">
        <v>80</v>
      </c>
      <c r="F1437" s="5">
        <v>25844</v>
      </c>
      <c r="G1437" s="5" t="s">
        <v>4400</v>
      </c>
      <c r="H1437" s="5" t="s">
        <v>4401</v>
      </c>
      <c r="I1437" s="5" t="s">
        <v>212</v>
      </c>
      <c r="N1437" s="5" t="s">
        <v>4402</v>
      </c>
      <c r="O1437" s="5">
        <v>2210</v>
      </c>
      <c r="P1437" s="5">
        <v>2219.6999999999998</v>
      </c>
      <c r="Q1437" s="5">
        <v>2152.5</v>
      </c>
      <c r="R1437" s="5">
        <v>2182.4</v>
      </c>
      <c r="S1437" s="5">
        <v>2182.4</v>
      </c>
      <c r="T1437" s="5">
        <v>2220</v>
      </c>
      <c r="V1437" s="5">
        <v>2182.44</v>
      </c>
      <c r="Y1437" s="5">
        <v>587339</v>
      </c>
      <c r="Z1437" s="5">
        <v>1288407824.8</v>
      </c>
      <c r="AA1437" s="5">
        <v>30909</v>
      </c>
      <c r="AB1437" s="5" t="s">
        <v>85</v>
      </c>
      <c r="AC1437" s="5">
        <v>1</v>
      </c>
    </row>
    <row r="1438" spans="1:29" x14ac:dyDescent="0.3">
      <c r="A1438" s="34">
        <v>46274</v>
      </c>
      <c r="B1438" s="34">
        <v>46274</v>
      </c>
      <c r="C1438" s="5" t="s">
        <v>78</v>
      </c>
      <c r="D1438" s="5" t="s">
        <v>79</v>
      </c>
      <c r="E1438" s="5" t="s">
        <v>80</v>
      </c>
      <c r="F1438" s="5">
        <v>14086</v>
      </c>
      <c r="G1438" s="5" t="s">
        <v>4403</v>
      </c>
      <c r="H1438" s="5" t="s">
        <v>4404</v>
      </c>
      <c r="I1438" s="5" t="s">
        <v>212</v>
      </c>
      <c r="N1438" s="5" t="s">
        <v>4405</v>
      </c>
      <c r="O1438" s="5">
        <v>587.95000000000005</v>
      </c>
      <c r="P1438" s="5">
        <v>587.95000000000005</v>
      </c>
      <c r="Q1438" s="5">
        <v>555</v>
      </c>
      <c r="R1438" s="5">
        <v>557.20000000000005</v>
      </c>
      <c r="S1438" s="5">
        <v>556</v>
      </c>
      <c r="T1438" s="5">
        <v>584.54999999999995</v>
      </c>
      <c r="V1438" s="5">
        <v>557.20000000000005</v>
      </c>
      <c r="Y1438" s="5">
        <v>102555</v>
      </c>
      <c r="Z1438" s="5">
        <v>57859577.799999997</v>
      </c>
      <c r="AA1438" s="5">
        <v>4899</v>
      </c>
      <c r="AB1438" s="5" t="s">
        <v>85</v>
      </c>
      <c r="AC1438" s="5">
        <v>1</v>
      </c>
    </row>
    <row r="1439" spans="1:29" x14ac:dyDescent="0.3">
      <c r="A1439" s="34">
        <v>46274</v>
      </c>
      <c r="B1439" s="34">
        <v>46274</v>
      </c>
      <c r="C1439" s="5" t="s">
        <v>78</v>
      </c>
      <c r="D1439" s="5" t="s">
        <v>79</v>
      </c>
      <c r="E1439" s="5" t="s">
        <v>80</v>
      </c>
      <c r="F1439" s="5">
        <v>764718</v>
      </c>
      <c r="G1439" s="5" t="s">
        <v>4406</v>
      </c>
      <c r="H1439" s="5" t="s">
        <v>4407</v>
      </c>
      <c r="I1439" s="5" t="s">
        <v>212</v>
      </c>
      <c r="N1439" s="5" t="s">
        <v>4408</v>
      </c>
      <c r="O1439" s="5">
        <v>651.79999999999995</v>
      </c>
      <c r="P1439" s="5">
        <v>670</v>
      </c>
      <c r="Q1439" s="5">
        <v>642</v>
      </c>
      <c r="R1439" s="5">
        <v>663.65</v>
      </c>
      <c r="S1439" s="5">
        <v>663.9</v>
      </c>
      <c r="T1439" s="5">
        <v>651.79999999999995</v>
      </c>
      <c r="V1439" s="5">
        <v>663.65</v>
      </c>
      <c r="Y1439" s="5">
        <v>938</v>
      </c>
      <c r="Z1439" s="5">
        <v>619220.15</v>
      </c>
      <c r="AA1439" s="5">
        <v>113</v>
      </c>
      <c r="AB1439" s="5" t="s">
        <v>85</v>
      </c>
      <c r="AC1439" s="5">
        <v>1</v>
      </c>
    </row>
    <row r="1440" spans="1:29" x14ac:dyDescent="0.3">
      <c r="A1440" s="34">
        <v>46274</v>
      </c>
      <c r="B1440" s="34">
        <v>46274</v>
      </c>
      <c r="C1440" s="5" t="s">
        <v>78</v>
      </c>
      <c r="D1440" s="5" t="s">
        <v>79</v>
      </c>
      <c r="E1440" s="5" t="s">
        <v>80</v>
      </c>
      <c r="F1440" s="5">
        <v>21348</v>
      </c>
      <c r="G1440" s="5" t="s">
        <v>4409</v>
      </c>
      <c r="H1440" s="5" t="s">
        <v>4410</v>
      </c>
      <c r="I1440" s="5" t="s">
        <v>313</v>
      </c>
      <c r="N1440" s="5" t="s">
        <v>4411</v>
      </c>
      <c r="O1440" s="5">
        <v>60</v>
      </c>
      <c r="P1440" s="5">
        <v>60</v>
      </c>
      <c r="Q1440" s="5">
        <v>60</v>
      </c>
      <c r="R1440" s="5">
        <v>60</v>
      </c>
      <c r="S1440" s="5">
        <v>60</v>
      </c>
      <c r="T1440" s="5">
        <v>60.5</v>
      </c>
      <c r="V1440" s="5">
        <v>60</v>
      </c>
      <c r="Y1440" s="5">
        <v>6000</v>
      </c>
      <c r="Z1440" s="5">
        <v>360000</v>
      </c>
      <c r="AA1440" s="5">
        <v>2</v>
      </c>
      <c r="AB1440" s="5" t="s">
        <v>85</v>
      </c>
      <c r="AC1440" s="5">
        <v>2000</v>
      </c>
    </row>
    <row r="1441" spans="1:29" x14ac:dyDescent="0.3">
      <c r="A1441" s="34">
        <v>46274</v>
      </c>
      <c r="B1441" s="34">
        <v>46274</v>
      </c>
      <c r="C1441" s="5" t="s">
        <v>78</v>
      </c>
      <c r="D1441" s="5" t="s">
        <v>79</v>
      </c>
      <c r="E1441" s="5" t="s">
        <v>80</v>
      </c>
      <c r="F1441" s="5">
        <v>764064</v>
      </c>
      <c r="G1441" s="5" t="s">
        <v>4412</v>
      </c>
      <c r="H1441" s="5" t="s">
        <v>4413</v>
      </c>
      <c r="I1441" s="5" t="s">
        <v>313</v>
      </c>
      <c r="N1441" s="5" t="s">
        <v>4414</v>
      </c>
      <c r="O1441" s="5">
        <v>120</v>
      </c>
      <c r="P1441" s="5">
        <v>127.8</v>
      </c>
      <c r="Q1441" s="5">
        <v>114.6</v>
      </c>
      <c r="R1441" s="5">
        <v>120.55</v>
      </c>
      <c r="S1441" s="5">
        <v>120.1</v>
      </c>
      <c r="T1441" s="5">
        <v>118.95</v>
      </c>
      <c r="V1441" s="5">
        <v>120.55</v>
      </c>
      <c r="Y1441" s="5">
        <v>169200</v>
      </c>
      <c r="Z1441" s="5">
        <v>20289600</v>
      </c>
      <c r="AA1441" s="5">
        <v>100</v>
      </c>
      <c r="AB1441" s="5" t="s">
        <v>85</v>
      </c>
      <c r="AC1441" s="5">
        <v>1200</v>
      </c>
    </row>
    <row r="1442" spans="1:29" x14ac:dyDescent="0.3">
      <c r="A1442" s="34">
        <v>46274</v>
      </c>
      <c r="B1442" s="34">
        <v>46274</v>
      </c>
      <c r="C1442" s="5" t="s">
        <v>78</v>
      </c>
      <c r="D1442" s="5" t="s">
        <v>79</v>
      </c>
      <c r="E1442" s="5" t="s">
        <v>80</v>
      </c>
      <c r="F1442" s="5">
        <v>9610</v>
      </c>
      <c r="G1442" s="5" t="s">
        <v>4415</v>
      </c>
      <c r="H1442" s="5" t="s">
        <v>4416</v>
      </c>
      <c r="I1442" s="5" t="s">
        <v>234</v>
      </c>
      <c r="N1442" s="5" t="s">
        <v>4416</v>
      </c>
      <c r="O1442" s="5">
        <v>60.6</v>
      </c>
      <c r="P1442" s="5">
        <v>64.319999999999993</v>
      </c>
      <c r="Q1442" s="5">
        <v>60.5</v>
      </c>
      <c r="R1442" s="5">
        <v>64.319999999999993</v>
      </c>
      <c r="S1442" s="5">
        <v>64.319999999999993</v>
      </c>
      <c r="T1442" s="5">
        <v>61.26</v>
      </c>
      <c r="V1442" s="5">
        <v>65.11</v>
      </c>
      <c r="Y1442" s="5">
        <v>6782</v>
      </c>
      <c r="Z1442" s="5">
        <v>426808.85</v>
      </c>
      <c r="AA1442" s="5">
        <v>65</v>
      </c>
      <c r="AB1442" s="5" t="s">
        <v>85</v>
      </c>
      <c r="AC1442" s="5">
        <v>1</v>
      </c>
    </row>
    <row r="1443" spans="1:29" x14ac:dyDescent="0.3">
      <c r="A1443" s="34">
        <v>46274</v>
      </c>
      <c r="B1443" s="34">
        <v>46274</v>
      </c>
      <c r="C1443" s="5" t="s">
        <v>78</v>
      </c>
      <c r="D1443" s="5" t="s">
        <v>79</v>
      </c>
      <c r="E1443" s="5" t="s">
        <v>80</v>
      </c>
      <c r="F1443" s="5">
        <v>489</v>
      </c>
      <c r="G1443" s="5" t="s">
        <v>4417</v>
      </c>
      <c r="H1443" s="5" t="s">
        <v>4418</v>
      </c>
      <c r="I1443" s="5" t="s">
        <v>212</v>
      </c>
      <c r="N1443" s="5" t="s">
        <v>4419</v>
      </c>
      <c r="O1443" s="5">
        <v>725</v>
      </c>
      <c r="P1443" s="5">
        <v>745</v>
      </c>
      <c r="Q1443" s="5">
        <v>723</v>
      </c>
      <c r="R1443" s="5">
        <v>725.7</v>
      </c>
      <c r="S1443" s="5">
        <v>723</v>
      </c>
      <c r="T1443" s="5">
        <v>730.35</v>
      </c>
      <c r="V1443" s="5">
        <v>725.7</v>
      </c>
      <c r="Y1443" s="5">
        <v>9869</v>
      </c>
      <c r="Z1443" s="5">
        <v>7227959.2000000002</v>
      </c>
      <c r="AA1443" s="5">
        <v>1317</v>
      </c>
      <c r="AB1443" s="5" t="s">
        <v>85</v>
      </c>
      <c r="AC1443" s="5">
        <v>1</v>
      </c>
    </row>
    <row r="1444" spans="1:29" x14ac:dyDescent="0.3">
      <c r="A1444" s="34">
        <v>46274</v>
      </c>
      <c r="B1444" s="34">
        <v>46274</v>
      </c>
      <c r="C1444" s="5" t="s">
        <v>78</v>
      </c>
      <c r="D1444" s="5" t="s">
        <v>79</v>
      </c>
      <c r="E1444" s="5" t="s">
        <v>80</v>
      </c>
      <c r="F1444" s="5">
        <v>4963</v>
      </c>
      <c r="G1444" s="5" t="s">
        <v>4420</v>
      </c>
      <c r="H1444" s="5" t="s">
        <v>4421</v>
      </c>
      <c r="I1444" s="5" t="s">
        <v>212</v>
      </c>
      <c r="N1444" s="5" t="s">
        <v>4422</v>
      </c>
      <c r="O1444" s="5">
        <v>1395.9</v>
      </c>
      <c r="P1444" s="5">
        <v>1402.5</v>
      </c>
      <c r="Q1444" s="5">
        <v>1385.5</v>
      </c>
      <c r="R1444" s="5">
        <v>1389.1</v>
      </c>
      <c r="S1444" s="5">
        <v>1389.1</v>
      </c>
      <c r="T1444" s="5">
        <v>1399.4</v>
      </c>
      <c r="V1444" s="5">
        <v>1389.11</v>
      </c>
      <c r="Y1444" s="5">
        <v>14229080</v>
      </c>
      <c r="Z1444" s="5">
        <v>19817681421.5</v>
      </c>
      <c r="AA1444" s="5">
        <v>151758</v>
      </c>
      <c r="AB1444" s="5" t="s">
        <v>85</v>
      </c>
      <c r="AC1444" s="5">
        <v>1</v>
      </c>
    </row>
    <row r="1445" spans="1:29" x14ac:dyDescent="0.3">
      <c r="A1445" s="34">
        <v>46274</v>
      </c>
      <c r="B1445" s="34">
        <v>46274</v>
      </c>
      <c r="C1445" s="5" t="s">
        <v>78</v>
      </c>
      <c r="D1445" s="5" t="s">
        <v>79</v>
      </c>
      <c r="E1445" s="5" t="s">
        <v>80</v>
      </c>
      <c r="F1445" s="5">
        <v>21770</v>
      </c>
      <c r="G1445" s="5" t="s">
        <v>4423</v>
      </c>
      <c r="H1445" s="5" t="s">
        <v>4424</v>
      </c>
      <c r="I1445" s="5" t="s">
        <v>212</v>
      </c>
      <c r="N1445" s="5" t="s">
        <v>4425</v>
      </c>
      <c r="O1445" s="5">
        <v>1485.2</v>
      </c>
      <c r="P1445" s="5">
        <v>1485.7</v>
      </c>
      <c r="Q1445" s="5">
        <v>1460.2</v>
      </c>
      <c r="R1445" s="5">
        <v>1474</v>
      </c>
      <c r="S1445" s="5">
        <v>1474</v>
      </c>
      <c r="T1445" s="5">
        <v>1484.4</v>
      </c>
      <c r="V1445" s="5">
        <v>1474.09</v>
      </c>
      <c r="Y1445" s="5">
        <v>974837</v>
      </c>
      <c r="Z1445" s="5">
        <v>1431639080.0999999</v>
      </c>
      <c r="AA1445" s="5">
        <v>25993</v>
      </c>
      <c r="AB1445" s="5" t="s">
        <v>85</v>
      </c>
      <c r="AC1445" s="5">
        <v>1</v>
      </c>
    </row>
    <row r="1446" spans="1:29" x14ac:dyDescent="0.3">
      <c r="A1446" s="34">
        <v>46274</v>
      </c>
      <c r="B1446" s="34">
        <v>46274</v>
      </c>
      <c r="C1446" s="5" t="s">
        <v>78</v>
      </c>
      <c r="D1446" s="5" t="s">
        <v>79</v>
      </c>
      <c r="E1446" s="5" t="s">
        <v>80</v>
      </c>
      <c r="F1446" s="5">
        <v>21254</v>
      </c>
      <c r="G1446" s="5" t="s">
        <v>4426</v>
      </c>
      <c r="H1446" s="5" t="s">
        <v>4427</v>
      </c>
      <c r="I1446" s="5" t="s">
        <v>212</v>
      </c>
      <c r="N1446" s="5" t="s">
        <v>4428</v>
      </c>
      <c r="O1446" s="5">
        <v>21.7</v>
      </c>
      <c r="P1446" s="5">
        <v>21.77</v>
      </c>
      <c r="Q1446" s="5">
        <v>21.52</v>
      </c>
      <c r="R1446" s="5">
        <v>21.57</v>
      </c>
      <c r="S1446" s="5">
        <v>21.65</v>
      </c>
      <c r="T1446" s="5">
        <v>21.73</v>
      </c>
      <c r="V1446" s="5">
        <v>21.57</v>
      </c>
      <c r="Y1446" s="5">
        <v>4536922</v>
      </c>
      <c r="Z1446" s="5">
        <v>98055443.010000005</v>
      </c>
      <c r="AA1446" s="5">
        <v>1964</v>
      </c>
      <c r="AB1446" s="5" t="s">
        <v>85</v>
      </c>
      <c r="AC1446" s="5">
        <v>1</v>
      </c>
    </row>
    <row r="1447" spans="1:29" x14ac:dyDescent="0.3">
      <c r="A1447" s="34">
        <v>46274</v>
      </c>
      <c r="B1447" s="34">
        <v>46274</v>
      </c>
      <c r="C1447" s="5" t="s">
        <v>78</v>
      </c>
      <c r="D1447" s="5" t="s">
        <v>79</v>
      </c>
      <c r="E1447" s="5" t="s">
        <v>80</v>
      </c>
      <c r="F1447" s="5">
        <v>18652</v>
      </c>
      <c r="G1447" s="5" t="s">
        <v>4429</v>
      </c>
      <c r="H1447" s="5" t="s">
        <v>4430</v>
      </c>
      <c r="I1447" s="5" t="s">
        <v>212</v>
      </c>
      <c r="N1447" s="5" t="s">
        <v>4431</v>
      </c>
      <c r="O1447" s="5">
        <v>467.7</v>
      </c>
      <c r="P1447" s="5">
        <v>468</v>
      </c>
      <c r="Q1447" s="5">
        <v>456.9</v>
      </c>
      <c r="R1447" s="5">
        <v>462.5</v>
      </c>
      <c r="S1447" s="5">
        <v>462.5</v>
      </c>
      <c r="T1447" s="5">
        <v>469.3</v>
      </c>
      <c r="V1447" s="5">
        <v>462.48</v>
      </c>
      <c r="Y1447" s="5">
        <v>942661</v>
      </c>
      <c r="Z1447" s="5">
        <v>434122179.14999998</v>
      </c>
      <c r="AA1447" s="5">
        <v>30300</v>
      </c>
      <c r="AB1447" s="5" t="s">
        <v>85</v>
      </c>
      <c r="AC1447" s="5">
        <v>1</v>
      </c>
    </row>
    <row r="1448" spans="1:29" x14ac:dyDescent="0.3">
      <c r="A1448" s="34">
        <v>46274</v>
      </c>
      <c r="B1448" s="34">
        <v>46274</v>
      </c>
      <c r="C1448" s="5" t="s">
        <v>78</v>
      </c>
      <c r="D1448" s="5" t="s">
        <v>79</v>
      </c>
      <c r="E1448" s="5" t="s">
        <v>80</v>
      </c>
      <c r="F1448" s="5">
        <v>17702</v>
      </c>
      <c r="G1448" s="5" t="s">
        <v>4432</v>
      </c>
      <c r="H1448" s="5" t="s">
        <v>4433</v>
      </c>
      <c r="I1448" s="5" t="s">
        <v>212</v>
      </c>
      <c r="N1448" s="5" t="s">
        <v>4434</v>
      </c>
      <c r="O1448" s="5">
        <v>19.899999999999999</v>
      </c>
      <c r="P1448" s="5">
        <v>19.920000000000002</v>
      </c>
      <c r="Q1448" s="5">
        <v>19.7</v>
      </c>
      <c r="R1448" s="5">
        <v>19.78</v>
      </c>
      <c r="S1448" s="5">
        <v>19.8</v>
      </c>
      <c r="T1448" s="5">
        <v>19.89</v>
      </c>
      <c r="V1448" s="5">
        <v>19.78</v>
      </c>
      <c r="Y1448" s="5">
        <v>257690</v>
      </c>
      <c r="Z1448" s="5">
        <v>5102395.28</v>
      </c>
      <c r="AA1448" s="5">
        <v>762</v>
      </c>
      <c r="AB1448" s="5" t="s">
        <v>85</v>
      </c>
      <c r="AC1448" s="5">
        <v>1</v>
      </c>
    </row>
    <row r="1449" spans="1:29" x14ac:dyDescent="0.3">
      <c r="A1449" s="34">
        <v>46274</v>
      </c>
      <c r="B1449" s="34">
        <v>46274</v>
      </c>
      <c r="C1449" s="5" t="s">
        <v>78</v>
      </c>
      <c r="D1449" s="5" t="s">
        <v>79</v>
      </c>
      <c r="E1449" s="5" t="s">
        <v>80</v>
      </c>
      <c r="F1449" s="5">
        <v>30392</v>
      </c>
      <c r="G1449" s="5" t="s">
        <v>4435</v>
      </c>
      <c r="H1449" s="5" t="s">
        <v>4436</v>
      </c>
      <c r="I1449" s="5" t="s">
        <v>212</v>
      </c>
      <c r="N1449" s="5" t="s">
        <v>4437</v>
      </c>
      <c r="O1449" s="5">
        <v>27.7</v>
      </c>
      <c r="P1449" s="5">
        <v>27.7</v>
      </c>
      <c r="Q1449" s="5">
        <v>27.52</v>
      </c>
      <c r="R1449" s="5">
        <v>27.6</v>
      </c>
      <c r="S1449" s="5">
        <v>27.67</v>
      </c>
      <c r="T1449" s="5">
        <v>27.77</v>
      </c>
      <c r="V1449" s="5">
        <v>27.6</v>
      </c>
      <c r="Y1449" s="5">
        <v>115573</v>
      </c>
      <c r="Z1449" s="5">
        <v>3190876.49</v>
      </c>
      <c r="AA1449" s="5">
        <v>1521</v>
      </c>
      <c r="AB1449" s="5" t="s">
        <v>85</v>
      </c>
      <c r="AC1449" s="5">
        <v>1</v>
      </c>
    </row>
    <row r="1450" spans="1:29" x14ac:dyDescent="0.3">
      <c r="A1450" s="34">
        <v>46274</v>
      </c>
      <c r="B1450" s="34">
        <v>46274</v>
      </c>
      <c r="C1450" s="5" t="s">
        <v>78</v>
      </c>
      <c r="D1450" s="5" t="s">
        <v>79</v>
      </c>
      <c r="E1450" s="5" t="s">
        <v>80</v>
      </c>
      <c r="F1450" s="5">
        <v>29553</v>
      </c>
      <c r="G1450" s="5" t="s">
        <v>4438</v>
      </c>
      <c r="H1450" s="5" t="s">
        <v>4439</v>
      </c>
      <c r="I1450" s="5" t="s">
        <v>212</v>
      </c>
      <c r="N1450" s="5" t="s">
        <v>4440</v>
      </c>
      <c r="O1450" s="5">
        <v>268.27</v>
      </c>
      <c r="P1450" s="5">
        <v>268.27</v>
      </c>
      <c r="Q1450" s="5">
        <v>266.52</v>
      </c>
      <c r="R1450" s="5">
        <v>266.76</v>
      </c>
      <c r="S1450" s="5">
        <v>266.98</v>
      </c>
      <c r="T1450" s="5">
        <v>268.88</v>
      </c>
      <c r="V1450" s="5">
        <v>266.76</v>
      </c>
      <c r="Y1450" s="5">
        <v>901843</v>
      </c>
      <c r="Z1450" s="5">
        <v>241000362.66</v>
      </c>
      <c r="AA1450" s="5">
        <v>12708</v>
      </c>
      <c r="AB1450" s="5" t="s">
        <v>85</v>
      </c>
      <c r="AC1450" s="5">
        <v>1</v>
      </c>
    </row>
    <row r="1451" spans="1:29" x14ac:dyDescent="0.3">
      <c r="A1451" s="34">
        <v>46274</v>
      </c>
      <c r="B1451" s="34">
        <v>46274</v>
      </c>
      <c r="C1451" s="5" t="s">
        <v>78</v>
      </c>
      <c r="D1451" s="5" t="s">
        <v>79</v>
      </c>
      <c r="E1451" s="5" t="s">
        <v>80</v>
      </c>
      <c r="F1451" s="5">
        <v>4378</v>
      </c>
      <c r="G1451" s="5" t="s">
        <v>4441</v>
      </c>
      <c r="H1451" s="5" t="s">
        <v>4442</v>
      </c>
      <c r="I1451" s="5" t="s">
        <v>212</v>
      </c>
      <c r="N1451" s="5" t="s">
        <v>4443</v>
      </c>
      <c r="O1451" s="5">
        <v>870</v>
      </c>
      <c r="P1451" s="5">
        <v>870.01</v>
      </c>
      <c r="Q1451" s="5">
        <v>862.51</v>
      </c>
      <c r="R1451" s="5">
        <v>863.68</v>
      </c>
      <c r="S1451" s="5">
        <v>866.13</v>
      </c>
      <c r="T1451" s="5">
        <v>872.03</v>
      </c>
      <c r="V1451" s="5">
        <v>863.72</v>
      </c>
      <c r="Y1451" s="5">
        <v>12977</v>
      </c>
      <c r="Z1451" s="5">
        <v>11223477.810000001</v>
      </c>
      <c r="AA1451" s="5">
        <v>647</v>
      </c>
      <c r="AB1451" s="5" t="s">
        <v>85</v>
      </c>
      <c r="AC1451" s="5">
        <v>1</v>
      </c>
    </row>
    <row r="1452" spans="1:29" x14ac:dyDescent="0.3">
      <c r="A1452" s="34">
        <v>46274</v>
      </c>
      <c r="B1452" s="34">
        <v>46274</v>
      </c>
      <c r="C1452" s="5" t="s">
        <v>78</v>
      </c>
      <c r="D1452" s="5" t="s">
        <v>79</v>
      </c>
      <c r="E1452" s="5" t="s">
        <v>80</v>
      </c>
      <c r="F1452" s="5">
        <v>760407</v>
      </c>
      <c r="G1452" s="5" t="s">
        <v>4444</v>
      </c>
      <c r="H1452" s="5" t="s">
        <v>4445</v>
      </c>
      <c r="I1452" s="5" t="s">
        <v>212</v>
      </c>
      <c r="N1452" s="5" t="s">
        <v>4446</v>
      </c>
      <c r="O1452" s="5">
        <v>3001</v>
      </c>
      <c r="P1452" s="5">
        <v>3009.9</v>
      </c>
      <c r="Q1452" s="5">
        <v>2953.6</v>
      </c>
      <c r="R1452" s="5">
        <v>3003.5</v>
      </c>
      <c r="S1452" s="5">
        <v>3002</v>
      </c>
      <c r="T1452" s="5">
        <v>3013</v>
      </c>
      <c r="V1452" s="5">
        <v>3003.48</v>
      </c>
      <c r="Y1452" s="5">
        <v>347633</v>
      </c>
      <c r="Z1452" s="5">
        <v>1039266363.1</v>
      </c>
      <c r="AA1452" s="5">
        <v>29252</v>
      </c>
      <c r="AB1452" s="5" t="s">
        <v>85</v>
      </c>
      <c r="AC1452" s="5">
        <v>1</v>
      </c>
    </row>
    <row r="1453" spans="1:29" x14ac:dyDescent="0.3">
      <c r="A1453" s="34">
        <v>46274</v>
      </c>
      <c r="B1453" s="34">
        <v>46274</v>
      </c>
      <c r="C1453" s="5" t="s">
        <v>78</v>
      </c>
      <c r="D1453" s="5" t="s">
        <v>79</v>
      </c>
      <c r="E1453" s="5" t="s">
        <v>80</v>
      </c>
      <c r="F1453" s="5">
        <v>19679</v>
      </c>
      <c r="G1453" s="5" t="s">
        <v>4447</v>
      </c>
      <c r="H1453" s="5" t="s">
        <v>4448</v>
      </c>
      <c r="I1453" s="5" t="s">
        <v>212</v>
      </c>
      <c r="N1453" s="5" t="s">
        <v>4449</v>
      </c>
      <c r="O1453" s="5">
        <v>130.19999999999999</v>
      </c>
      <c r="P1453" s="5">
        <v>130.88999999999999</v>
      </c>
      <c r="Q1453" s="5">
        <v>129.61000000000001</v>
      </c>
      <c r="R1453" s="5">
        <v>130.37</v>
      </c>
      <c r="S1453" s="5">
        <v>130.28</v>
      </c>
      <c r="T1453" s="5">
        <v>130.38</v>
      </c>
      <c r="V1453" s="5">
        <v>130.37</v>
      </c>
      <c r="Y1453" s="5">
        <v>4152752</v>
      </c>
      <c r="Z1453" s="5">
        <v>541625104.24000001</v>
      </c>
      <c r="AA1453" s="5">
        <v>26100</v>
      </c>
      <c r="AB1453" s="5" t="s">
        <v>85</v>
      </c>
      <c r="AC1453" s="5">
        <v>1</v>
      </c>
    </row>
    <row r="1454" spans="1:29" x14ac:dyDescent="0.3">
      <c r="A1454" s="34">
        <v>46274</v>
      </c>
      <c r="B1454" s="34">
        <v>46274</v>
      </c>
      <c r="C1454" s="5" t="s">
        <v>78</v>
      </c>
      <c r="D1454" s="5" t="s">
        <v>79</v>
      </c>
      <c r="E1454" s="5" t="s">
        <v>80</v>
      </c>
      <c r="F1454" s="5">
        <v>17475</v>
      </c>
      <c r="G1454" s="5" t="s">
        <v>4450</v>
      </c>
      <c r="H1454" s="5" t="s">
        <v>4451</v>
      </c>
      <c r="I1454" s="5" t="s">
        <v>212</v>
      </c>
      <c r="N1454" s="5" t="s">
        <v>4452</v>
      </c>
      <c r="O1454" s="5">
        <v>13.69</v>
      </c>
      <c r="P1454" s="5">
        <v>13.69</v>
      </c>
      <c r="Q1454" s="5">
        <v>13.27</v>
      </c>
      <c r="R1454" s="5">
        <v>13.3</v>
      </c>
      <c r="S1454" s="5">
        <v>13.31</v>
      </c>
      <c r="T1454" s="5">
        <v>13.42</v>
      </c>
      <c r="V1454" s="5">
        <v>13.3</v>
      </c>
      <c r="Y1454" s="5">
        <v>776400</v>
      </c>
      <c r="Z1454" s="5">
        <v>10337930.66</v>
      </c>
      <c r="AA1454" s="5">
        <v>2110</v>
      </c>
      <c r="AB1454" s="5" t="s">
        <v>85</v>
      </c>
      <c r="AC1454" s="5">
        <v>1</v>
      </c>
    </row>
    <row r="1455" spans="1:29" x14ac:dyDescent="0.3">
      <c r="A1455" s="34">
        <v>46274</v>
      </c>
      <c r="B1455" s="34">
        <v>46274</v>
      </c>
      <c r="C1455" s="5" t="s">
        <v>78</v>
      </c>
      <c r="D1455" s="5" t="s">
        <v>79</v>
      </c>
      <c r="E1455" s="5" t="s">
        <v>80</v>
      </c>
      <c r="F1455" s="5">
        <v>522</v>
      </c>
      <c r="G1455" s="5" t="s">
        <v>4453</v>
      </c>
      <c r="H1455" s="5" t="s">
        <v>4454</v>
      </c>
      <c r="I1455" s="5" t="s">
        <v>212</v>
      </c>
      <c r="N1455" s="5" t="s">
        <v>4455</v>
      </c>
      <c r="O1455" s="5">
        <v>116.75</v>
      </c>
      <c r="P1455" s="5">
        <v>116.75</v>
      </c>
      <c r="Q1455" s="5">
        <v>113.15</v>
      </c>
      <c r="R1455" s="5">
        <v>113.61</v>
      </c>
      <c r="S1455" s="5">
        <v>114</v>
      </c>
      <c r="T1455" s="5">
        <v>113.91</v>
      </c>
      <c r="V1455" s="5">
        <v>113.62</v>
      </c>
      <c r="Y1455" s="5">
        <v>333198</v>
      </c>
      <c r="Z1455" s="5">
        <v>37991393.159999996</v>
      </c>
      <c r="AA1455" s="5">
        <v>2335</v>
      </c>
      <c r="AB1455" s="5" t="s">
        <v>85</v>
      </c>
      <c r="AC1455" s="5">
        <v>1</v>
      </c>
    </row>
    <row r="1456" spans="1:29" x14ac:dyDescent="0.3">
      <c r="A1456" s="34">
        <v>46274</v>
      </c>
      <c r="B1456" s="34">
        <v>46274</v>
      </c>
      <c r="C1456" s="5" t="s">
        <v>78</v>
      </c>
      <c r="D1456" s="5" t="s">
        <v>79</v>
      </c>
      <c r="E1456" s="5" t="s">
        <v>80</v>
      </c>
      <c r="F1456" s="5">
        <v>30139</v>
      </c>
      <c r="G1456" s="5" t="s">
        <v>4456</v>
      </c>
      <c r="H1456" s="5" t="s">
        <v>4457</v>
      </c>
      <c r="I1456" s="5" t="s">
        <v>212</v>
      </c>
      <c r="N1456" s="5" t="s">
        <v>4458</v>
      </c>
      <c r="O1456" s="5">
        <v>1078.74</v>
      </c>
      <c r="P1456" s="5">
        <v>1078.76</v>
      </c>
      <c r="Q1456" s="5">
        <v>1078.74</v>
      </c>
      <c r="R1456" s="5">
        <v>1078.74</v>
      </c>
      <c r="S1456" s="5">
        <v>1078.74</v>
      </c>
      <c r="T1456" s="5">
        <v>1078.6099999999999</v>
      </c>
      <c r="V1456" s="5">
        <v>1078.74</v>
      </c>
      <c r="Y1456" s="5">
        <v>503338</v>
      </c>
      <c r="Z1456" s="5">
        <v>542971895.25</v>
      </c>
      <c r="AA1456" s="5">
        <v>163</v>
      </c>
      <c r="AB1456" s="5" t="s">
        <v>85</v>
      </c>
      <c r="AC1456" s="5">
        <v>1</v>
      </c>
    </row>
    <row r="1457" spans="1:29" x14ac:dyDescent="0.3">
      <c r="A1457" s="34">
        <v>46274</v>
      </c>
      <c r="B1457" s="34">
        <v>46274</v>
      </c>
      <c r="C1457" s="5" t="s">
        <v>78</v>
      </c>
      <c r="D1457" s="5" t="s">
        <v>79</v>
      </c>
      <c r="E1457" s="5" t="s">
        <v>80</v>
      </c>
      <c r="F1457" s="5">
        <v>755881</v>
      </c>
      <c r="G1457" s="5" t="s">
        <v>4459</v>
      </c>
      <c r="H1457" s="5" t="s">
        <v>4460</v>
      </c>
      <c r="I1457" s="5" t="s">
        <v>212</v>
      </c>
      <c r="N1457" s="5" t="s">
        <v>4461</v>
      </c>
      <c r="O1457" s="5">
        <v>32.4</v>
      </c>
      <c r="P1457" s="5">
        <v>32.79</v>
      </c>
      <c r="Q1457" s="5">
        <v>32.1</v>
      </c>
      <c r="R1457" s="5">
        <v>32.24</v>
      </c>
      <c r="S1457" s="5">
        <v>32.369999999999997</v>
      </c>
      <c r="T1457" s="5">
        <v>32.479999999999997</v>
      </c>
      <c r="V1457" s="5">
        <v>32.24</v>
      </c>
      <c r="Y1457" s="5">
        <v>131065</v>
      </c>
      <c r="Z1457" s="5">
        <v>4225687.97</v>
      </c>
      <c r="AA1457" s="5">
        <v>800</v>
      </c>
      <c r="AB1457" s="5" t="s">
        <v>85</v>
      </c>
      <c r="AC1457" s="5">
        <v>1</v>
      </c>
    </row>
    <row r="1458" spans="1:29" x14ac:dyDescent="0.3">
      <c r="A1458" s="34">
        <v>46274</v>
      </c>
      <c r="B1458" s="34">
        <v>46274</v>
      </c>
      <c r="C1458" s="5" t="s">
        <v>78</v>
      </c>
      <c r="D1458" s="5" t="s">
        <v>79</v>
      </c>
      <c r="E1458" s="5" t="s">
        <v>80</v>
      </c>
      <c r="F1458" s="5">
        <v>13143</v>
      </c>
      <c r="G1458" s="5" t="s">
        <v>4462</v>
      </c>
      <c r="H1458" s="5" t="s">
        <v>4463</v>
      </c>
      <c r="I1458" s="5" t="s">
        <v>212</v>
      </c>
      <c r="N1458" s="5" t="s">
        <v>4464</v>
      </c>
      <c r="O1458" s="5">
        <v>262.43</v>
      </c>
      <c r="P1458" s="5">
        <v>265.05</v>
      </c>
      <c r="Q1458" s="5">
        <v>262.43</v>
      </c>
      <c r="R1458" s="5">
        <v>262.81</v>
      </c>
      <c r="S1458" s="5">
        <v>262.68</v>
      </c>
      <c r="T1458" s="5">
        <v>262.18</v>
      </c>
      <c r="V1458" s="5">
        <v>262.81</v>
      </c>
      <c r="Y1458" s="5">
        <v>130</v>
      </c>
      <c r="Z1458" s="5">
        <v>34199.699999999997</v>
      </c>
      <c r="AA1458" s="5">
        <v>9</v>
      </c>
      <c r="AB1458" s="5" t="s">
        <v>85</v>
      </c>
      <c r="AC1458" s="5">
        <v>1</v>
      </c>
    </row>
    <row r="1459" spans="1:29" x14ac:dyDescent="0.3">
      <c r="A1459" s="34">
        <v>46274</v>
      </c>
      <c r="B1459" s="34">
        <v>46274</v>
      </c>
      <c r="C1459" s="5" t="s">
        <v>78</v>
      </c>
      <c r="D1459" s="5" t="s">
        <v>79</v>
      </c>
      <c r="E1459" s="5" t="s">
        <v>80</v>
      </c>
      <c r="F1459" s="5">
        <v>3001</v>
      </c>
      <c r="G1459" s="5" t="s">
        <v>4465</v>
      </c>
      <c r="H1459" s="5" t="s">
        <v>4466</v>
      </c>
      <c r="I1459" s="5" t="s">
        <v>212</v>
      </c>
      <c r="N1459" s="5" t="s">
        <v>4467</v>
      </c>
      <c r="O1459" s="5">
        <v>39.19</v>
      </c>
      <c r="P1459" s="5">
        <v>40.65</v>
      </c>
      <c r="Q1459" s="5">
        <v>38.9</v>
      </c>
      <c r="R1459" s="5">
        <v>39.07</v>
      </c>
      <c r="S1459" s="5">
        <v>39.08</v>
      </c>
      <c r="T1459" s="5">
        <v>39.19</v>
      </c>
      <c r="V1459" s="5">
        <v>39.07</v>
      </c>
      <c r="Y1459" s="5">
        <v>93731</v>
      </c>
      <c r="Z1459" s="5">
        <v>3659909.23</v>
      </c>
      <c r="AA1459" s="5">
        <v>1139</v>
      </c>
      <c r="AB1459" s="5" t="s">
        <v>85</v>
      </c>
      <c r="AC1459" s="5">
        <v>1</v>
      </c>
    </row>
    <row r="1460" spans="1:29" x14ac:dyDescent="0.3">
      <c r="A1460" s="34">
        <v>46274</v>
      </c>
      <c r="B1460" s="34">
        <v>46274</v>
      </c>
      <c r="C1460" s="5" t="s">
        <v>78</v>
      </c>
      <c r="D1460" s="5" t="s">
        <v>79</v>
      </c>
      <c r="E1460" s="5" t="s">
        <v>80</v>
      </c>
      <c r="F1460" s="5">
        <v>8342</v>
      </c>
      <c r="G1460" s="5" t="s">
        <v>4468</v>
      </c>
      <c r="H1460" s="5" t="s">
        <v>4469</v>
      </c>
      <c r="I1460" s="5" t="s">
        <v>212</v>
      </c>
      <c r="N1460" s="5" t="s">
        <v>4470</v>
      </c>
      <c r="O1460" s="5">
        <v>66.25</v>
      </c>
      <c r="P1460" s="5">
        <v>66.8</v>
      </c>
      <c r="Q1460" s="5">
        <v>66.239999999999995</v>
      </c>
      <c r="R1460" s="5">
        <v>66.239999999999995</v>
      </c>
      <c r="S1460" s="5">
        <v>66.239999999999995</v>
      </c>
      <c r="T1460" s="5">
        <v>66.239999999999995</v>
      </c>
      <c r="V1460" s="5">
        <v>66.349999999999994</v>
      </c>
      <c r="Y1460" s="5">
        <v>3785</v>
      </c>
      <c r="Z1460" s="5">
        <v>252085.58</v>
      </c>
      <c r="AA1460" s="5">
        <v>31</v>
      </c>
      <c r="AB1460" s="5" t="s">
        <v>85</v>
      </c>
      <c r="AC1460" s="5">
        <v>1</v>
      </c>
    </row>
    <row r="1461" spans="1:29" x14ac:dyDescent="0.3">
      <c r="A1461" s="34">
        <v>46274</v>
      </c>
      <c r="B1461" s="34">
        <v>46274</v>
      </c>
      <c r="C1461" s="5" t="s">
        <v>78</v>
      </c>
      <c r="D1461" s="5" t="s">
        <v>79</v>
      </c>
      <c r="E1461" s="5" t="s">
        <v>80</v>
      </c>
      <c r="F1461" s="5">
        <v>22344</v>
      </c>
      <c r="G1461" s="5" t="s">
        <v>4471</v>
      </c>
      <c r="H1461" s="5" t="s">
        <v>4472</v>
      </c>
      <c r="I1461" s="5" t="s">
        <v>212</v>
      </c>
      <c r="N1461" s="5" t="s">
        <v>4473</v>
      </c>
      <c r="O1461" s="5">
        <v>27.44</v>
      </c>
      <c r="P1461" s="5">
        <v>27.67</v>
      </c>
      <c r="Q1461" s="5">
        <v>27.37</v>
      </c>
      <c r="R1461" s="5">
        <v>27.51</v>
      </c>
      <c r="S1461" s="5">
        <v>27.56</v>
      </c>
      <c r="T1461" s="5">
        <v>27.46</v>
      </c>
      <c r="V1461" s="5">
        <v>27.51</v>
      </c>
      <c r="Y1461" s="5">
        <v>144751</v>
      </c>
      <c r="Z1461" s="5">
        <v>3977491.99</v>
      </c>
      <c r="AA1461" s="5">
        <v>782</v>
      </c>
      <c r="AB1461" s="5" t="s">
        <v>85</v>
      </c>
      <c r="AC1461" s="5">
        <v>1</v>
      </c>
    </row>
    <row r="1462" spans="1:29" x14ac:dyDescent="0.3">
      <c r="A1462" s="34">
        <v>46274</v>
      </c>
      <c r="B1462" s="34">
        <v>46274</v>
      </c>
      <c r="C1462" s="5" t="s">
        <v>78</v>
      </c>
      <c r="D1462" s="5" t="s">
        <v>79</v>
      </c>
      <c r="E1462" s="5" t="s">
        <v>80</v>
      </c>
      <c r="F1462" s="5">
        <v>7844</v>
      </c>
      <c r="G1462" s="5" t="s">
        <v>4474</v>
      </c>
      <c r="H1462" s="5" t="s">
        <v>4475</v>
      </c>
      <c r="I1462" s="5" t="s">
        <v>212</v>
      </c>
      <c r="N1462" s="5" t="s">
        <v>4476</v>
      </c>
      <c r="O1462" s="5">
        <v>29.54</v>
      </c>
      <c r="P1462" s="5">
        <v>29.54</v>
      </c>
      <c r="Q1462" s="5">
        <v>28.09</v>
      </c>
      <c r="R1462" s="5">
        <v>28.71</v>
      </c>
      <c r="S1462" s="5">
        <v>28.7</v>
      </c>
      <c r="T1462" s="5">
        <v>28.82</v>
      </c>
      <c r="V1462" s="5">
        <v>28.71</v>
      </c>
      <c r="Y1462" s="5">
        <v>371777</v>
      </c>
      <c r="Z1462" s="5">
        <v>10657832.039999999</v>
      </c>
      <c r="AA1462" s="5">
        <v>2042</v>
      </c>
      <c r="AB1462" s="5" t="s">
        <v>85</v>
      </c>
      <c r="AC1462" s="5">
        <v>1</v>
      </c>
    </row>
    <row r="1463" spans="1:29" x14ac:dyDescent="0.3">
      <c r="A1463" s="34">
        <v>46274</v>
      </c>
      <c r="B1463" s="34">
        <v>46274</v>
      </c>
      <c r="C1463" s="5" t="s">
        <v>78</v>
      </c>
      <c r="D1463" s="5" t="s">
        <v>79</v>
      </c>
      <c r="E1463" s="5" t="s">
        <v>80</v>
      </c>
      <c r="F1463" s="5">
        <v>11386</v>
      </c>
      <c r="G1463" s="5" t="s">
        <v>4477</v>
      </c>
      <c r="H1463" s="5" t="s">
        <v>4478</v>
      </c>
      <c r="I1463" s="5" t="s">
        <v>212</v>
      </c>
      <c r="N1463" s="5" t="s">
        <v>4479</v>
      </c>
      <c r="O1463" s="5">
        <v>27.8</v>
      </c>
      <c r="P1463" s="5">
        <v>27.8</v>
      </c>
      <c r="Q1463" s="5">
        <v>27.5</v>
      </c>
      <c r="R1463" s="5">
        <v>27.55</v>
      </c>
      <c r="S1463" s="5">
        <v>27.51</v>
      </c>
      <c r="T1463" s="5">
        <v>27.8</v>
      </c>
      <c r="V1463" s="5">
        <v>27.55</v>
      </c>
      <c r="Y1463" s="5">
        <v>4144284</v>
      </c>
      <c r="Z1463" s="5">
        <v>114494725.87</v>
      </c>
      <c r="AA1463" s="5">
        <v>1697</v>
      </c>
      <c r="AB1463" s="5" t="s">
        <v>85</v>
      </c>
      <c r="AC1463" s="5">
        <v>1</v>
      </c>
    </row>
    <row r="1464" spans="1:29" x14ac:dyDescent="0.3">
      <c r="A1464" s="34">
        <v>46274</v>
      </c>
      <c r="B1464" s="34">
        <v>46274</v>
      </c>
      <c r="C1464" s="5" t="s">
        <v>78</v>
      </c>
      <c r="D1464" s="5" t="s">
        <v>79</v>
      </c>
      <c r="E1464" s="5" t="s">
        <v>80</v>
      </c>
      <c r="F1464" s="5">
        <v>13198</v>
      </c>
      <c r="G1464" s="5" t="s">
        <v>4480</v>
      </c>
      <c r="H1464" s="5" t="s">
        <v>4481</v>
      </c>
      <c r="I1464" s="5" t="s">
        <v>212</v>
      </c>
      <c r="N1464" s="5" t="s">
        <v>4482</v>
      </c>
      <c r="O1464" s="5">
        <v>98.68</v>
      </c>
      <c r="P1464" s="5">
        <v>99.94</v>
      </c>
      <c r="Q1464" s="5">
        <v>98.54</v>
      </c>
      <c r="R1464" s="5">
        <v>99.31</v>
      </c>
      <c r="S1464" s="5">
        <v>98.82</v>
      </c>
      <c r="T1464" s="5">
        <v>98.68</v>
      </c>
      <c r="V1464" s="5">
        <v>99.31</v>
      </c>
      <c r="Y1464" s="5">
        <v>29312</v>
      </c>
      <c r="Z1464" s="5">
        <v>2916721.78</v>
      </c>
      <c r="AA1464" s="5">
        <v>2117</v>
      </c>
      <c r="AB1464" s="5" t="s">
        <v>85</v>
      </c>
      <c r="AC1464" s="5">
        <v>1</v>
      </c>
    </row>
    <row r="1465" spans="1:29" x14ac:dyDescent="0.3">
      <c r="A1465" s="34">
        <v>46274</v>
      </c>
      <c r="B1465" s="34">
        <v>46274</v>
      </c>
      <c r="C1465" s="5" t="s">
        <v>78</v>
      </c>
      <c r="D1465" s="5" t="s">
        <v>79</v>
      </c>
      <c r="E1465" s="5" t="s">
        <v>80</v>
      </c>
      <c r="F1465" s="5">
        <v>6446</v>
      </c>
      <c r="G1465" s="5" t="s">
        <v>4483</v>
      </c>
      <c r="H1465" s="5" t="s">
        <v>4484</v>
      </c>
      <c r="I1465" s="5" t="s">
        <v>212</v>
      </c>
      <c r="N1465" s="5" t="s">
        <v>4485</v>
      </c>
      <c r="O1465" s="5">
        <v>119.82</v>
      </c>
      <c r="P1465" s="5">
        <v>120</v>
      </c>
      <c r="Q1465" s="5">
        <v>118.23</v>
      </c>
      <c r="R1465" s="5">
        <v>119.01</v>
      </c>
      <c r="S1465" s="5">
        <v>120</v>
      </c>
      <c r="T1465" s="5">
        <v>119.96</v>
      </c>
      <c r="V1465" s="5">
        <v>119.01</v>
      </c>
      <c r="Y1465" s="5">
        <v>22580</v>
      </c>
      <c r="Z1465" s="5">
        <v>2695513.76</v>
      </c>
      <c r="AA1465" s="5">
        <v>240</v>
      </c>
      <c r="AB1465" s="5" t="s">
        <v>85</v>
      </c>
      <c r="AC1465" s="5">
        <v>1</v>
      </c>
    </row>
    <row r="1466" spans="1:29" x14ac:dyDescent="0.3">
      <c r="A1466" s="34">
        <v>46274</v>
      </c>
      <c r="B1466" s="34">
        <v>46274</v>
      </c>
      <c r="C1466" s="5" t="s">
        <v>78</v>
      </c>
      <c r="D1466" s="5" t="s">
        <v>79</v>
      </c>
      <c r="E1466" s="5" t="s">
        <v>80</v>
      </c>
      <c r="F1466" s="5">
        <v>5306</v>
      </c>
      <c r="G1466" s="5" t="s">
        <v>4486</v>
      </c>
      <c r="H1466" s="5" t="s">
        <v>4487</v>
      </c>
      <c r="I1466" s="5" t="s">
        <v>212</v>
      </c>
      <c r="N1466" s="5" t="s">
        <v>4488</v>
      </c>
      <c r="O1466" s="5">
        <v>50.54</v>
      </c>
      <c r="P1466" s="5">
        <v>50.54</v>
      </c>
      <c r="Q1466" s="5">
        <v>48.69</v>
      </c>
      <c r="R1466" s="5">
        <v>48.89</v>
      </c>
      <c r="S1466" s="5">
        <v>48.99</v>
      </c>
      <c r="T1466" s="5">
        <v>49.31</v>
      </c>
      <c r="V1466" s="5">
        <v>48.89</v>
      </c>
      <c r="Y1466" s="5">
        <v>1908992</v>
      </c>
      <c r="Z1466" s="5">
        <v>93323062.230000004</v>
      </c>
      <c r="AA1466" s="5">
        <v>8858</v>
      </c>
      <c r="AB1466" s="5" t="s">
        <v>85</v>
      </c>
      <c r="AC1466" s="5">
        <v>1</v>
      </c>
    </row>
    <row r="1467" spans="1:29" x14ac:dyDescent="0.3">
      <c r="A1467" s="34">
        <v>46274</v>
      </c>
      <c r="B1467" s="34">
        <v>46274</v>
      </c>
      <c r="C1467" s="5" t="s">
        <v>78</v>
      </c>
      <c r="D1467" s="5" t="s">
        <v>79</v>
      </c>
      <c r="E1467" s="5" t="s">
        <v>80</v>
      </c>
      <c r="F1467" s="5">
        <v>10723</v>
      </c>
      <c r="G1467" s="5" t="s">
        <v>4489</v>
      </c>
      <c r="H1467" s="5" t="s">
        <v>4490</v>
      </c>
      <c r="I1467" s="5" t="s">
        <v>212</v>
      </c>
      <c r="N1467" s="5" t="s">
        <v>4491</v>
      </c>
      <c r="O1467" s="5">
        <v>94.46</v>
      </c>
      <c r="P1467" s="5">
        <v>94.7</v>
      </c>
      <c r="Q1467" s="5">
        <v>93.32</v>
      </c>
      <c r="R1467" s="5">
        <v>93.91</v>
      </c>
      <c r="S1467" s="5">
        <v>93.6</v>
      </c>
      <c r="T1467" s="5">
        <v>94.76</v>
      </c>
      <c r="V1467" s="5">
        <v>93.91</v>
      </c>
      <c r="Y1467" s="5">
        <v>700571</v>
      </c>
      <c r="Z1467" s="5">
        <v>65965964.450000003</v>
      </c>
      <c r="AA1467" s="5">
        <v>4686</v>
      </c>
      <c r="AB1467" s="5" t="s">
        <v>85</v>
      </c>
      <c r="AC1467" s="5">
        <v>1</v>
      </c>
    </row>
    <row r="1468" spans="1:29" x14ac:dyDescent="0.3">
      <c r="A1468" s="34">
        <v>46274</v>
      </c>
      <c r="B1468" s="34">
        <v>46274</v>
      </c>
      <c r="C1468" s="5" t="s">
        <v>78</v>
      </c>
      <c r="D1468" s="5" t="s">
        <v>79</v>
      </c>
      <c r="E1468" s="5" t="s">
        <v>80</v>
      </c>
      <c r="F1468" s="5">
        <v>4838</v>
      </c>
      <c r="G1468" s="5" t="s">
        <v>4492</v>
      </c>
      <c r="H1468" s="5" t="s">
        <v>4493</v>
      </c>
      <c r="I1468" s="5" t="s">
        <v>212</v>
      </c>
      <c r="N1468" s="5" t="s">
        <v>4494</v>
      </c>
      <c r="O1468" s="5">
        <v>999.99</v>
      </c>
      <c r="P1468" s="5">
        <v>1000.01</v>
      </c>
      <c r="Q1468" s="5">
        <v>999.99</v>
      </c>
      <c r="R1468" s="5">
        <v>999.99</v>
      </c>
      <c r="S1468" s="5">
        <v>1000</v>
      </c>
      <c r="T1468" s="5">
        <v>999.99</v>
      </c>
      <c r="V1468" s="5">
        <v>999.99</v>
      </c>
      <c r="Y1468" s="5">
        <v>361471</v>
      </c>
      <c r="Z1468" s="5">
        <v>361470367.83999997</v>
      </c>
      <c r="AA1468" s="5">
        <v>159</v>
      </c>
      <c r="AB1468" s="5" t="s">
        <v>85</v>
      </c>
      <c r="AC1468" s="5">
        <v>1</v>
      </c>
    </row>
    <row r="1469" spans="1:29" x14ac:dyDescent="0.3">
      <c r="A1469" s="34">
        <v>46274</v>
      </c>
      <c r="B1469" s="34">
        <v>46274</v>
      </c>
      <c r="C1469" s="5" t="s">
        <v>78</v>
      </c>
      <c r="D1469" s="5" t="s">
        <v>79</v>
      </c>
      <c r="E1469" s="5" t="s">
        <v>80</v>
      </c>
      <c r="F1469" s="5">
        <v>17152</v>
      </c>
      <c r="G1469" s="5" t="s">
        <v>4495</v>
      </c>
      <c r="H1469" s="5" t="s">
        <v>4496</v>
      </c>
      <c r="I1469" s="5" t="s">
        <v>212</v>
      </c>
      <c r="N1469" s="5" t="s">
        <v>4497</v>
      </c>
      <c r="O1469" s="5">
        <v>23.86</v>
      </c>
      <c r="P1469" s="5">
        <v>23.99</v>
      </c>
      <c r="Q1469" s="5">
        <v>23.77</v>
      </c>
      <c r="R1469" s="5">
        <v>23.86</v>
      </c>
      <c r="S1469" s="5">
        <v>23.91</v>
      </c>
      <c r="T1469" s="5">
        <v>23.91</v>
      </c>
      <c r="V1469" s="5">
        <v>23.86</v>
      </c>
      <c r="Y1469" s="5">
        <v>493061</v>
      </c>
      <c r="Z1469" s="5">
        <v>11757334.039999999</v>
      </c>
      <c r="AA1469" s="5">
        <v>2294</v>
      </c>
      <c r="AB1469" s="5" t="s">
        <v>85</v>
      </c>
      <c r="AC1469" s="5">
        <v>1</v>
      </c>
    </row>
    <row r="1470" spans="1:29" x14ac:dyDescent="0.3">
      <c r="A1470" s="34">
        <v>46274</v>
      </c>
      <c r="B1470" s="34">
        <v>46274</v>
      </c>
      <c r="C1470" s="5" t="s">
        <v>78</v>
      </c>
      <c r="D1470" s="5" t="s">
        <v>79</v>
      </c>
      <c r="E1470" s="5" t="s">
        <v>80</v>
      </c>
      <c r="F1470" s="5">
        <v>10585</v>
      </c>
      <c r="G1470" s="5" t="s">
        <v>4498</v>
      </c>
      <c r="H1470" s="5" t="s">
        <v>4499</v>
      </c>
      <c r="I1470" s="5" t="s">
        <v>212</v>
      </c>
      <c r="N1470" s="5" t="s">
        <v>4500</v>
      </c>
      <c r="O1470" s="5">
        <v>32.31</v>
      </c>
      <c r="P1470" s="5">
        <v>32.31</v>
      </c>
      <c r="Q1470" s="5">
        <v>31.23</v>
      </c>
      <c r="R1470" s="5">
        <v>31.54</v>
      </c>
      <c r="S1470" s="5">
        <v>31.5</v>
      </c>
      <c r="T1470" s="5">
        <v>31.53</v>
      </c>
      <c r="V1470" s="5">
        <v>31.53</v>
      </c>
      <c r="Y1470" s="5">
        <v>471630</v>
      </c>
      <c r="Z1470" s="5">
        <v>14909202.869999999</v>
      </c>
      <c r="AA1470" s="5">
        <v>1920</v>
      </c>
      <c r="AB1470" s="5" t="s">
        <v>85</v>
      </c>
      <c r="AC1470" s="5">
        <v>1</v>
      </c>
    </row>
    <row r="1471" spans="1:29" x14ac:dyDescent="0.3">
      <c r="A1471" s="34">
        <v>46274</v>
      </c>
      <c r="B1471" s="34">
        <v>46274</v>
      </c>
      <c r="C1471" s="5" t="s">
        <v>78</v>
      </c>
      <c r="D1471" s="5" t="s">
        <v>79</v>
      </c>
      <c r="E1471" s="5" t="s">
        <v>80</v>
      </c>
      <c r="F1471" s="5">
        <v>4529</v>
      </c>
      <c r="G1471" s="5" t="s">
        <v>4501</v>
      </c>
      <c r="H1471" s="5" t="s">
        <v>4502</v>
      </c>
      <c r="I1471" s="5" t="s">
        <v>212</v>
      </c>
      <c r="N1471" s="5" t="s">
        <v>4503</v>
      </c>
      <c r="O1471" s="5">
        <v>75.2</v>
      </c>
      <c r="P1471" s="5">
        <v>77.3</v>
      </c>
      <c r="Q1471" s="5">
        <v>75.2</v>
      </c>
      <c r="R1471" s="5">
        <v>77</v>
      </c>
      <c r="S1471" s="5">
        <v>77.03</v>
      </c>
      <c r="T1471" s="5">
        <v>77.13</v>
      </c>
      <c r="V1471" s="5">
        <v>77</v>
      </c>
      <c r="Y1471" s="5">
        <v>501933</v>
      </c>
      <c r="Z1471" s="5">
        <v>38681628.609999999</v>
      </c>
      <c r="AA1471" s="5">
        <v>4564</v>
      </c>
      <c r="AB1471" s="5" t="s">
        <v>85</v>
      </c>
      <c r="AC1471" s="5">
        <v>1</v>
      </c>
    </row>
    <row r="1472" spans="1:29" x14ac:dyDescent="0.3">
      <c r="A1472" s="34">
        <v>46274</v>
      </c>
      <c r="B1472" s="34">
        <v>46274</v>
      </c>
      <c r="C1472" s="5" t="s">
        <v>78</v>
      </c>
      <c r="D1472" s="5" t="s">
        <v>79</v>
      </c>
      <c r="E1472" s="5" t="s">
        <v>80</v>
      </c>
      <c r="F1472" s="5">
        <v>3626</v>
      </c>
      <c r="G1472" s="5" t="s">
        <v>4504</v>
      </c>
      <c r="H1472" s="5" t="s">
        <v>4505</v>
      </c>
      <c r="I1472" s="5" t="s">
        <v>212</v>
      </c>
      <c r="N1472" s="5" t="s">
        <v>4506</v>
      </c>
      <c r="O1472" s="5">
        <v>172.56</v>
      </c>
      <c r="P1472" s="5">
        <v>172.56</v>
      </c>
      <c r="Q1472" s="5">
        <v>169.19</v>
      </c>
      <c r="R1472" s="5">
        <v>170.12</v>
      </c>
      <c r="S1472" s="5">
        <v>169.19</v>
      </c>
      <c r="T1472" s="5">
        <v>170.85</v>
      </c>
      <c r="V1472" s="5">
        <v>169.96</v>
      </c>
      <c r="Y1472" s="5">
        <v>68931</v>
      </c>
      <c r="Z1472" s="5">
        <v>11762336.42</v>
      </c>
      <c r="AA1472" s="5">
        <v>1091</v>
      </c>
      <c r="AB1472" s="5" t="s">
        <v>85</v>
      </c>
      <c r="AC1472" s="5">
        <v>1</v>
      </c>
    </row>
    <row r="1473" spans="1:29" x14ac:dyDescent="0.3">
      <c r="A1473" s="34">
        <v>46274</v>
      </c>
      <c r="B1473" s="34">
        <v>46274</v>
      </c>
      <c r="C1473" s="5" t="s">
        <v>78</v>
      </c>
      <c r="D1473" s="5" t="s">
        <v>79</v>
      </c>
      <c r="E1473" s="5" t="s">
        <v>80</v>
      </c>
      <c r="F1473" s="5">
        <v>17808</v>
      </c>
      <c r="G1473" s="5" t="s">
        <v>4507</v>
      </c>
      <c r="H1473" s="5" t="s">
        <v>4508</v>
      </c>
      <c r="I1473" s="5" t="s">
        <v>212</v>
      </c>
      <c r="N1473" s="5" t="s">
        <v>4509</v>
      </c>
      <c r="O1473" s="5">
        <v>20.78</v>
      </c>
      <c r="P1473" s="5">
        <v>20.83</v>
      </c>
      <c r="Q1473" s="5">
        <v>20.61</v>
      </c>
      <c r="R1473" s="5">
        <v>20.63</v>
      </c>
      <c r="S1473" s="5">
        <v>20.79</v>
      </c>
      <c r="T1473" s="5">
        <v>20.9</v>
      </c>
      <c r="V1473" s="5">
        <v>20.63</v>
      </c>
      <c r="Y1473" s="5">
        <v>83422</v>
      </c>
      <c r="Z1473" s="5">
        <v>1725248.97</v>
      </c>
      <c r="AA1473" s="5">
        <v>369</v>
      </c>
      <c r="AB1473" s="5" t="s">
        <v>85</v>
      </c>
      <c r="AC1473" s="5">
        <v>1</v>
      </c>
    </row>
    <row r="1474" spans="1:29" x14ac:dyDescent="0.3">
      <c r="A1474" s="34">
        <v>46274</v>
      </c>
      <c r="B1474" s="34">
        <v>46274</v>
      </c>
      <c r="C1474" s="5" t="s">
        <v>78</v>
      </c>
      <c r="D1474" s="5" t="s">
        <v>79</v>
      </c>
      <c r="E1474" s="5" t="s">
        <v>80</v>
      </c>
      <c r="F1474" s="5">
        <v>7942</v>
      </c>
      <c r="G1474" s="5" t="s">
        <v>4510</v>
      </c>
      <c r="H1474" s="5" t="s">
        <v>4511</v>
      </c>
      <c r="I1474" s="5" t="s">
        <v>212</v>
      </c>
      <c r="N1474" s="5" t="s">
        <v>4512</v>
      </c>
      <c r="O1474" s="5">
        <v>230.88</v>
      </c>
      <c r="P1474" s="5">
        <v>233.49</v>
      </c>
      <c r="Q1474" s="5">
        <v>230.88</v>
      </c>
      <c r="R1474" s="5">
        <v>232.34</v>
      </c>
      <c r="S1474" s="5">
        <v>232.05</v>
      </c>
      <c r="T1474" s="5">
        <v>230.88</v>
      </c>
      <c r="V1474" s="5">
        <v>232.33</v>
      </c>
      <c r="Y1474" s="5">
        <v>1953780</v>
      </c>
      <c r="Z1474" s="5">
        <v>454281174.91000003</v>
      </c>
      <c r="AA1474" s="5">
        <v>13524</v>
      </c>
      <c r="AB1474" s="5" t="s">
        <v>85</v>
      </c>
      <c r="AC1474" s="5">
        <v>1</v>
      </c>
    </row>
    <row r="1475" spans="1:29" x14ac:dyDescent="0.3">
      <c r="A1475" s="34">
        <v>46274</v>
      </c>
      <c r="B1475" s="34">
        <v>46274</v>
      </c>
      <c r="C1475" s="5" t="s">
        <v>78</v>
      </c>
      <c r="D1475" s="5" t="s">
        <v>79</v>
      </c>
      <c r="E1475" s="5" t="s">
        <v>80</v>
      </c>
      <c r="F1475" s="5">
        <v>22365</v>
      </c>
      <c r="G1475" s="5" t="s">
        <v>4513</v>
      </c>
      <c r="H1475" s="5" t="s">
        <v>4514</v>
      </c>
      <c r="I1475" s="5" t="s">
        <v>212</v>
      </c>
      <c r="N1475" s="5" t="s">
        <v>4515</v>
      </c>
      <c r="O1475" s="5">
        <v>33.119999999999997</v>
      </c>
      <c r="P1475" s="5">
        <v>33.119999999999997</v>
      </c>
      <c r="Q1475" s="5">
        <v>32.06</v>
      </c>
      <c r="R1475" s="5">
        <v>32.18</v>
      </c>
      <c r="S1475" s="5">
        <v>32.4</v>
      </c>
      <c r="T1475" s="5">
        <v>33.24</v>
      </c>
      <c r="V1475" s="5">
        <v>32.18</v>
      </c>
      <c r="Y1475" s="5">
        <v>942508</v>
      </c>
      <c r="Z1475" s="5">
        <v>30405429.289999999</v>
      </c>
      <c r="AA1475" s="5">
        <v>2800</v>
      </c>
      <c r="AB1475" s="5" t="s">
        <v>85</v>
      </c>
      <c r="AC1475" s="5">
        <v>1</v>
      </c>
    </row>
    <row r="1476" spans="1:29" x14ac:dyDescent="0.3">
      <c r="A1476" s="34">
        <v>46274</v>
      </c>
      <c r="B1476" s="34">
        <v>46274</v>
      </c>
      <c r="C1476" s="5" t="s">
        <v>78</v>
      </c>
      <c r="D1476" s="5" t="s">
        <v>79</v>
      </c>
      <c r="E1476" s="5" t="s">
        <v>80</v>
      </c>
      <c r="F1476" s="5">
        <v>764364</v>
      </c>
      <c r="G1476" s="5" t="s">
        <v>4516</v>
      </c>
      <c r="H1476" s="5" t="s">
        <v>4517</v>
      </c>
      <c r="I1476" s="5" t="s">
        <v>212</v>
      </c>
      <c r="N1476" s="5" t="s">
        <v>4518</v>
      </c>
      <c r="O1476" s="5">
        <v>14.96</v>
      </c>
      <c r="P1476" s="5">
        <v>14.96</v>
      </c>
      <c r="Q1476" s="5">
        <v>14.67</v>
      </c>
      <c r="R1476" s="5">
        <v>14.72</v>
      </c>
      <c r="S1476" s="5">
        <v>14.75</v>
      </c>
      <c r="T1476" s="5">
        <v>14.98</v>
      </c>
      <c r="V1476" s="5">
        <v>14.73</v>
      </c>
      <c r="Y1476" s="5">
        <v>233503</v>
      </c>
      <c r="Z1476" s="5">
        <v>3438264.91</v>
      </c>
      <c r="AA1476" s="5">
        <v>306</v>
      </c>
      <c r="AB1476" s="5" t="s">
        <v>85</v>
      </c>
      <c r="AC1476" s="5">
        <v>1</v>
      </c>
    </row>
    <row r="1477" spans="1:29" x14ac:dyDescent="0.3">
      <c r="A1477" s="34">
        <v>46274</v>
      </c>
      <c r="B1477" s="34">
        <v>46274</v>
      </c>
      <c r="C1477" s="5" t="s">
        <v>78</v>
      </c>
      <c r="D1477" s="5" t="s">
        <v>79</v>
      </c>
      <c r="E1477" s="5" t="s">
        <v>80</v>
      </c>
      <c r="F1477" s="5">
        <v>11037</v>
      </c>
      <c r="G1477" s="5" t="s">
        <v>4519</v>
      </c>
      <c r="H1477" s="5" t="s">
        <v>4520</v>
      </c>
      <c r="I1477" s="5" t="s">
        <v>212</v>
      </c>
      <c r="N1477" s="5" t="s">
        <v>4521</v>
      </c>
      <c r="O1477" s="5">
        <v>58.3</v>
      </c>
      <c r="P1477" s="5">
        <v>58.37</v>
      </c>
      <c r="Q1477" s="5">
        <v>58.01</v>
      </c>
      <c r="R1477" s="5">
        <v>58.1</v>
      </c>
      <c r="S1477" s="5">
        <v>58.07</v>
      </c>
      <c r="T1477" s="5">
        <v>58.43</v>
      </c>
      <c r="V1477" s="5">
        <v>58.1</v>
      </c>
      <c r="Y1477" s="5">
        <v>382479</v>
      </c>
      <c r="Z1477" s="5">
        <v>22242892.109999999</v>
      </c>
      <c r="AA1477" s="5">
        <v>1676</v>
      </c>
      <c r="AB1477" s="5" t="s">
        <v>85</v>
      </c>
      <c r="AC1477" s="5">
        <v>1</v>
      </c>
    </row>
    <row r="1478" spans="1:29" x14ac:dyDescent="0.3">
      <c r="A1478" s="34">
        <v>46274</v>
      </c>
      <c r="B1478" s="34">
        <v>46274</v>
      </c>
      <c r="C1478" s="5" t="s">
        <v>78</v>
      </c>
      <c r="D1478" s="5" t="s">
        <v>79</v>
      </c>
      <c r="E1478" s="5" t="s">
        <v>80</v>
      </c>
      <c r="F1478" s="5">
        <v>24861</v>
      </c>
      <c r="G1478" s="5" t="s">
        <v>4522</v>
      </c>
      <c r="H1478" s="5" t="s">
        <v>4523</v>
      </c>
      <c r="I1478" s="5" t="s">
        <v>212</v>
      </c>
      <c r="N1478" s="5" t="s">
        <v>4524</v>
      </c>
      <c r="O1478" s="5">
        <v>13.4</v>
      </c>
      <c r="P1478" s="5">
        <v>13.51</v>
      </c>
      <c r="Q1478" s="5">
        <v>13.21</v>
      </c>
      <c r="R1478" s="5">
        <v>13.44</v>
      </c>
      <c r="S1478" s="5">
        <v>13.47</v>
      </c>
      <c r="T1478" s="5">
        <v>13.25</v>
      </c>
      <c r="V1478" s="5">
        <v>13.44</v>
      </c>
      <c r="Y1478" s="5">
        <v>7227949</v>
      </c>
      <c r="Z1478" s="5">
        <v>97010239.859999999</v>
      </c>
      <c r="AA1478" s="5">
        <v>8575</v>
      </c>
      <c r="AB1478" s="5" t="s">
        <v>85</v>
      </c>
      <c r="AC1478" s="5">
        <v>1</v>
      </c>
    </row>
    <row r="1479" spans="1:29" x14ac:dyDescent="0.3">
      <c r="A1479" s="34">
        <v>46274</v>
      </c>
      <c r="B1479" s="34">
        <v>46274</v>
      </c>
      <c r="C1479" s="5" t="s">
        <v>78</v>
      </c>
      <c r="D1479" s="5" t="s">
        <v>79</v>
      </c>
      <c r="E1479" s="5" t="s">
        <v>80</v>
      </c>
      <c r="F1479" s="5">
        <v>24533</v>
      </c>
      <c r="G1479" s="5" t="s">
        <v>4525</v>
      </c>
      <c r="H1479" s="5" t="s">
        <v>4526</v>
      </c>
      <c r="I1479" s="5" t="s">
        <v>212</v>
      </c>
      <c r="N1479" s="5" t="s">
        <v>4527</v>
      </c>
      <c r="O1479" s="5">
        <v>11.21</v>
      </c>
      <c r="P1479" s="5">
        <v>11.27</v>
      </c>
      <c r="Q1479" s="5">
        <v>11.17</v>
      </c>
      <c r="R1479" s="5">
        <v>11.24</v>
      </c>
      <c r="S1479" s="5">
        <v>11.26</v>
      </c>
      <c r="T1479" s="5">
        <v>11.21</v>
      </c>
      <c r="V1479" s="5">
        <v>11.25</v>
      </c>
      <c r="Y1479" s="5">
        <v>887967</v>
      </c>
      <c r="Z1479" s="5">
        <v>9979037.9700000007</v>
      </c>
      <c r="AA1479" s="5">
        <v>1766</v>
      </c>
      <c r="AB1479" s="5" t="s">
        <v>85</v>
      </c>
      <c r="AC1479" s="5">
        <v>1</v>
      </c>
    </row>
    <row r="1480" spans="1:29" x14ac:dyDescent="0.3">
      <c r="A1480" s="34">
        <v>46274</v>
      </c>
      <c r="B1480" s="34">
        <v>46274</v>
      </c>
      <c r="C1480" s="5" t="s">
        <v>78</v>
      </c>
      <c r="D1480" s="5" t="s">
        <v>79</v>
      </c>
      <c r="E1480" s="5" t="s">
        <v>80</v>
      </c>
      <c r="F1480" s="5">
        <v>14584</v>
      </c>
      <c r="G1480" s="5" t="s">
        <v>4528</v>
      </c>
      <c r="H1480" s="5" t="s">
        <v>4529</v>
      </c>
      <c r="I1480" s="5" t="s">
        <v>212</v>
      </c>
      <c r="N1480" s="5" t="s">
        <v>4530</v>
      </c>
      <c r="O1480" s="5">
        <v>85</v>
      </c>
      <c r="P1480" s="5">
        <v>85.51</v>
      </c>
      <c r="Q1480" s="5">
        <v>84.65</v>
      </c>
      <c r="R1480" s="5">
        <v>84.83</v>
      </c>
      <c r="S1480" s="5">
        <v>85.34</v>
      </c>
      <c r="T1480" s="5">
        <v>85.1</v>
      </c>
      <c r="V1480" s="5">
        <v>84.83</v>
      </c>
      <c r="Y1480" s="5">
        <v>67078</v>
      </c>
      <c r="Z1480" s="5">
        <v>5706771.6799999997</v>
      </c>
      <c r="AA1480" s="5">
        <v>626</v>
      </c>
      <c r="AB1480" s="5" t="s">
        <v>85</v>
      </c>
      <c r="AC1480" s="5">
        <v>1</v>
      </c>
    </row>
    <row r="1481" spans="1:29" x14ac:dyDescent="0.3">
      <c r="A1481" s="34">
        <v>46274</v>
      </c>
      <c r="B1481" s="34">
        <v>46274</v>
      </c>
      <c r="C1481" s="5" t="s">
        <v>78</v>
      </c>
      <c r="D1481" s="5" t="s">
        <v>79</v>
      </c>
      <c r="E1481" s="5" t="s">
        <v>80</v>
      </c>
      <c r="F1481" s="5">
        <v>754612</v>
      </c>
      <c r="G1481" s="5" t="s">
        <v>4531</v>
      </c>
      <c r="H1481" s="5" t="s">
        <v>4532</v>
      </c>
      <c r="I1481" s="5" t="s">
        <v>212</v>
      </c>
      <c r="N1481" s="5" t="s">
        <v>4533</v>
      </c>
      <c r="O1481" s="5">
        <v>18.79</v>
      </c>
      <c r="P1481" s="5">
        <v>18.79</v>
      </c>
      <c r="Q1481" s="5">
        <v>18.489999999999998</v>
      </c>
      <c r="R1481" s="5">
        <v>18.52</v>
      </c>
      <c r="S1481" s="5">
        <v>18.55</v>
      </c>
      <c r="T1481" s="5">
        <v>18.59</v>
      </c>
      <c r="V1481" s="5">
        <v>18.52</v>
      </c>
      <c r="Y1481" s="5">
        <v>21712</v>
      </c>
      <c r="Z1481" s="5">
        <v>402345.57</v>
      </c>
      <c r="AA1481" s="5">
        <v>108</v>
      </c>
      <c r="AB1481" s="5" t="s">
        <v>85</v>
      </c>
      <c r="AC1481" s="5">
        <v>1</v>
      </c>
    </row>
    <row r="1482" spans="1:29" x14ac:dyDescent="0.3">
      <c r="A1482" s="34">
        <v>46274</v>
      </c>
      <c r="B1482" s="34">
        <v>46274</v>
      </c>
      <c r="C1482" s="5" t="s">
        <v>78</v>
      </c>
      <c r="D1482" s="5" t="s">
        <v>79</v>
      </c>
      <c r="E1482" s="5" t="s">
        <v>80</v>
      </c>
      <c r="F1482" s="5">
        <v>757781</v>
      </c>
      <c r="G1482" s="5" t="s">
        <v>4534</v>
      </c>
      <c r="H1482" s="5" t="s">
        <v>4535</v>
      </c>
      <c r="I1482" s="5" t="s">
        <v>212</v>
      </c>
      <c r="N1482" s="5" t="s">
        <v>4536</v>
      </c>
      <c r="O1482" s="5">
        <v>9.6300000000000008</v>
      </c>
      <c r="P1482" s="5">
        <v>9.66</v>
      </c>
      <c r="Q1482" s="5">
        <v>9.56</v>
      </c>
      <c r="R1482" s="5">
        <v>9.57</v>
      </c>
      <c r="S1482" s="5">
        <v>9.61</v>
      </c>
      <c r="T1482" s="5">
        <v>9.68</v>
      </c>
      <c r="V1482" s="5">
        <v>9.57</v>
      </c>
      <c r="Y1482" s="5">
        <v>149833</v>
      </c>
      <c r="Z1482" s="5">
        <v>1435937.26</v>
      </c>
      <c r="AA1482" s="5">
        <v>403</v>
      </c>
      <c r="AB1482" s="5" t="s">
        <v>85</v>
      </c>
      <c r="AC1482" s="5">
        <v>1</v>
      </c>
    </row>
    <row r="1483" spans="1:29" x14ac:dyDescent="0.3">
      <c r="A1483" s="34">
        <v>46274</v>
      </c>
      <c r="B1483" s="34">
        <v>46274</v>
      </c>
      <c r="C1483" s="5" t="s">
        <v>78</v>
      </c>
      <c r="D1483" s="5" t="s">
        <v>79</v>
      </c>
      <c r="E1483" s="5" t="s">
        <v>80</v>
      </c>
      <c r="F1483" s="5">
        <v>25851</v>
      </c>
      <c r="G1483" s="5" t="s">
        <v>4537</v>
      </c>
      <c r="H1483" s="5" t="s">
        <v>4538</v>
      </c>
      <c r="I1483" s="5" t="s">
        <v>212</v>
      </c>
      <c r="N1483" s="5" t="s">
        <v>4539</v>
      </c>
      <c r="O1483" s="5">
        <v>15.11</v>
      </c>
      <c r="P1483" s="5">
        <v>15.13</v>
      </c>
      <c r="Q1483" s="5">
        <v>15</v>
      </c>
      <c r="R1483" s="5">
        <v>15.05</v>
      </c>
      <c r="S1483" s="5">
        <v>15.04</v>
      </c>
      <c r="T1483" s="5">
        <v>15</v>
      </c>
      <c r="V1483" s="5">
        <v>15.05</v>
      </c>
      <c r="Y1483" s="5">
        <v>855942</v>
      </c>
      <c r="Z1483" s="5">
        <v>12898323.439999999</v>
      </c>
      <c r="AA1483" s="5">
        <v>437</v>
      </c>
      <c r="AB1483" s="5" t="s">
        <v>85</v>
      </c>
      <c r="AC1483" s="5">
        <v>1</v>
      </c>
    </row>
    <row r="1484" spans="1:29" x14ac:dyDescent="0.3">
      <c r="A1484" s="34">
        <v>46274</v>
      </c>
      <c r="B1484" s="34">
        <v>46274</v>
      </c>
      <c r="C1484" s="5" t="s">
        <v>78</v>
      </c>
      <c r="D1484" s="5" t="s">
        <v>79</v>
      </c>
      <c r="E1484" s="5" t="s">
        <v>80</v>
      </c>
      <c r="F1484" s="5">
        <v>12578</v>
      </c>
      <c r="G1484" s="5" t="s">
        <v>4540</v>
      </c>
      <c r="H1484" s="5" t="s">
        <v>4541</v>
      </c>
      <c r="I1484" s="5" t="s">
        <v>212</v>
      </c>
      <c r="N1484" s="5" t="s">
        <v>4542</v>
      </c>
      <c r="O1484" s="5">
        <v>32.51</v>
      </c>
      <c r="P1484" s="5">
        <v>32.51</v>
      </c>
      <c r="Q1484" s="5">
        <v>32.229999999999997</v>
      </c>
      <c r="R1484" s="5">
        <v>32.32</v>
      </c>
      <c r="S1484" s="5">
        <v>32.380000000000003</v>
      </c>
      <c r="T1484" s="5">
        <v>32.56</v>
      </c>
      <c r="V1484" s="5">
        <v>32.32</v>
      </c>
      <c r="Y1484" s="5">
        <v>443060</v>
      </c>
      <c r="Z1484" s="5">
        <v>14335807.26</v>
      </c>
      <c r="AA1484" s="5">
        <v>2793</v>
      </c>
      <c r="AB1484" s="5" t="s">
        <v>85</v>
      </c>
      <c r="AC1484" s="5">
        <v>1</v>
      </c>
    </row>
    <row r="1485" spans="1:29" x14ac:dyDescent="0.3">
      <c r="A1485" s="34">
        <v>46274</v>
      </c>
      <c r="B1485" s="34">
        <v>46274</v>
      </c>
      <c r="C1485" s="5" t="s">
        <v>78</v>
      </c>
      <c r="D1485" s="5" t="s">
        <v>79</v>
      </c>
      <c r="E1485" s="5" t="s">
        <v>80</v>
      </c>
      <c r="F1485" s="5">
        <v>14523</v>
      </c>
      <c r="G1485" s="5" t="s">
        <v>4543</v>
      </c>
      <c r="H1485" s="5" t="s">
        <v>4544</v>
      </c>
      <c r="I1485" s="5" t="s">
        <v>212</v>
      </c>
      <c r="N1485" s="5" t="s">
        <v>4545</v>
      </c>
      <c r="O1485" s="5">
        <v>4888.7</v>
      </c>
      <c r="P1485" s="5">
        <v>4888.7</v>
      </c>
      <c r="Q1485" s="5">
        <v>4744.3999999999996</v>
      </c>
      <c r="R1485" s="5">
        <v>4776.5</v>
      </c>
      <c r="S1485" s="5">
        <v>4773.2</v>
      </c>
      <c r="T1485" s="5">
        <v>4854.3999999999996</v>
      </c>
      <c r="V1485" s="5">
        <v>4776.57</v>
      </c>
      <c r="Y1485" s="5">
        <v>30824</v>
      </c>
      <c r="Z1485" s="5">
        <v>147287067.5</v>
      </c>
      <c r="AA1485" s="5">
        <v>5421</v>
      </c>
      <c r="AB1485" s="5" t="s">
        <v>85</v>
      </c>
      <c r="AC1485" s="5">
        <v>1</v>
      </c>
    </row>
    <row r="1486" spans="1:29" x14ac:dyDescent="0.3">
      <c r="A1486" s="34">
        <v>46274</v>
      </c>
      <c r="B1486" s="34">
        <v>46274</v>
      </c>
      <c r="C1486" s="5" t="s">
        <v>78</v>
      </c>
      <c r="D1486" s="5" t="s">
        <v>79</v>
      </c>
      <c r="E1486" s="5" t="s">
        <v>80</v>
      </c>
      <c r="F1486" s="5">
        <v>1476</v>
      </c>
      <c r="G1486" s="5" t="s">
        <v>4546</v>
      </c>
      <c r="H1486" s="5" t="s">
        <v>4547</v>
      </c>
      <c r="I1486" s="5" t="s">
        <v>212</v>
      </c>
      <c r="N1486" s="5" t="s">
        <v>4548</v>
      </c>
      <c r="O1486" s="5">
        <v>81.400000000000006</v>
      </c>
      <c r="P1486" s="5">
        <v>83.47</v>
      </c>
      <c r="Q1486" s="5">
        <v>80.12</v>
      </c>
      <c r="R1486" s="5">
        <v>81.56</v>
      </c>
      <c r="S1486" s="5">
        <v>81</v>
      </c>
      <c r="T1486" s="5">
        <v>81.11</v>
      </c>
      <c r="V1486" s="5">
        <v>81.56</v>
      </c>
      <c r="Y1486" s="5">
        <v>22159103</v>
      </c>
      <c r="Z1486" s="5">
        <v>1815378514.5999999</v>
      </c>
      <c r="AA1486" s="5">
        <v>65770</v>
      </c>
      <c r="AB1486" s="5" t="s">
        <v>85</v>
      </c>
      <c r="AC1486" s="5">
        <v>1</v>
      </c>
    </row>
    <row r="1487" spans="1:29" x14ac:dyDescent="0.3">
      <c r="A1487" s="34">
        <v>46274</v>
      </c>
      <c r="B1487" s="34">
        <v>46274</v>
      </c>
      <c r="C1487" s="5" t="s">
        <v>78</v>
      </c>
      <c r="D1487" s="5" t="s">
        <v>79</v>
      </c>
      <c r="E1487" s="5" t="s">
        <v>80</v>
      </c>
      <c r="F1487" s="5">
        <v>17140</v>
      </c>
      <c r="G1487" s="5" t="s">
        <v>4549</v>
      </c>
      <c r="H1487" s="5" t="s">
        <v>4550</v>
      </c>
      <c r="I1487" s="5" t="s">
        <v>212</v>
      </c>
      <c r="N1487" s="5" t="s">
        <v>4551</v>
      </c>
      <c r="O1487" s="5">
        <v>779</v>
      </c>
      <c r="P1487" s="5">
        <v>784.8</v>
      </c>
      <c r="Q1487" s="5">
        <v>736.45</v>
      </c>
      <c r="R1487" s="5">
        <v>747.45</v>
      </c>
      <c r="S1487" s="5">
        <v>750</v>
      </c>
      <c r="T1487" s="5">
        <v>775.2</v>
      </c>
      <c r="V1487" s="5">
        <v>747.41</v>
      </c>
      <c r="Y1487" s="5">
        <v>650731</v>
      </c>
      <c r="Z1487" s="5">
        <v>485051539.14999998</v>
      </c>
      <c r="AA1487" s="5">
        <v>21569</v>
      </c>
      <c r="AB1487" s="5" t="s">
        <v>85</v>
      </c>
      <c r="AC1487" s="5">
        <v>1</v>
      </c>
    </row>
    <row r="1488" spans="1:29" x14ac:dyDescent="0.3">
      <c r="A1488" s="34">
        <v>46274</v>
      </c>
      <c r="B1488" s="34">
        <v>46274</v>
      </c>
      <c r="C1488" s="5" t="s">
        <v>78</v>
      </c>
      <c r="D1488" s="5" t="s">
        <v>79</v>
      </c>
      <c r="E1488" s="5" t="s">
        <v>80</v>
      </c>
      <c r="F1488" s="5">
        <v>24950</v>
      </c>
      <c r="G1488" s="5" t="s">
        <v>4552</v>
      </c>
      <c r="H1488" s="5" t="s">
        <v>4553</v>
      </c>
      <c r="I1488" s="5" t="s">
        <v>313</v>
      </c>
      <c r="N1488" s="5" t="s">
        <v>4554</v>
      </c>
      <c r="O1488" s="5">
        <v>160.19999999999999</v>
      </c>
      <c r="P1488" s="5">
        <v>170</v>
      </c>
      <c r="Q1488" s="5">
        <v>154</v>
      </c>
      <c r="R1488" s="5">
        <v>162</v>
      </c>
      <c r="S1488" s="5">
        <v>170</v>
      </c>
      <c r="T1488" s="5">
        <v>170</v>
      </c>
      <c r="V1488" s="5">
        <v>162</v>
      </c>
      <c r="Y1488" s="5">
        <v>6000</v>
      </c>
      <c r="Z1488" s="5">
        <v>961700</v>
      </c>
      <c r="AA1488" s="5">
        <v>12</v>
      </c>
      <c r="AB1488" s="5" t="s">
        <v>85</v>
      </c>
      <c r="AC1488" s="5">
        <v>500</v>
      </c>
    </row>
    <row r="1489" spans="1:29" x14ac:dyDescent="0.3">
      <c r="A1489" s="34">
        <v>46274</v>
      </c>
      <c r="B1489" s="34">
        <v>46274</v>
      </c>
      <c r="C1489" s="5" t="s">
        <v>78</v>
      </c>
      <c r="D1489" s="5" t="s">
        <v>79</v>
      </c>
      <c r="E1489" s="5" t="s">
        <v>80</v>
      </c>
      <c r="F1489" s="5">
        <v>11184</v>
      </c>
      <c r="G1489" s="5" t="s">
        <v>4555</v>
      </c>
      <c r="H1489" s="5" t="s">
        <v>4556</v>
      </c>
      <c r="I1489" s="5" t="s">
        <v>212</v>
      </c>
      <c r="N1489" s="5" t="s">
        <v>4557</v>
      </c>
      <c r="O1489" s="5">
        <v>86.48</v>
      </c>
      <c r="P1489" s="5">
        <v>86.95</v>
      </c>
      <c r="Q1489" s="5">
        <v>85.9</v>
      </c>
      <c r="R1489" s="5">
        <v>86</v>
      </c>
      <c r="S1489" s="5">
        <v>86</v>
      </c>
      <c r="T1489" s="5">
        <v>86.5</v>
      </c>
      <c r="V1489" s="5">
        <v>86</v>
      </c>
      <c r="Y1489" s="5">
        <v>20235616</v>
      </c>
      <c r="Z1489" s="5">
        <v>1748747000.4400001</v>
      </c>
      <c r="AA1489" s="5">
        <v>79631</v>
      </c>
      <c r="AB1489" s="5" t="s">
        <v>85</v>
      </c>
      <c r="AC1489" s="5">
        <v>1</v>
      </c>
    </row>
    <row r="1490" spans="1:29" x14ac:dyDescent="0.3">
      <c r="A1490" s="34">
        <v>46274</v>
      </c>
      <c r="B1490" s="34">
        <v>46274</v>
      </c>
      <c r="C1490" s="5" t="s">
        <v>78</v>
      </c>
      <c r="D1490" s="5" t="s">
        <v>79</v>
      </c>
      <c r="E1490" s="5" t="s">
        <v>80</v>
      </c>
      <c r="F1490" s="5">
        <v>1482</v>
      </c>
      <c r="G1490" s="5" t="s">
        <v>4558</v>
      </c>
      <c r="H1490" s="5" t="s">
        <v>4559</v>
      </c>
      <c r="I1490" s="5" t="s">
        <v>212</v>
      </c>
      <c r="N1490" s="5" t="s">
        <v>4560</v>
      </c>
      <c r="O1490" s="5">
        <v>888.4</v>
      </c>
      <c r="P1490" s="5">
        <v>895</v>
      </c>
      <c r="Q1490" s="5">
        <v>875</v>
      </c>
      <c r="R1490" s="5">
        <v>879.55</v>
      </c>
      <c r="S1490" s="5">
        <v>880.1</v>
      </c>
      <c r="T1490" s="5">
        <v>887.05</v>
      </c>
      <c r="V1490" s="5">
        <v>879.55</v>
      </c>
      <c r="Y1490" s="5">
        <v>3776</v>
      </c>
      <c r="Z1490" s="5">
        <v>3331176.85</v>
      </c>
      <c r="AA1490" s="5">
        <v>258</v>
      </c>
      <c r="AB1490" s="5" t="s">
        <v>85</v>
      </c>
      <c r="AC1490" s="5">
        <v>1</v>
      </c>
    </row>
    <row r="1491" spans="1:29" x14ac:dyDescent="0.3">
      <c r="A1491" s="34">
        <v>46274</v>
      </c>
      <c r="B1491" s="34">
        <v>46274</v>
      </c>
      <c r="C1491" s="5" t="s">
        <v>78</v>
      </c>
      <c r="D1491" s="5" t="s">
        <v>79</v>
      </c>
      <c r="E1491" s="5" t="s">
        <v>80</v>
      </c>
      <c r="F1491" s="5">
        <v>1485</v>
      </c>
      <c r="G1491" s="5" t="s">
        <v>4561</v>
      </c>
      <c r="H1491" s="5" t="s">
        <v>4562</v>
      </c>
      <c r="I1491" s="5" t="s">
        <v>212</v>
      </c>
      <c r="N1491" s="5" t="s">
        <v>4563</v>
      </c>
      <c r="O1491" s="5">
        <v>1298</v>
      </c>
      <c r="P1491" s="5">
        <v>1298.5</v>
      </c>
      <c r="Q1491" s="5">
        <v>1255</v>
      </c>
      <c r="R1491" s="5">
        <v>1266.8</v>
      </c>
      <c r="S1491" s="5">
        <v>1269.9000000000001</v>
      </c>
      <c r="T1491" s="5">
        <v>1296</v>
      </c>
      <c r="V1491" s="5">
        <v>1266.79</v>
      </c>
      <c r="Y1491" s="5">
        <v>51137</v>
      </c>
      <c r="Z1491" s="5">
        <v>64932278.100000001</v>
      </c>
      <c r="AA1491" s="5">
        <v>4660</v>
      </c>
      <c r="AB1491" s="5" t="s">
        <v>85</v>
      </c>
      <c r="AC1491" s="5">
        <v>1</v>
      </c>
    </row>
    <row r="1492" spans="1:29" x14ac:dyDescent="0.3">
      <c r="A1492" s="34">
        <v>46274</v>
      </c>
      <c r="B1492" s="34">
        <v>46274</v>
      </c>
      <c r="C1492" s="5" t="s">
        <v>78</v>
      </c>
      <c r="D1492" s="5" t="s">
        <v>79</v>
      </c>
      <c r="E1492" s="5" t="s">
        <v>80</v>
      </c>
      <c r="F1492" s="5">
        <v>1491</v>
      </c>
      <c r="G1492" s="5" t="s">
        <v>4564</v>
      </c>
      <c r="H1492" s="5" t="s">
        <v>4565</v>
      </c>
      <c r="I1492" s="5" t="s">
        <v>212</v>
      </c>
      <c r="N1492" s="5" t="s">
        <v>4566</v>
      </c>
      <c r="O1492" s="5">
        <v>92.5</v>
      </c>
      <c r="P1492" s="5">
        <v>93.56</v>
      </c>
      <c r="Q1492" s="5">
        <v>87.76</v>
      </c>
      <c r="R1492" s="5">
        <v>88.96</v>
      </c>
      <c r="S1492" s="5">
        <v>89.1</v>
      </c>
      <c r="T1492" s="5">
        <v>92.61</v>
      </c>
      <c r="V1492" s="5">
        <v>88.96</v>
      </c>
      <c r="Y1492" s="5">
        <v>156503199</v>
      </c>
      <c r="Z1492" s="5">
        <v>14018831609.940001</v>
      </c>
      <c r="AA1492" s="5">
        <v>373267</v>
      </c>
      <c r="AB1492" s="5" t="s">
        <v>85</v>
      </c>
      <c r="AC1492" s="5">
        <v>1</v>
      </c>
    </row>
    <row r="1493" spans="1:29" x14ac:dyDescent="0.3">
      <c r="A1493" s="34">
        <v>46274</v>
      </c>
      <c r="B1493" s="34">
        <v>46274</v>
      </c>
      <c r="C1493" s="5" t="s">
        <v>78</v>
      </c>
      <c r="D1493" s="5" t="s">
        <v>79</v>
      </c>
      <c r="E1493" s="5" t="s">
        <v>80</v>
      </c>
      <c r="F1493" s="5">
        <v>436</v>
      </c>
      <c r="G1493" s="5" t="s">
        <v>4567</v>
      </c>
      <c r="H1493" s="5" t="s">
        <v>4568</v>
      </c>
      <c r="I1493" s="5" t="s">
        <v>212</v>
      </c>
      <c r="N1493" s="5" t="s">
        <v>4569</v>
      </c>
      <c r="O1493" s="5">
        <v>198</v>
      </c>
      <c r="P1493" s="5">
        <v>225.98</v>
      </c>
      <c r="Q1493" s="5">
        <v>197</v>
      </c>
      <c r="R1493" s="5">
        <v>214.65</v>
      </c>
      <c r="S1493" s="5">
        <v>217.7</v>
      </c>
      <c r="T1493" s="5">
        <v>198.22</v>
      </c>
      <c r="V1493" s="5">
        <v>214.65</v>
      </c>
      <c r="Y1493" s="5">
        <v>638605</v>
      </c>
      <c r="Z1493" s="5">
        <v>138636171.25999999</v>
      </c>
      <c r="AA1493" s="5">
        <v>10475</v>
      </c>
      <c r="AB1493" s="5" t="s">
        <v>85</v>
      </c>
      <c r="AC1493" s="5">
        <v>1</v>
      </c>
    </row>
    <row r="1494" spans="1:29" x14ac:dyDescent="0.3">
      <c r="A1494" s="34">
        <v>46274</v>
      </c>
      <c r="B1494" s="34">
        <v>46274</v>
      </c>
      <c r="C1494" s="5" t="s">
        <v>78</v>
      </c>
      <c r="D1494" s="5" t="s">
        <v>79</v>
      </c>
      <c r="E1494" s="5" t="s">
        <v>80</v>
      </c>
      <c r="F1494" s="5">
        <v>634</v>
      </c>
      <c r="G1494" s="5" t="s">
        <v>4570</v>
      </c>
      <c r="H1494" s="5" t="s">
        <v>4571</v>
      </c>
      <c r="I1494" s="5" t="s">
        <v>212</v>
      </c>
      <c r="N1494" s="5" t="s">
        <v>4572</v>
      </c>
      <c r="O1494" s="5">
        <v>415.6</v>
      </c>
      <c r="P1494" s="5">
        <v>420.85</v>
      </c>
      <c r="Q1494" s="5">
        <v>406.4</v>
      </c>
      <c r="R1494" s="5">
        <v>410.3</v>
      </c>
      <c r="S1494" s="5">
        <v>410.25</v>
      </c>
      <c r="T1494" s="5">
        <v>415.6</v>
      </c>
      <c r="V1494" s="5">
        <v>410.21</v>
      </c>
      <c r="Y1494" s="5">
        <v>39856</v>
      </c>
      <c r="Z1494" s="5">
        <v>16369752.300000001</v>
      </c>
      <c r="AA1494" s="5">
        <v>1957</v>
      </c>
      <c r="AB1494" s="5" t="s">
        <v>85</v>
      </c>
      <c r="AC1494" s="5">
        <v>1</v>
      </c>
    </row>
    <row r="1495" spans="1:29" x14ac:dyDescent="0.3">
      <c r="A1495" s="34">
        <v>46274</v>
      </c>
      <c r="B1495" s="34">
        <v>46274</v>
      </c>
      <c r="C1495" s="5" t="s">
        <v>78</v>
      </c>
      <c r="D1495" s="5" t="s">
        <v>79</v>
      </c>
      <c r="E1495" s="5" t="s">
        <v>80</v>
      </c>
      <c r="F1495" s="5">
        <v>761116</v>
      </c>
      <c r="G1495" s="5" t="s">
        <v>4573</v>
      </c>
      <c r="H1495" s="5" t="s">
        <v>4574</v>
      </c>
      <c r="I1495" s="5" t="s">
        <v>4575</v>
      </c>
      <c r="N1495" s="5" t="s">
        <v>4576</v>
      </c>
      <c r="O1495" s="5">
        <v>982.2</v>
      </c>
      <c r="P1495" s="5">
        <v>982.2</v>
      </c>
      <c r="Q1495" s="5">
        <v>982.2</v>
      </c>
      <c r="R1495" s="5">
        <v>982.2</v>
      </c>
      <c r="S1495" s="5">
        <v>982.2</v>
      </c>
      <c r="T1495" s="5">
        <v>990</v>
      </c>
      <c r="V1495" s="5">
        <v>982.2</v>
      </c>
      <c r="Y1495" s="5">
        <v>10</v>
      </c>
      <c r="Z1495" s="5">
        <v>9822</v>
      </c>
      <c r="AA1495" s="5">
        <v>1</v>
      </c>
      <c r="AB1495" s="5" t="s">
        <v>85</v>
      </c>
      <c r="AC1495" s="5">
        <v>1</v>
      </c>
    </row>
    <row r="1496" spans="1:29" x14ac:dyDescent="0.3">
      <c r="A1496" s="34">
        <v>46274</v>
      </c>
      <c r="B1496" s="34">
        <v>46274</v>
      </c>
      <c r="C1496" s="5" t="s">
        <v>78</v>
      </c>
      <c r="D1496" s="5" t="s">
        <v>79</v>
      </c>
      <c r="E1496" s="5" t="s">
        <v>80</v>
      </c>
      <c r="F1496" s="5">
        <v>761118</v>
      </c>
      <c r="G1496" s="5" t="s">
        <v>4577</v>
      </c>
      <c r="H1496" s="5" t="s">
        <v>4578</v>
      </c>
      <c r="I1496" s="5" t="s">
        <v>4579</v>
      </c>
      <c r="N1496" s="5" t="s">
        <v>4580</v>
      </c>
      <c r="O1496" s="5">
        <v>985</v>
      </c>
      <c r="P1496" s="5">
        <v>985</v>
      </c>
      <c r="Q1496" s="5">
        <v>980</v>
      </c>
      <c r="R1496" s="5">
        <v>980</v>
      </c>
      <c r="S1496" s="5">
        <v>980</v>
      </c>
      <c r="T1496" s="5">
        <v>988</v>
      </c>
      <c r="V1496" s="5">
        <v>980</v>
      </c>
      <c r="Y1496" s="5">
        <v>400</v>
      </c>
      <c r="Z1496" s="5">
        <v>392575</v>
      </c>
      <c r="AA1496" s="5">
        <v>3</v>
      </c>
      <c r="AB1496" s="5" t="s">
        <v>85</v>
      </c>
      <c r="AC1496" s="5">
        <v>1</v>
      </c>
    </row>
    <row r="1497" spans="1:29" x14ac:dyDescent="0.3">
      <c r="A1497" s="34">
        <v>46274</v>
      </c>
      <c r="B1497" s="34">
        <v>46274</v>
      </c>
      <c r="C1497" s="5" t="s">
        <v>78</v>
      </c>
      <c r="D1497" s="5" t="s">
        <v>79</v>
      </c>
      <c r="E1497" s="5" t="s">
        <v>80</v>
      </c>
      <c r="F1497" s="5">
        <v>761121</v>
      </c>
      <c r="G1497" s="5" t="s">
        <v>4581</v>
      </c>
      <c r="H1497" s="5" t="s">
        <v>4582</v>
      </c>
      <c r="I1497" s="5" t="s">
        <v>4583</v>
      </c>
      <c r="N1497" s="5" t="s">
        <v>4584</v>
      </c>
      <c r="O1497" s="5">
        <v>1010</v>
      </c>
      <c r="P1497" s="5">
        <v>1010</v>
      </c>
      <c r="Q1497" s="5">
        <v>1000</v>
      </c>
      <c r="R1497" s="5">
        <v>1000.27</v>
      </c>
      <c r="S1497" s="5">
        <v>1000</v>
      </c>
      <c r="T1497" s="5">
        <v>1020</v>
      </c>
      <c r="V1497" s="5">
        <v>1000.28</v>
      </c>
      <c r="Y1497" s="5">
        <v>950</v>
      </c>
      <c r="Z1497" s="5">
        <v>955160.5</v>
      </c>
      <c r="AA1497" s="5">
        <v>15</v>
      </c>
      <c r="AB1497" s="5" t="s">
        <v>85</v>
      </c>
      <c r="AC1497" s="5">
        <v>1</v>
      </c>
    </row>
    <row r="1498" spans="1:29" x14ac:dyDescent="0.3">
      <c r="A1498" s="34">
        <v>46274</v>
      </c>
      <c r="B1498" s="34">
        <v>46274</v>
      </c>
      <c r="C1498" s="5" t="s">
        <v>78</v>
      </c>
      <c r="D1498" s="5" t="s">
        <v>79</v>
      </c>
      <c r="E1498" s="5" t="s">
        <v>80</v>
      </c>
      <c r="F1498" s="5">
        <v>13072</v>
      </c>
      <c r="G1498" s="5" t="s">
        <v>4585</v>
      </c>
      <c r="H1498" s="5" t="s">
        <v>4586</v>
      </c>
      <c r="I1498" s="5" t="s">
        <v>212</v>
      </c>
      <c r="N1498" s="5" t="s">
        <v>4587</v>
      </c>
      <c r="O1498" s="5">
        <v>340.7</v>
      </c>
      <c r="P1498" s="5">
        <v>341.2</v>
      </c>
      <c r="Q1498" s="5">
        <v>337.6</v>
      </c>
      <c r="R1498" s="5">
        <v>338.05</v>
      </c>
      <c r="S1498" s="5">
        <v>337.65</v>
      </c>
      <c r="T1498" s="5">
        <v>339.4</v>
      </c>
      <c r="V1498" s="5">
        <v>338.05</v>
      </c>
      <c r="Y1498" s="5">
        <v>492702</v>
      </c>
      <c r="Z1498" s="5">
        <v>166821517</v>
      </c>
      <c r="AA1498" s="5">
        <v>3636</v>
      </c>
      <c r="AB1498" s="5" t="s">
        <v>85</v>
      </c>
      <c r="AC1498" s="5">
        <v>1</v>
      </c>
    </row>
    <row r="1499" spans="1:29" x14ac:dyDescent="0.3">
      <c r="A1499" s="34">
        <v>46274</v>
      </c>
      <c r="B1499" s="34">
        <v>46274</v>
      </c>
      <c r="C1499" s="5" t="s">
        <v>78</v>
      </c>
      <c r="D1499" s="5" t="s">
        <v>79</v>
      </c>
      <c r="E1499" s="5" t="s">
        <v>80</v>
      </c>
      <c r="F1499" s="5">
        <v>11809</v>
      </c>
      <c r="G1499" s="5" t="s">
        <v>4588</v>
      </c>
      <c r="H1499" s="5" t="s">
        <v>4589</v>
      </c>
      <c r="I1499" s="5" t="s">
        <v>212</v>
      </c>
      <c r="N1499" s="5" t="s">
        <v>4590</v>
      </c>
      <c r="O1499" s="5">
        <v>626</v>
      </c>
      <c r="P1499" s="5">
        <v>628.04999999999995</v>
      </c>
      <c r="Q1499" s="5">
        <v>602.25</v>
      </c>
      <c r="R1499" s="5">
        <v>605.15</v>
      </c>
      <c r="S1499" s="5">
        <v>609.5</v>
      </c>
      <c r="T1499" s="5">
        <v>628</v>
      </c>
      <c r="V1499" s="5">
        <v>605.15</v>
      </c>
      <c r="Y1499" s="5">
        <v>4680660</v>
      </c>
      <c r="Z1499" s="5">
        <v>2861138976.1500001</v>
      </c>
      <c r="AA1499" s="5">
        <v>98304</v>
      </c>
      <c r="AB1499" s="5" t="s">
        <v>85</v>
      </c>
      <c r="AC1499" s="5">
        <v>1</v>
      </c>
    </row>
    <row r="1500" spans="1:29" x14ac:dyDescent="0.3">
      <c r="A1500" s="34">
        <v>46274</v>
      </c>
      <c r="B1500" s="34">
        <v>46274</v>
      </c>
      <c r="C1500" s="5" t="s">
        <v>78</v>
      </c>
      <c r="D1500" s="5" t="s">
        <v>79</v>
      </c>
      <c r="E1500" s="5" t="s">
        <v>80</v>
      </c>
      <c r="F1500" s="5">
        <v>756142</v>
      </c>
      <c r="G1500" s="5" t="s">
        <v>4591</v>
      </c>
      <c r="H1500" s="5" t="s">
        <v>4592</v>
      </c>
      <c r="I1500" s="5" t="s">
        <v>4593</v>
      </c>
      <c r="N1500" s="5" t="s">
        <v>4594</v>
      </c>
      <c r="O1500" s="5">
        <v>1110</v>
      </c>
      <c r="P1500" s="5">
        <v>1125</v>
      </c>
      <c r="Q1500" s="5">
        <v>1110</v>
      </c>
      <c r="R1500" s="5">
        <v>1116.1600000000001</v>
      </c>
      <c r="S1500" s="5">
        <v>1113.5</v>
      </c>
      <c r="T1500" s="5">
        <v>1125</v>
      </c>
      <c r="V1500" s="5">
        <v>1116.1600000000001</v>
      </c>
      <c r="Y1500" s="5">
        <v>21</v>
      </c>
      <c r="Z1500" s="5">
        <v>23439.5</v>
      </c>
      <c r="AA1500" s="5">
        <v>3</v>
      </c>
      <c r="AB1500" s="5" t="s">
        <v>85</v>
      </c>
      <c r="AC1500" s="5">
        <v>1</v>
      </c>
    </row>
    <row r="1501" spans="1:29" x14ac:dyDescent="0.3">
      <c r="A1501" s="34">
        <v>46274</v>
      </c>
      <c r="B1501" s="34">
        <v>46274</v>
      </c>
      <c r="C1501" s="5" t="s">
        <v>78</v>
      </c>
      <c r="D1501" s="5" t="s">
        <v>79</v>
      </c>
      <c r="E1501" s="5" t="s">
        <v>80</v>
      </c>
      <c r="F1501" s="5">
        <v>761122</v>
      </c>
      <c r="G1501" s="5" t="s">
        <v>4595</v>
      </c>
      <c r="H1501" s="5" t="s">
        <v>4596</v>
      </c>
      <c r="I1501" s="5" t="s">
        <v>4597</v>
      </c>
      <c r="N1501" s="5" t="s">
        <v>4598</v>
      </c>
      <c r="O1501" s="5">
        <v>1020</v>
      </c>
      <c r="P1501" s="5">
        <v>1020</v>
      </c>
      <c r="Q1501" s="5">
        <v>1020</v>
      </c>
      <c r="R1501" s="5">
        <v>1020</v>
      </c>
      <c r="S1501" s="5">
        <v>1020</v>
      </c>
      <c r="T1501" s="5">
        <v>1020</v>
      </c>
      <c r="V1501" s="5">
        <v>1020</v>
      </c>
      <c r="Y1501" s="5">
        <v>30</v>
      </c>
      <c r="Z1501" s="5">
        <v>30600</v>
      </c>
      <c r="AA1501" s="5">
        <v>2</v>
      </c>
      <c r="AB1501" s="5" t="s">
        <v>85</v>
      </c>
      <c r="AC1501" s="5">
        <v>1</v>
      </c>
    </row>
    <row r="1502" spans="1:29" x14ac:dyDescent="0.3">
      <c r="A1502" s="34">
        <v>46274</v>
      </c>
      <c r="B1502" s="34">
        <v>46274</v>
      </c>
      <c r="C1502" s="5" t="s">
        <v>78</v>
      </c>
      <c r="D1502" s="5" t="s">
        <v>79</v>
      </c>
      <c r="E1502" s="5" t="s">
        <v>80</v>
      </c>
      <c r="F1502" s="5">
        <v>16822</v>
      </c>
      <c r="G1502" s="5" t="s">
        <v>4599</v>
      </c>
      <c r="H1502" s="5" t="s">
        <v>4600</v>
      </c>
      <c r="I1502" s="5" t="s">
        <v>212</v>
      </c>
      <c r="N1502" s="5" t="s">
        <v>4601</v>
      </c>
      <c r="O1502" s="5">
        <v>219.73</v>
      </c>
      <c r="P1502" s="5">
        <v>228.78</v>
      </c>
      <c r="Q1502" s="5">
        <v>218.12</v>
      </c>
      <c r="R1502" s="5">
        <v>219.94</v>
      </c>
      <c r="S1502" s="5">
        <v>219.75</v>
      </c>
      <c r="T1502" s="5">
        <v>219.73</v>
      </c>
      <c r="V1502" s="5">
        <v>219.94</v>
      </c>
      <c r="Y1502" s="5">
        <v>697005</v>
      </c>
      <c r="Z1502" s="5">
        <v>154958055.91</v>
      </c>
      <c r="AA1502" s="5">
        <v>15181</v>
      </c>
      <c r="AB1502" s="5" t="s">
        <v>85</v>
      </c>
      <c r="AC1502" s="5">
        <v>1</v>
      </c>
    </row>
    <row r="1503" spans="1:29" x14ac:dyDescent="0.3">
      <c r="A1503" s="34">
        <v>46274</v>
      </c>
      <c r="B1503" s="34">
        <v>46274</v>
      </c>
      <c r="C1503" s="5" t="s">
        <v>78</v>
      </c>
      <c r="D1503" s="5" t="s">
        <v>79</v>
      </c>
      <c r="E1503" s="5" t="s">
        <v>80</v>
      </c>
      <c r="F1503" s="5">
        <v>9380</v>
      </c>
      <c r="G1503" s="5" t="s">
        <v>4602</v>
      </c>
      <c r="H1503" s="5" t="s">
        <v>4603</v>
      </c>
      <c r="I1503" s="5" t="s">
        <v>614</v>
      </c>
      <c r="N1503" s="5" t="s">
        <v>4604</v>
      </c>
      <c r="O1503" s="5">
        <v>36.5</v>
      </c>
      <c r="P1503" s="5">
        <v>37.799999999999997</v>
      </c>
      <c r="Q1503" s="5">
        <v>35.51</v>
      </c>
      <c r="R1503" s="5">
        <v>37.799999999999997</v>
      </c>
      <c r="S1503" s="5">
        <v>37.799999999999997</v>
      </c>
      <c r="T1503" s="5">
        <v>36</v>
      </c>
      <c r="V1503" s="5">
        <v>37.799999999999997</v>
      </c>
      <c r="Y1503" s="5">
        <v>61277</v>
      </c>
      <c r="Z1503" s="5">
        <v>2292634.2200000002</v>
      </c>
      <c r="AA1503" s="5">
        <v>114</v>
      </c>
      <c r="AB1503" s="5" t="s">
        <v>85</v>
      </c>
      <c r="AC1503" s="5">
        <v>1</v>
      </c>
    </row>
    <row r="1504" spans="1:29" x14ac:dyDescent="0.3">
      <c r="A1504" s="34">
        <v>46274</v>
      </c>
      <c r="B1504" s="34">
        <v>46274</v>
      </c>
      <c r="C1504" s="5" t="s">
        <v>78</v>
      </c>
      <c r="D1504" s="5" t="s">
        <v>79</v>
      </c>
      <c r="E1504" s="5" t="s">
        <v>80</v>
      </c>
      <c r="F1504" s="5">
        <v>6711</v>
      </c>
      <c r="G1504" s="5" t="s">
        <v>4605</v>
      </c>
      <c r="H1504" s="5" t="s">
        <v>4606</v>
      </c>
      <c r="I1504" s="5" t="s">
        <v>212</v>
      </c>
      <c r="N1504" s="5" t="s">
        <v>4607</v>
      </c>
      <c r="O1504" s="5">
        <v>10.14</v>
      </c>
      <c r="P1504" s="5">
        <v>10.14</v>
      </c>
      <c r="Q1504" s="5">
        <v>9.9</v>
      </c>
      <c r="R1504" s="5">
        <v>9.9700000000000006</v>
      </c>
      <c r="S1504" s="5">
        <v>9.9499999999999993</v>
      </c>
      <c r="T1504" s="5">
        <v>10.02</v>
      </c>
      <c r="V1504" s="5">
        <v>9.9700000000000006</v>
      </c>
      <c r="Y1504" s="5">
        <v>386088</v>
      </c>
      <c r="Z1504" s="5">
        <v>3852400.66</v>
      </c>
      <c r="AA1504" s="5">
        <v>1251</v>
      </c>
      <c r="AB1504" s="5" t="s">
        <v>85</v>
      </c>
      <c r="AC1504" s="5">
        <v>1</v>
      </c>
    </row>
    <row r="1505" spans="1:29" x14ac:dyDescent="0.3">
      <c r="A1505" s="34">
        <v>46274</v>
      </c>
      <c r="B1505" s="34">
        <v>46274</v>
      </c>
      <c r="C1505" s="5" t="s">
        <v>78</v>
      </c>
      <c r="D1505" s="5" t="s">
        <v>79</v>
      </c>
      <c r="E1505" s="5" t="s">
        <v>80</v>
      </c>
      <c r="F1505" s="5">
        <v>9381</v>
      </c>
      <c r="G1505" s="5" t="s">
        <v>4608</v>
      </c>
      <c r="H1505" s="5" t="s">
        <v>4609</v>
      </c>
      <c r="I1505" s="5" t="s">
        <v>614</v>
      </c>
      <c r="N1505" s="5" t="s">
        <v>4610</v>
      </c>
      <c r="O1505" s="5">
        <v>2.0499999999999998</v>
      </c>
      <c r="P1505" s="5">
        <v>2.16</v>
      </c>
      <c r="Q1505" s="5">
        <v>2.0499999999999998</v>
      </c>
      <c r="R1505" s="5">
        <v>2.0699999999999998</v>
      </c>
      <c r="S1505" s="5">
        <v>2.0699999999999998</v>
      </c>
      <c r="T1505" s="5">
        <v>2.08</v>
      </c>
      <c r="V1505" s="5">
        <v>2.11</v>
      </c>
      <c r="Y1505" s="5">
        <v>37237</v>
      </c>
      <c r="Z1505" s="5">
        <v>77814.09</v>
      </c>
      <c r="AA1505" s="5">
        <v>54</v>
      </c>
      <c r="AB1505" s="5" t="s">
        <v>85</v>
      </c>
      <c r="AC1505" s="5">
        <v>1</v>
      </c>
    </row>
    <row r="1506" spans="1:29" x14ac:dyDescent="0.3">
      <c r="A1506" s="34">
        <v>46274</v>
      </c>
      <c r="B1506" s="34">
        <v>46274</v>
      </c>
      <c r="C1506" s="5" t="s">
        <v>78</v>
      </c>
      <c r="D1506" s="5" t="s">
        <v>79</v>
      </c>
      <c r="E1506" s="5" t="s">
        <v>80</v>
      </c>
      <c r="F1506" s="5">
        <v>7672</v>
      </c>
      <c r="G1506" s="5" t="s">
        <v>4611</v>
      </c>
      <c r="H1506" s="5" t="s">
        <v>4612</v>
      </c>
      <c r="I1506" s="5" t="s">
        <v>212</v>
      </c>
      <c r="N1506" s="5" t="s">
        <v>4613</v>
      </c>
      <c r="O1506" s="5">
        <v>54.5</v>
      </c>
      <c r="P1506" s="5">
        <v>55.59</v>
      </c>
      <c r="Q1506" s="5">
        <v>53.25</v>
      </c>
      <c r="R1506" s="5">
        <v>54.8</v>
      </c>
      <c r="S1506" s="5">
        <v>54.54</v>
      </c>
      <c r="T1506" s="5">
        <v>54.43</v>
      </c>
      <c r="V1506" s="5">
        <v>54.77</v>
      </c>
      <c r="Y1506" s="5">
        <v>1005224</v>
      </c>
      <c r="Z1506" s="5">
        <v>54725978.5</v>
      </c>
      <c r="AA1506" s="5">
        <v>5652</v>
      </c>
      <c r="AB1506" s="5" t="s">
        <v>85</v>
      </c>
      <c r="AC1506" s="5">
        <v>1</v>
      </c>
    </row>
    <row r="1507" spans="1:29" x14ac:dyDescent="0.3">
      <c r="A1507" s="34">
        <v>46274</v>
      </c>
      <c r="B1507" s="34">
        <v>46274</v>
      </c>
      <c r="C1507" s="5" t="s">
        <v>78</v>
      </c>
      <c r="D1507" s="5" t="s">
        <v>79</v>
      </c>
      <c r="E1507" s="5" t="s">
        <v>80</v>
      </c>
      <c r="F1507" s="5">
        <v>25881</v>
      </c>
      <c r="G1507" s="5" t="s">
        <v>4614</v>
      </c>
      <c r="H1507" s="5" t="s">
        <v>4615</v>
      </c>
      <c r="I1507" s="5" t="s">
        <v>614</v>
      </c>
      <c r="N1507" s="5" t="s">
        <v>4616</v>
      </c>
      <c r="O1507" s="5">
        <v>4.99</v>
      </c>
      <c r="P1507" s="5">
        <v>4.99</v>
      </c>
      <c r="Q1507" s="5">
        <v>4.99</v>
      </c>
      <c r="R1507" s="5">
        <v>4.99</v>
      </c>
      <c r="S1507" s="5">
        <v>4.99</v>
      </c>
      <c r="T1507" s="5">
        <v>4.9000000000000004</v>
      </c>
      <c r="V1507" s="5">
        <v>5.14</v>
      </c>
      <c r="Y1507" s="5">
        <v>6684</v>
      </c>
      <c r="Z1507" s="5">
        <v>33353.160000000003</v>
      </c>
      <c r="AA1507" s="5">
        <v>11</v>
      </c>
      <c r="AB1507" s="5" t="s">
        <v>85</v>
      </c>
      <c r="AC1507" s="5">
        <v>1</v>
      </c>
    </row>
    <row r="1508" spans="1:29" x14ac:dyDescent="0.3">
      <c r="A1508" s="34">
        <v>46274</v>
      </c>
      <c r="B1508" s="34">
        <v>46274</v>
      </c>
      <c r="C1508" s="5" t="s">
        <v>78</v>
      </c>
      <c r="D1508" s="5" t="s">
        <v>79</v>
      </c>
      <c r="E1508" s="5" t="s">
        <v>80</v>
      </c>
      <c r="F1508" s="5">
        <v>17507</v>
      </c>
      <c r="G1508" s="5" t="s">
        <v>4617</v>
      </c>
      <c r="H1508" s="5" t="s">
        <v>4618</v>
      </c>
      <c r="I1508" s="5" t="s">
        <v>212</v>
      </c>
      <c r="N1508" s="5" t="s">
        <v>4619</v>
      </c>
      <c r="O1508" s="5">
        <v>31.78</v>
      </c>
      <c r="P1508" s="5">
        <v>32.369999999999997</v>
      </c>
      <c r="Q1508" s="5">
        <v>31.22</v>
      </c>
      <c r="R1508" s="5">
        <v>32.17</v>
      </c>
      <c r="S1508" s="5">
        <v>32.19</v>
      </c>
      <c r="T1508" s="5">
        <v>31.78</v>
      </c>
      <c r="V1508" s="5">
        <v>32.18</v>
      </c>
      <c r="Y1508" s="5">
        <v>2141</v>
      </c>
      <c r="Z1508" s="5">
        <v>68148.67</v>
      </c>
      <c r="AA1508" s="5">
        <v>53</v>
      </c>
      <c r="AB1508" s="5" t="s">
        <v>85</v>
      </c>
      <c r="AC1508" s="5">
        <v>1</v>
      </c>
    </row>
    <row r="1509" spans="1:29" x14ac:dyDescent="0.3">
      <c r="A1509" s="34">
        <v>46274</v>
      </c>
      <c r="B1509" s="34">
        <v>46274</v>
      </c>
      <c r="C1509" s="5" t="s">
        <v>78</v>
      </c>
      <c r="D1509" s="5" t="s">
        <v>79</v>
      </c>
      <c r="E1509" s="5" t="s">
        <v>80</v>
      </c>
      <c r="F1509" s="5">
        <v>12009</v>
      </c>
      <c r="G1509" s="5" t="s">
        <v>4620</v>
      </c>
      <c r="H1509" s="5" t="s">
        <v>4621</v>
      </c>
      <c r="I1509" s="5" t="s">
        <v>212</v>
      </c>
      <c r="N1509" s="5" t="s">
        <v>4622</v>
      </c>
      <c r="O1509" s="5">
        <v>1132.4000000000001</v>
      </c>
      <c r="P1509" s="5">
        <v>1154.9000000000001</v>
      </c>
      <c r="Q1509" s="5">
        <v>1120</v>
      </c>
      <c r="R1509" s="5">
        <v>1128.7</v>
      </c>
      <c r="S1509" s="5">
        <v>1124.3</v>
      </c>
      <c r="T1509" s="5">
        <v>1151.5</v>
      </c>
      <c r="V1509" s="5">
        <v>1128.5899999999999</v>
      </c>
      <c r="Y1509" s="5">
        <v>4177</v>
      </c>
      <c r="Z1509" s="5">
        <v>4734676.4000000004</v>
      </c>
      <c r="AA1509" s="5">
        <v>365</v>
      </c>
      <c r="AB1509" s="5" t="s">
        <v>85</v>
      </c>
      <c r="AC1509" s="5">
        <v>1</v>
      </c>
    </row>
    <row r="1510" spans="1:29" x14ac:dyDescent="0.3">
      <c r="A1510" s="34">
        <v>46274</v>
      </c>
      <c r="B1510" s="34">
        <v>46274</v>
      </c>
      <c r="C1510" s="5" t="s">
        <v>78</v>
      </c>
      <c r="D1510" s="5" t="s">
        <v>79</v>
      </c>
      <c r="E1510" s="5" t="s">
        <v>80</v>
      </c>
      <c r="F1510" s="5">
        <v>4870</v>
      </c>
      <c r="G1510" s="5" t="s">
        <v>4623</v>
      </c>
      <c r="H1510" s="5" t="s">
        <v>4624</v>
      </c>
      <c r="I1510" s="5" t="s">
        <v>212</v>
      </c>
      <c r="N1510" s="5" t="s">
        <v>4625</v>
      </c>
      <c r="O1510" s="5">
        <v>389.7</v>
      </c>
      <c r="P1510" s="5">
        <v>404</v>
      </c>
      <c r="Q1510" s="5">
        <v>381.35</v>
      </c>
      <c r="R1510" s="5">
        <v>388.55</v>
      </c>
      <c r="S1510" s="5">
        <v>385.95</v>
      </c>
      <c r="T1510" s="5">
        <v>388.3</v>
      </c>
      <c r="V1510" s="5">
        <v>388.54</v>
      </c>
      <c r="Y1510" s="5">
        <v>704593</v>
      </c>
      <c r="Z1510" s="5">
        <v>275489272.85000002</v>
      </c>
      <c r="AA1510" s="5">
        <v>13697</v>
      </c>
      <c r="AB1510" s="5" t="s">
        <v>85</v>
      </c>
      <c r="AC1510" s="5">
        <v>1</v>
      </c>
    </row>
    <row r="1511" spans="1:29" x14ac:dyDescent="0.3">
      <c r="A1511" s="34">
        <v>46274</v>
      </c>
      <c r="B1511" s="34">
        <v>46274</v>
      </c>
      <c r="C1511" s="5" t="s">
        <v>78</v>
      </c>
      <c r="D1511" s="5" t="s">
        <v>79</v>
      </c>
      <c r="E1511" s="5" t="s">
        <v>80</v>
      </c>
      <c r="F1511" s="5">
        <v>21957</v>
      </c>
      <c r="G1511" s="5" t="s">
        <v>4626</v>
      </c>
      <c r="H1511" s="5" t="s">
        <v>4627</v>
      </c>
      <c r="I1511" s="5" t="s">
        <v>212</v>
      </c>
      <c r="N1511" s="5" t="s">
        <v>4628</v>
      </c>
      <c r="O1511" s="5">
        <v>30.45</v>
      </c>
      <c r="P1511" s="5">
        <v>30.74</v>
      </c>
      <c r="Q1511" s="5">
        <v>29.02</v>
      </c>
      <c r="R1511" s="5">
        <v>29.34</v>
      </c>
      <c r="S1511" s="5">
        <v>29.11</v>
      </c>
      <c r="T1511" s="5">
        <v>30.3</v>
      </c>
      <c r="V1511" s="5">
        <v>29.36</v>
      </c>
      <c r="Y1511" s="5">
        <v>30788</v>
      </c>
      <c r="Z1511" s="5">
        <v>907548.34</v>
      </c>
      <c r="AA1511" s="5">
        <v>226</v>
      </c>
      <c r="AB1511" s="5" t="s">
        <v>85</v>
      </c>
      <c r="AC1511" s="5">
        <v>1</v>
      </c>
    </row>
    <row r="1512" spans="1:29" x14ac:dyDescent="0.3">
      <c r="A1512" s="34">
        <v>46274</v>
      </c>
      <c r="B1512" s="34">
        <v>46274</v>
      </c>
      <c r="C1512" s="5" t="s">
        <v>78</v>
      </c>
      <c r="D1512" s="5" t="s">
        <v>79</v>
      </c>
      <c r="E1512" s="5" t="s">
        <v>80</v>
      </c>
      <c r="F1512" s="5">
        <v>16933</v>
      </c>
      <c r="G1512" s="5" t="s">
        <v>4629</v>
      </c>
      <c r="H1512" s="5" t="s">
        <v>4630</v>
      </c>
      <c r="I1512" s="5" t="s">
        <v>212</v>
      </c>
      <c r="N1512" s="5" t="s">
        <v>4631</v>
      </c>
      <c r="O1512" s="5">
        <v>27.7</v>
      </c>
      <c r="P1512" s="5">
        <v>28.1</v>
      </c>
      <c r="Q1512" s="5">
        <v>26.4</v>
      </c>
      <c r="R1512" s="5">
        <v>26.61</v>
      </c>
      <c r="S1512" s="5">
        <v>26.65</v>
      </c>
      <c r="T1512" s="5">
        <v>27.69</v>
      </c>
      <c r="V1512" s="5">
        <v>26.62</v>
      </c>
      <c r="Y1512" s="5">
        <v>179876</v>
      </c>
      <c r="Z1512" s="5">
        <v>4859648.9000000004</v>
      </c>
      <c r="AA1512" s="5">
        <v>1107</v>
      </c>
      <c r="AB1512" s="5" t="s">
        <v>85</v>
      </c>
      <c r="AC1512" s="5">
        <v>1</v>
      </c>
    </row>
    <row r="1513" spans="1:29" x14ac:dyDescent="0.3">
      <c r="A1513" s="34">
        <v>46274</v>
      </c>
      <c r="B1513" s="34">
        <v>46274</v>
      </c>
      <c r="C1513" s="5" t="s">
        <v>78</v>
      </c>
      <c r="D1513" s="5" t="s">
        <v>79</v>
      </c>
      <c r="E1513" s="5" t="s">
        <v>80</v>
      </c>
      <c r="F1513" s="5">
        <v>29678</v>
      </c>
      <c r="G1513" s="5" t="s">
        <v>4632</v>
      </c>
      <c r="H1513" s="5" t="s">
        <v>4633</v>
      </c>
      <c r="I1513" s="5" t="s">
        <v>212</v>
      </c>
      <c r="N1513" s="5" t="s">
        <v>4634</v>
      </c>
      <c r="O1513" s="5">
        <v>221.31</v>
      </c>
      <c r="P1513" s="5">
        <v>222.58</v>
      </c>
      <c r="Q1513" s="5">
        <v>220.1</v>
      </c>
      <c r="R1513" s="5">
        <v>221.46</v>
      </c>
      <c r="S1513" s="5">
        <v>221.5</v>
      </c>
      <c r="T1513" s="5">
        <v>220.95</v>
      </c>
      <c r="V1513" s="5">
        <v>221.46</v>
      </c>
      <c r="Y1513" s="5">
        <v>12456</v>
      </c>
      <c r="Z1513" s="5">
        <v>2754883.42</v>
      </c>
      <c r="AA1513" s="5">
        <v>236</v>
      </c>
      <c r="AB1513" s="5" t="s">
        <v>85</v>
      </c>
      <c r="AC1513" s="5">
        <v>1</v>
      </c>
    </row>
    <row r="1514" spans="1:29" x14ac:dyDescent="0.3">
      <c r="A1514" s="34">
        <v>46274</v>
      </c>
      <c r="B1514" s="34">
        <v>46274</v>
      </c>
      <c r="C1514" s="5" t="s">
        <v>78</v>
      </c>
      <c r="D1514" s="5" t="s">
        <v>79</v>
      </c>
      <c r="E1514" s="5" t="s">
        <v>80</v>
      </c>
      <c r="F1514" s="5">
        <v>23693</v>
      </c>
      <c r="G1514" s="5" t="s">
        <v>4635</v>
      </c>
      <c r="H1514" s="5" t="s">
        <v>4636</v>
      </c>
      <c r="I1514" s="5" t="s">
        <v>212</v>
      </c>
      <c r="N1514" s="5" t="s">
        <v>4637</v>
      </c>
      <c r="O1514" s="5">
        <v>589.20000000000005</v>
      </c>
      <c r="P1514" s="5">
        <v>591</v>
      </c>
      <c r="Q1514" s="5">
        <v>580.85</v>
      </c>
      <c r="R1514" s="5">
        <v>586.35</v>
      </c>
      <c r="S1514" s="5">
        <v>586.95000000000005</v>
      </c>
      <c r="T1514" s="5">
        <v>589.20000000000005</v>
      </c>
      <c r="V1514" s="5">
        <v>586.36</v>
      </c>
      <c r="Y1514" s="5">
        <v>239296</v>
      </c>
      <c r="Z1514" s="5">
        <v>140093060.34999999</v>
      </c>
      <c r="AA1514" s="5">
        <v>13203</v>
      </c>
      <c r="AB1514" s="5" t="s">
        <v>85</v>
      </c>
      <c r="AC1514" s="5">
        <v>1</v>
      </c>
    </row>
    <row r="1515" spans="1:29" x14ac:dyDescent="0.3">
      <c r="A1515" s="34">
        <v>46274</v>
      </c>
      <c r="B1515" s="34">
        <v>46274</v>
      </c>
      <c r="C1515" s="5" t="s">
        <v>78</v>
      </c>
      <c r="D1515" s="5" t="s">
        <v>79</v>
      </c>
      <c r="E1515" s="5" t="s">
        <v>80</v>
      </c>
      <c r="F1515" s="5">
        <v>7128</v>
      </c>
      <c r="G1515" s="5" t="s">
        <v>4638</v>
      </c>
      <c r="H1515" s="5" t="s">
        <v>4639</v>
      </c>
      <c r="I1515" s="5" t="s">
        <v>234</v>
      </c>
      <c r="N1515" s="5" t="s">
        <v>4640</v>
      </c>
      <c r="O1515" s="5">
        <v>301.3</v>
      </c>
      <c r="P1515" s="5">
        <v>301.3</v>
      </c>
      <c r="Q1515" s="5">
        <v>300</v>
      </c>
      <c r="R1515" s="5">
        <v>301.3</v>
      </c>
      <c r="S1515" s="5">
        <v>301.3</v>
      </c>
      <c r="T1515" s="5">
        <v>287</v>
      </c>
      <c r="V1515" s="5">
        <v>301.85000000000002</v>
      </c>
      <c r="Y1515" s="5">
        <v>101181</v>
      </c>
      <c r="Z1515" s="5">
        <v>30482164.600000001</v>
      </c>
      <c r="AA1515" s="5">
        <v>655</v>
      </c>
      <c r="AB1515" s="5" t="s">
        <v>85</v>
      </c>
      <c r="AC1515" s="5">
        <v>1</v>
      </c>
    </row>
    <row r="1516" spans="1:29" x14ac:dyDescent="0.3">
      <c r="A1516" s="34">
        <v>46274</v>
      </c>
      <c r="B1516" s="34">
        <v>46274</v>
      </c>
      <c r="C1516" s="5" t="s">
        <v>78</v>
      </c>
      <c r="D1516" s="5" t="s">
        <v>79</v>
      </c>
      <c r="E1516" s="5" t="s">
        <v>80</v>
      </c>
      <c r="F1516" s="5">
        <v>4747</v>
      </c>
      <c r="G1516" s="5" t="s">
        <v>4641</v>
      </c>
      <c r="H1516" s="5" t="s">
        <v>4642</v>
      </c>
      <c r="I1516" s="5" t="s">
        <v>212</v>
      </c>
      <c r="N1516" s="5" t="s">
        <v>4643</v>
      </c>
      <c r="O1516" s="5">
        <v>1120.0999999999999</v>
      </c>
      <c r="P1516" s="5">
        <v>1346.7</v>
      </c>
      <c r="Q1516" s="5">
        <v>1111.2</v>
      </c>
      <c r="R1516" s="5">
        <v>1313.3</v>
      </c>
      <c r="S1516" s="5">
        <v>1346.7</v>
      </c>
      <c r="T1516" s="5">
        <v>1122.3</v>
      </c>
      <c r="V1516" s="5">
        <v>1313.44</v>
      </c>
      <c r="Y1516" s="5">
        <v>1613322</v>
      </c>
      <c r="Z1516" s="5">
        <v>2056492752.3</v>
      </c>
      <c r="AA1516" s="5">
        <v>78564</v>
      </c>
      <c r="AB1516" s="5" t="s">
        <v>85</v>
      </c>
      <c r="AC1516" s="5">
        <v>1</v>
      </c>
    </row>
    <row r="1517" spans="1:29" x14ac:dyDescent="0.3">
      <c r="A1517" s="34">
        <v>46274</v>
      </c>
      <c r="B1517" s="34">
        <v>46274</v>
      </c>
      <c r="C1517" s="5" t="s">
        <v>78</v>
      </c>
      <c r="D1517" s="5" t="s">
        <v>79</v>
      </c>
      <c r="E1517" s="5" t="s">
        <v>80</v>
      </c>
      <c r="F1517" s="5">
        <v>4934</v>
      </c>
      <c r="G1517" s="5" t="s">
        <v>4644</v>
      </c>
      <c r="H1517" s="5" t="s">
        <v>4645</v>
      </c>
      <c r="I1517" s="5" t="s">
        <v>212</v>
      </c>
      <c r="N1517" s="5" t="s">
        <v>4646</v>
      </c>
      <c r="O1517" s="5">
        <v>134.65</v>
      </c>
      <c r="P1517" s="5">
        <v>136.97999999999999</v>
      </c>
      <c r="Q1517" s="5">
        <v>133.52000000000001</v>
      </c>
      <c r="R1517" s="5">
        <v>136.06</v>
      </c>
      <c r="S1517" s="5">
        <v>136.4</v>
      </c>
      <c r="T1517" s="5">
        <v>134.65</v>
      </c>
      <c r="V1517" s="5">
        <v>136.04</v>
      </c>
      <c r="Y1517" s="5">
        <v>87601</v>
      </c>
      <c r="Z1517" s="5">
        <v>11853171.41</v>
      </c>
      <c r="AA1517" s="5">
        <v>2339</v>
      </c>
      <c r="AB1517" s="5" t="s">
        <v>85</v>
      </c>
      <c r="AC1517" s="5">
        <v>1</v>
      </c>
    </row>
    <row r="1518" spans="1:29" x14ac:dyDescent="0.3">
      <c r="A1518" s="34">
        <v>46274</v>
      </c>
      <c r="B1518" s="34">
        <v>46274</v>
      </c>
      <c r="C1518" s="5" t="s">
        <v>78</v>
      </c>
      <c r="D1518" s="5" t="s">
        <v>79</v>
      </c>
      <c r="E1518" s="5" t="s">
        <v>80</v>
      </c>
      <c r="F1518" s="5">
        <v>20556</v>
      </c>
      <c r="G1518" s="5" t="s">
        <v>4647</v>
      </c>
      <c r="H1518" s="5" t="s">
        <v>4648</v>
      </c>
      <c r="I1518" s="5" t="s">
        <v>212</v>
      </c>
      <c r="N1518" s="5" t="s">
        <v>4649</v>
      </c>
      <c r="O1518" s="5">
        <v>670.95</v>
      </c>
      <c r="P1518" s="5">
        <v>675.2</v>
      </c>
      <c r="Q1518" s="5">
        <v>658</v>
      </c>
      <c r="R1518" s="5">
        <v>668.2</v>
      </c>
      <c r="S1518" s="5">
        <v>666</v>
      </c>
      <c r="T1518" s="5">
        <v>671.7</v>
      </c>
      <c r="V1518" s="5">
        <v>668.2</v>
      </c>
      <c r="Y1518" s="5">
        <v>181931</v>
      </c>
      <c r="Z1518" s="5">
        <v>121212128.15000001</v>
      </c>
      <c r="AA1518" s="5">
        <v>21198</v>
      </c>
      <c r="AB1518" s="5" t="s">
        <v>85</v>
      </c>
      <c r="AC1518" s="5">
        <v>1</v>
      </c>
    </row>
    <row r="1519" spans="1:29" x14ac:dyDescent="0.3">
      <c r="A1519" s="34">
        <v>46274</v>
      </c>
      <c r="B1519" s="34">
        <v>46274</v>
      </c>
      <c r="C1519" s="5" t="s">
        <v>78</v>
      </c>
      <c r="D1519" s="5" t="s">
        <v>79</v>
      </c>
      <c r="E1519" s="5" t="s">
        <v>80</v>
      </c>
      <c r="F1519" s="5">
        <v>19299</v>
      </c>
      <c r="G1519" s="5" t="s">
        <v>4650</v>
      </c>
      <c r="H1519" s="5" t="s">
        <v>4651</v>
      </c>
      <c r="I1519" s="5" t="s">
        <v>212</v>
      </c>
      <c r="N1519" s="5" t="s">
        <v>4652</v>
      </c>
      <c r="O1519" s="5">
        <v>634.1</v>
      </c>
      <c r="P1519" s="5">
        <v>636.4</v>
      </c>
      <c r="Q1519" s="5">
        <v>627.1</v>
      </c>
      <c r="R1519" s="5">
        <v>629.65</v>
      </c>
      <c r="S1519" s="5">
        <v>627.1</v>
      </c>
      <c r="T1519" s="5">
        <v>638.20000000000005</v>
      </c>
      <c r="V1519" s="5">
        <v>629.66</v>
      </c>
      <c r="Y1519" s="5">
        <v>40153</v>
      </c>
      <c r="Z1519" s="5">
        <v>25337427.800000001</v>
      </c>
      <c r="AA1519" s="5">
        <v>2444</v>
      </c>
      <c r="AB1519" s="5" t="s">
        <v>85</v>
      </c>
      <c r="AC1519" s="5">
        <v>1</v>
      </c>
    </row>
    <row r="1520" spans="1:29" x14ac:dyDescent="0.3">
      <c r="A1520" s="34">
        <v>46274</v>
      </c>
      <c r="B1520" s="34">
        <v>46274</v>
      </c>
      <c r="C1520" s="5" t="s">
        <v>78</v>
      </c>
      <c r="D1520" s="5" t="s">
        <v>79</v>
      </c>
      <c r="E1520" s="5" t="s">
        <v>80</v>
      </c>
      <c r="F1520" s="5">
        <v>24999</v>
      </c>
      <c r="G1520" s="5" t="s">
        <v>4653</v>
      </c>
      <c r="H1520" s="5" t="s">
        <v>4654</v>
      </c>
      <c r="I1520" s="5" t="s">
        <v>212</v>
      </c>
      <c r="N1520" s="5" t="s">
        <v>4655</v>
      </c>
      <c r="O1520" s="5">
        <v>25.86</v>
      </c>
      <c r="P1520" s="5">
        <v>26.85</v>
      </c>
      <c r="Q1520" s="5">
        <v>24.92</v>
      </c>
      <c r="R1520" s="5">
        <v>25.05</v>
      </c>
      <c r="S1520" s="5">
        <v>25.45</v>
      </c>
      <c r="T1520" s="5">
        <v>25.95</v>
      </c>
      <c r="V1520" s="5">
        <v>25.05</v>
      </c>
      <c r="Y1520" s="5">
        <v>41720731</v>
      </c>
      <c r="Z1520" s="5">
        <v>1055815908.03</v>
      </c>
      <c r="AA1520" s="5">
        <v>25916</v>
      </c>
      <c r="AB1520" s="5" t="s">
        <v>85</v>
      </c>
      <c r="AC1520" s="5">
        <v>1</v>
      </c>
    </row>
    <row r="1521" spans="1:29" x14ac:dyDescent="0.3">
      <c r="A1521" s="34">
        <v>46274</v>
      </c>
      <c r="B1521" s="34">
        <v>46274</v>
      </c>
      <c r="C1521" s="5" t="s">
        <v>78</v>
      </c>
      <c r="D1521" s="5" t="s">
        <v>79</v>
      </c>
      <c r="E1521" s="5" t="s">
        <v>80</v>
      </c>
      <c r="F1521" s="5">
        <v>10726</v>
      </c>
      <c r="G1521" s="5" t="s">
        <v>4656</v>
      </c>
      <c r="H1521" s="5" t="s">
        <v>4657</v>
      </c>
      <c r="I1521" s="5" t="s">
        <v>212</v>
      </c>
      <c r="N1521" s="5" t="s">
        <v>4658</v>
      </c>
      <c r="O1521" s="5">
        <v>1684</v>
      </c>
      <c r="P1521" s="5">
        <v>1697.2</v>
      </c>
      <c r="Q1521" s="5">
        <v>1670</v>
      </c>
      <c r="R1521" s="5">
        <v>1671.9</v>
      </c>
      <c r="S1521" s="5">
        <v>1674</v>
      </c>
      <c r="T1521" s="5">
        <v>1684.5</v>
      </c>
      <c r="V1521" s="5">
        <v>1671.96</v>
      </c>
      <c r="Y1521" s="5">
        <v>45330</v>
      </c>
      <c r="Z1521" s="5">
        <v>76014304</v>
      </c>
      <c r="AA1521" s="5">
        <v>5320</v>
      </c>
      <c r="AB1521" s="5" t="s">
        <v>85</v>
      </c>
      <c r="AC1521" s="5">
        <v>1</v>
      </c>
    </row>
    <row r="1522" spans="1:29" x14ac:dyDescent="0.3">
      <c r="A1522" s="34">
        <v>46274</v>
      </c>
      <c r="B1522" s="34">
        <v>46274</v>
      </c>
      <c r="C1522" s="5" t="s">
        <v>78</v>
      </c>
      <c r="D1522" s="5" t="s">
        <v>79</v>
      </c>
      <c r="E1522" s="5" t="s">
        <v>80</v>
      </c>
      <c r="F1522" s="5">
        <v>14309</v>
      </c>
      <c r="G1522" s="5" t="s">
        <v>4659</v>
      </c>
      <c r="H1522" s="5" t="s">
        <v>4660</v>
      </c>
      <c r="I1522" s="5" t="s">
        <v>212</v>
      </c>
      <c r="N1522" s="5" t="s">
        <v>4661</v>
      </c>
      <c r="O1522" s="5">
        <v>858.95</v>
      </c>
      <c r="P1522" s="5">
        <v>866.7</v>
      </c>
      <c r="Q1522" s="5">
        <v>850.55</v>
      </c>
      <c r="R1522" s="5">
        <v>856.65</v>
      </c>
      <c r="S1522" s="5">
        <v>856.65</v>
      </c>
      <c r="T1522" s="5">
        <v>859.9</v>
      </c>
      <c r="V1522" s="5">
        <v>856.64</v>
      </c>
      <c r="Y1522" s="5">
        <v>1463841</v>
      </c>
      <c r="Z1522" s="5">
        <v>1255399353.5</v>
      </c>
      <c r="AA1522" s="5">
        <v>24025</v>
      </c>
      <c r="AB1522" s="5" t="s">
        <v>85</v>
      </c>
      <c r="AC1522" s="5">
        <v>1</v>
      </c>
    </row>
    <row r="1523" spans="1:29" x14ac:dyDescent="0.3">
      <c r="A1523" s="34">
        <v>46274</v>
      </c>
      <c r="B1523" s="34">
        <v>46274</v>
      </c>
      <c r="C1523" s="5" t="s">
        <v>78</v>
      </c>
      <c r="D1523" s="5" t="s">
        <v>79</v>
      </c>
      <c r="E1523" s="5" t="s">
        <v>80</v>
      </c>
      <c r="F1523" s="5">
        <v>4422</v>
      </c>
      <c r="G1523" s="5" t="s">
        <v>4662</v>
      </c>
      <c r="H1523" s="5" t="s">
        <v>4663</v>
      </c>
      <c r="I1523" s="5" t="s">
        <v>212</v>
      </c>
      <c r="N1523" s="5" t="s">
        <v>4664</v>
      </c>
      <c r="O1523" s="5">
        <v>218.57</v>
      </c>
      <c r="P1523" s="5">
        <v>218.57</v>
      </c>
      <c r="Q1523" s="5">
        <v>212.6</v>
      </c>
      <c r="R1523" s="5">
        <v>216.81</v>
      </c>
      <c r="S1523" s="5">
        <v>218</v>
      </c>
      <c r="T1523" s="5">
        <v>218.81</v>
      </c>
      <c r="V1523" s="5">
        <v>216.81</v>
      </c>
      <c r="Y1523" s="5">
        <v>791</v>
      </c>
      <c r="Z1523" s="5">
        <v>169828.95</v>
      </c>
      <c r="AA1523" s="5">
        <v>38</v>
      </c>
      <c r="AB1523" s="5" t="s">
        <v>85</v>
      </c>
      <c r="AC1523" s="5">
        <v>1</v>
      </c>
    </row>
    <row r="1524" spans="1:29" x14ac:dyDescent="0.3">
      <c r="A1524" s="34">
        <v>46274</v>
      </c>
      <c r="B1524" s="34">
        <v>46274</v>
      </c>
      <c r="C1524" s="5" t="s">
        <v>78</v>
      </c>
      <c r="D1524" s="5" t="s">
        <v>79</v>
      </c>
      <c r="E1524" s="5" t="s">
        <v>80</v>
      </c>
      <c r="F1524" s="5">
        <v>23792</v>
      </c>
      <c r="G1524" s="5" t="s">
        <v>4665</v>
      </c>
      <c r="H1524" s="5" t="s">
        <v>4666</v>
      </c>
      <c r="I1524" s="5" t="s">
        <v>392</v>
      </c>
      <c r="N1524" s="5" t="s">
        <v>4667</v>
      </c>
      <c r="O1524" s="5">
        <v>42</v>
      </c>
      <c r="P1524" s="5">
        <v>42.5</v>
      </c>
      <c r="Q1524" s="5">
        <v>40.549999999999997</v>
      </c>
      <c r="R1524" s="5">
        <v>42.35</v>
      </c>
      <c r="S1524" s="5">
        <v>42.35</v>
      </c>
      <c r="T1524" s="5">
        <v>41.95</v>
      </c>
      <c r="V1524" s="5">
        <v>42.35</v>
      </c>
      <c r="Y1524" s="5">
        <v>24000</v>
      </c>
      <c r="Z1524" s="5">
        <v>994275</v>
      </c>
      <c r="AA1524" s="5">
        <v>33</v>
      </c>
      <c r="AB1524" s="5" t="s">
        <v>85</v>
      </c>
      <c r="AC1524" s="5">
        <v>500</v>
      </c>
    </row>
    <row r="1525" spans="1:29" x14ac:dyDescent="0.3">
      <c r="A1525" s="34">
        <v>46274</v>
      </c>
      <c r="B1525" s="34">
        <v>46274</v>
      </c>
      <c r="C1525" s="5" t="s">
        <v>78</v>
      </c>
      <c r="D1525" s="5" t="s">
        <v>79</v>
      </c>
      <c r="E1525" s="5" t="s">
        <v>80</v>
      </c>
      <c r="F1525" s="5">
        <v>220</v>
      </c>
      <c r="G1525" s="5" t="s">
        <v>4668</v>
      </c>
      <c r="H1525" s="5" t="s">
        <v>4669</v>
      </c>
      <c r="I1525" s="5" t="s">
        <v>212</v>
      </c>
      <c r="N1525" s="5" t="s">
        <v>4670</v>
      </c>
      <c r="O1525" s="5">
        <v>116.05</v>
      </c>
      <c r="P1525" s="5">
        <v>118.89</v>
      </c>
      <c r="Q1525" s="5">
        <v>115.82</v>
      </c>
      <c r="R1525" s="5">
        <v>117.95</v>
      </c>
      <c r="S1525" s="5">
        <v>117.95</v>
      </c>
      <c r="T1525" s="5">
        <v>116.54</v>
      </c>
      <c r="V1525" s="5">
        <v>117.95</v>
      </c>
      <c r="Y1525" s="5">
        <v>3287242</v>
      </c>
      <c r="Z1525" s="5">
        <v>386916067.30000001</v>
      </c>
      <c r="AA1525" s="5">
        <v>25926</v>
      </c>
      <c r="AB1525" s="5" t="s">
        <v>85</v>
      </c>
      <c r="AC1525" s="5">
        <v>1</v>
      </c>
    </row>
    <row r="1526" spans="1:29" x14ac:dyDescent="0.3">
      <c r="A1526" s="34">
        <v>46274</v>
      </c>
      <c r="B1526" s="34">
        <v>46274</v>
      </c>
      <c r="C1526" s="5" t="s">
        <v>78</v>
      </c>
      <c r="D1526" s="5" t="s">
        <v>79</v>
      </c>
      <c r="E1526" s="5" t="s">
        <v>80</v>
      </c>
      <c r="F1526" s="5">
        <v>1530</v>
      </c>
      <c r="G1526" s="5" t="s">
        <v>4671</v>
      </c>
      <c r="H1526" s="5" t="s">
        <v>4672</v>
      </c>
      <c r="I1526" s="5" t="s">
        <v>212</v>
      </c>
      <c r="N1526" s="5" t="s">
        <v>4673</v>
      </c>
      <c r="O1526" s="5">
        <v>393.9</v>
      </c>
      <c r="P1526" s="5">
        <v>394.2</v>
      </c>
      <c r="Q1526" s="5">
        <v>376.4</v>
      </c>
      <c r="R1526" s="5">
        <v>379.55</v>
      </c>
      <c r="S1526" s="5">
        <v>379.15</v>
      </c>
      <c r="T1526" s="5">
        <v>388.9</v>
      </c>
      <c r="V1526" s="5">
        <v>379.53</v>
      </c>
      <c r="Y1526" s="5">
        <v>45110</v>
      </c>
      <c r="Z1526" s="5">
        <v>17348288.050000001</v>
      </c>
      <c r="AA1526" s="5">
        <v>1467</v>
      </c>
      <c r="AB1526" s="5" t="s">
        <v>85</v>
      </c>
      <c r="AC1526" s="5">
        <v>1</v>
      </c>
    </row>
    <row r="1527" spans="1:29" x14ac:dyDescent="0.3">
      <c r="A1527" s="34">
        <v>46274</v>
      </c>
      <c r="B1527" s="34">
        <v>46274</v>
      </c>
      <c r="C1527" s="5" t="s">
        <v>78</v>
      </c>
      <c r="D1527" s="5" t="s">
        <v>79</v>
      </c>
      <c r="E1527" s="5" t="s">
        <v>80</v>
      </c>
      <c r="F1527" s="5">
        <v>19235</v>
      </c>
      <c r="G1527" s="5" t="s">
        <v>4674</v>
      </c>
      <c r="H1527" s="5" t="s">
        <v>4675</v>
      </c>
      <c r="I1527" s="5" t="s">
        <v>212</v>
      </c>
      <c r="N1527" s="5" t="s">
        <v>4676</v>
      </c>
      <c r="O1527" s="5">
        <v>1300</v>
      </c>
      <c r="P1527" s="5">
        <v>1313.2</v>
      </c>
      <c r="Q1527" s="5">
        <v>1288</v>
      </c>
      <c r="R1527" s="5">
        <v>1301.2</v>
      </c>
      <c r="S1527" s="5">
        <v>1297.2</v>
      </c>
      <c r="T1527" s="5">
        <v>1306.7</v>
      </c>
      <c r="V1527" s="5">
        <v>1301.21</v>
      </c>
      <c r="Y1527" s="5">
        <v>78027</v>
      </c>
      <c r="Z1527" s="5">
        <v>101455748.09999999</v>
      </c>
      <c r="AA1527" s="5">
        <v>8494</v>
      </c>
      <c r="AB1527" s="5" t="s">
        <v>85</v>
      </c>
      <c r="AC1527" s="5">
        <v>1</v>
      </c>
    </row>
    <row r="1528" spans="1:29" x14ac:dyDescent="0.3">
      <c r="A1528" s="34">
        <v>46274</v>
      </c>
      <c r="B1528" s="34">
        <v>46274</v>
      </c>
      <c r="C1528" s="5" t="s">
        <v>78</v>
      </c>
      <c r="D1528" s="5" t="s">
        <v>79</v>
      </c>
      <c r="E1528" s="5" t="s">
        <v>80</v>
      </c>
      <c r="F1528" s="5">
        <v>1624</v>
      </c>
      <c r="G1528" s="5" t="s">
        <v>4677</v>
      </c>
      <c r="H1528" s="5" t="s">
        <v>4678</v>
      </c>
      <c r="I1528" s="5" t="s">
        <v>212</v>
      </c>
      <c r="N1528" s="5" t="s">
        <v>4679</v>
      </c>
      <c r="O1528" s="5">
        <v>133.30000000000001</v>
      </c>
      <c r="P1528" s="5">
        <v>136.13999999999999</v>
      </c>
      <c r="Q1528" s="5">
        <v>133.06</v>
      </c>
      <c r="R1528" s="5">
        <v>135.6</v>
      </c>
      <c r="S1528" s="5">
        <v>135.6</v>
      </c>
      <c r="T1528" s="5">
        <v>134.35</v>
      </c>
      <c r="V1528" s="5">
        <v>135.6</v>
      </c>
      <c r="Y1528" s="5">
        <v>5297849</v>
      </c>
      <c r="Z1528" s="5">
        <v>715589811.77999997</v>
      </c>
      <c r="AA1528" s="5">
        <v>41101</v>
      </c>
      <c r="AB1528" s="5" t="s">
        <v>85</v>
      </c>
      <c r="AC1528" s="5">
        <v>1</v>
      </c>
    </row>
    <row r="1529" spans="1:29" x14ac:dyDescent="0.3">
      <c r="A1529" s="34">
        <v>46274</v>
      </c>
      <c r="B1529" s="34">
        <v>46274</v>
      </c>
      <c r="C1529" s="5" t="s">
        <v>78</v>
      </c>
      <c r="D1529" s="5" t="s">
        <v>79</v>
      </c>
      <c r="E1529" s="5" t="s">
        <v>80</v>
      </c>
      <c r="F1529" s="5">
        <v>9348</v>
      </c>
      <c r="G1529" s="5" t="s">
        <v>4680</v>
      </c>
      <c r="H1529" s="5" t="s">
        <v>4681</v>
      </c>
      <c r="I1529" s="5" t="s">
        <v>212</v>
      </c>
      <c r="N1529" s="5" t="s">
        <v>4682</v>
      </c>
      <c r="O1529" s="5">
        <v>33.43</v>
      </c>
      <c r="P1529" s="5">
        <v>33.43</v>
      </c>
      <c r="Q1529" s="5">
        <v>32.92</v>
      </c>
      <c r="R1529" s="5">
        <v>32.979999999999997</v>
      </c>
      <c r="S1529" s="5">
        <v>33</v>
      </c>
      <c r="T1529" s="5">
        <v>33.340000000000003</v>
      </c>
      <c r="V1529" s="5">
        <v>32.979999999999997</v>
      </c>
      <c r="Y1529" s="5">
        <v>1407092</v>
      </c>
      <c r="Z1529" s="5">
        <v>46557340.899999999</v>
      </c>
      <c r="AA1529" s="5">
        <v>7882</v>
      </c>
      <c r="AB1529" s="5" t="s">
        <v>85</v>
      </c>
      <c r="AC1529" s="5">
        <v>1</v>
      </c>
    </row>
    <row r="1530" spans="1:29" x14ac:dyDescent="0.3">
      <c r="A1530" s="34">
        <v>46274</v>
      </c>
      <c r="B1530" s="34">
        <v>46274</v>
      </c>
      <c r="C1530" s="5" t="s">
        <v>78</v>
      </c>
      <c r="D1530" s="5" t="s">
        <v>79</v>
      </c>
      <c r="E1530" s="5" t="s">
        <v>80</v>
      </c>
      <c r="F1530" s="5">
        <v>25033</v>
      </c>
      <c r="G1530" s="5" t="s">
        <v>4683</v>
      </c>
      <c r="H1530" s="5" t="s">
        <v>4684</v>
      </c>
      <c r="I1530" s="5" t="s">
        <v>313</v>
      </c>
      <c r="N1530" s="5" t="s">
        <v>4685</v>
      </c>
      <c r="O1530" s="5">
        <v>74.400000000000006</v>
      </c>
      <c r="P1530" s="5">
        <v>78</v>
      </c>
      <c r="Q1530" s="5">
        <v>72.5</v>
      </c>
      <c r="R1530" s="5">
        <v>76.7</v>
      </c>
      <c r="S1530" s="5">
        <v>76.95</v>
      </c>
      <c r="T1530" s="5">
        <v>77.05</v>
      </c>
      <c r="V1530" s="5">
        <v>76.7</v>
      </c>
      <c r="Y1530" s="5">
        <v>56400</v>
      </c>
      <c r="Z1530" s="5">
        <v>4260000</v>
      </c>
      <c r="AA1530" s="5">
        <v>42</v>
      </c>
      <c r="AB1530" s="5" t="s">
        <v>85</v>
      </c>
      <c r="AC1530" s="5">
        <v>1200</v>
      </c>
    </row>
    <row r="1531" spans="1:29" x14ac:dyDescent="0.3">
      <c r="A1531" s="34">
        <v>46274</v>
      </c>
      <c r="B1531" s="34">
        <v>46274</v>
      </c>
      <c r="C1531" s="5" t="s">
        <v>78</v>
      </c>
      <c r="D1531" s="5" t="s">
        <v>79</v>
      </c>
      <c r="E1531" s="5" t="s">
        <v>80</v>
      </c>
      <c r="F1531" s="5">
        <v>13611</v>
      </c>
      <c r="G1531" s="5" t="s">
        <v>4686</v>
      </c>
      <c r="H1531" s="5" t="s">
        <v>4687</v>
      </c>
      <c r="I1531" s="5" t="s">
        <v>212</v>
      </c>
      <c r="N1531" s="5" t="s">
        <v>4688</v>
      </c>
      <c r="O1531" s="5">
        <v>471.95</v>
      </c>
      <c r="P1531" s="5">
        <v>475</v>
      </c>
      <c r="Q1531" s="5">
        <v>469</v>
      </c>
      <c r="R1531" s="5">
        <v>469.5</v>
      </c>
      <c r="S1531" s="5">
        <v>469.95</v>
      </c>
      <c r="T1531" s="5">
        <v>472.45</v>
      </c>
      <c r="V1531" s="5">
        <v>469.5</v>
      </c>
      <c r="Y1531" s="5">
        <v>687597</v>
      </c>
      <c r="Z1531" s="5">
        <v>323534382.94999999</v>
      </c>
      <c r="AA1531" s="5">
        <v>28832</v>
      </c>
      <c r="AB1531" s="5" t="s">
        <v>85</v>
      </c>
      <c r="AC1531" s="5">
        <v>1</v>
      </c>
    </row>
    <row r="1532" spans="1:29" x14ac:dyDescent="0.3">
      <c r="A1532" s="34">
        <v>46274</v>
      </c>
      <c r="B1532" s="34">
        <v>46274</v>
      </c>
      <c r="C1532" s="5" t="s">
        <v>78</v>
      </c>
      <c r="D1532" s="5" t="s">
        <v>79</v>
      </c>
      <c r="E1532" s="5" t="s">
        <v>80</v>
      </c>
      <c r="F1532" s="5">
        <v>2029</v>
      </c>
      <c r="G1532" s="5" t="s">
        <v>4689</v>
      </c>
      <c r="H1532" s="5" t="s">
        <v>4690</v>
      </c>
      <c r="I1532" s="5" t="s">
        <v>212</v>
      </c>
      <c r="N1532" s="5" t="s">
        <v>4691</v>
      </c>
      <c r="O1532" s="5">
        <v>81.900000000000006</v>
      </c>
      <c r="P1532" s="5">
        <v>82.4</v>
      </c>
      <c r="Q1532" s="5">
        <v>81.12</v>
      </c>
      <c r="R1532" s="5">
        <v>81.39</v>
      </c>
      <c r="S1532" s="5">
        <v>81.39</v>
      </c>
      <c r="T1532" s="5">
        <v>82</v>
      </c>
      <c r="V1532" s="5">
        <v>81.39</v>
      </c>
      <c r="Y1532" s="5">
        <v>6686837</v>
      </c>
      <c r="Z1532" s="5">
        <v>546810271.41999996</v>
      </c>
      <c r="AA1532" s="5">
        <v>42348</v>
      </c>
      <c r="AB1532" s="5" t="s">
        <v>85</v>
      </c>
      <c r="AC1532" s="5">
        <v>1</v>
      </c>
    </row>
    <row r="1533" spans="1:29" x14ac:dyDescent="0.3">
      <c r="A1533" s="34">
        <v>46274</v>
      </c>
      <c r="B1533" s="34">
        <v>46274</v>
      </c>
      <c r="C1533" s="5" t="s">
        <v>78</v>
      </c>
      <c r="D1533" s="5" t="s">
        <v>79</v>
      </c>
      <c r="E1533" s="5" t="s">
        <v>80</v>
      </c>
      <c r="F1533" s="5">
        <v>20261</v>
      </c>
      <c r="G1533" s="5" t="s">
        <v>4692</v>
      </c>
      <c r="H1533" s="5" t="s">
        <v>4693</v>
      </c>
      <c r="I1533" s="5" t="s">
        <v>212</v>
      </c>
      <c r="N1533" s="5" t="s">
        <v>4694</v>
      </c>
      <c r="O1533" s="5">
        <v>111.62</v>
      </c>
      <c r="P1533" s="5">
        <v>112.69</v>
      </c>
      <c r="Q1533" s="5">
        <v>111.62</v>
      </c>
      <c r="R1533" s="5">
        <v>111.99</v>
      </c>
      <c r="S1533" s="5">
        <v>111.99</v>
      </c>
      <c r="T1533" s="5">
        <v>112.2</v>
      </c>
      <c r="V1533" s="5">
        <v>111.98</v>
      </c>
      <c r="Y1533" s="5">
        <v>2500536</v>
      </c>
      <c r="Z1533" s="5">
        <v>280321285.92000002</v>
      </c>
      <c r="AA1533" s="5">
        <v>17074</v>
      </c>
      <c r="AB1533" s="5" t="s">
        <v>85</v>
      </c>
      <c r="AC1533" s="5">
        <v>1</v>
      </c>
    </row>
    <row r="1534" spans="1:29" x14ac:dyDescent="0.3">
      <c r="A1534" s="34">
        <v>46274</v>
      </c>
      <c r="B1534" s="34">
        <v>46274</v>
      </c>
      <c r="C1534" s="5" t="s">
        <v>78</v>
      </c>
      <c r="D1534" s="5" t="s">
        <v>79</v>
      </c>
      <c r="E1534" s="5" t="s">
        <v>80</v>
      </c>
      <c r="F1534" s="5">
        <v>762727</v>
      </c>
      <c r="G1534" s="5" t="s">
        <v>4695</v>
      </c>
      <c r="H1534" s="5" t="s">
        <v>4696</v>
      </c>
      <c r="I1534" s="5" t="s">
        <v>212</v>
      </c>
      <c r="N1534" s="5" t="s">
        <v>4697</v>
      </c>
      <c r="O1534" s="5">
        <v>35.04</v>
      </c>
      <c r="P1534" s="5">
        <v>35.4</v>
      </c>
      <c r="Q1534" s="5">
        <v>34</v>
      </c>
      <c r="R1534" s="5">
        <v>34.49</v>
      </c>
      <c r="S1534" s="5">
        <v>34</v>
      </c>
      <c r="T1534" s="5">
        <v>34.700000000000003</v>
      </c>
      <c r="V1534" s="5">
        <v>34.53</v>
      </c>
      <c r="Y1534" s="5">
        <v>4628</v>
      </c>
      <c r="Z1534" s="5">
        <v>160948.69</v>
      </c>
      <c r="AA1534" s="5">
        <v>40</v>
      </c>
      <c r="AB1534" s="5" t="s">
        <v>85</v>
      </c>
      <c r="AC1534" s="5">
        <v>1</v>
      </c>
    </row>
    <row r="1535" spans="1:29" x14ac:dyDescent="0.3">
      <c r="A1535" s="34">
        <v>46274</v>
      </c>
      <c r="B1535" s="34">
        <v>46274</v>
      </c>
      <c r="C1535" s="5" t="s">
        <v>78</v>
      </c>
      <c r="D1535" s="5" t="s">
        <v>79</v>
      </c>
      <c r="E1535" s="5" t="s">
        <v>80</v>
      </c>
      <c r="F1535" s="5">
        <v>2048</v>
      </c>
      <c r="G1535" s="5" t="s">
        <v>4698</v>
      </c>
      <c r="H1535" s="5" t="s">
        <v>4699</v>
      </c>
      <c r="I1535" s="5" t="s">
        <v>212</v>
      </c>
      <c r="N1535" s="5" t="s">
        <v>4700</v>
      </c>
      <c r="O1535" s="5">
        <v>1136.9000000000001</v>
      </c>
      <c r="P1535" s="5">
        <v>1136.9000000000001</v>
      </c>
      <c r="Q1535" s="5">
        <v>1105</v>
      </c>
      <c r="R1535" s="5">
        <v>1111.2</v>
      </c>
      <c r="S1535" s="5">
        <v>1116</v>
      </c>
      <c r="T1535" s="5">
        <v>1140.3</v>
      </c>
      <c r="V1535" s="5">
        <v>1110.8499999999999</v>
      </c>
      <c r="Y1535" s="5">
        <v>55897</v>
      </c>
      <c r="Z1535" s="5">
        <v>62377550.899999999</v>
      </c>
      <c r="AA1535" s="5">
        <v>8863</v>
      </c>
      <c r="AB1535" s="5" t="s">
        <v>85</v>
      </c>
      <c r="AC1535" s="5">
        <v>1</v>
      </c>
    </row>
    <row r="1536" spans="1:29" x14ac:dyDescent="0.3">
      <c r="A1536" s="34">
        <v>46274</v>
      </c>
      <c r="B1536" s="34">
        <v>46274</v>
      </c>
      <c r="C1536" s="5" t="s">
        <v>78</v>
      </c>
      <c r="D1536" s="5" t="s">
        <v>79</v>
      </c>
      <c r="E1536" s="5" t="s">
        <v>80</v>
      </c>
      <c r="F1536" s="5">
        <v>20988</v>
      </c>
      <c r="G1536" s="5" t="s">
        <v>4701</v>
      </c>
      <c r="H1536" s="5" t="s">
        <v>4702</v>
      </c>
      <c r="I1536" s="5" t="s">
        <v>822</v>
      </c>
      <c r="N1536" s="5" t="s">
        <v>4703</v>
      </c>
      <c r="O1536" s="5">
        <v>174.9</v>
      </c>
      <c r="P1536" s="5">
        <v>175</v>
      </c>
      <c r="Q1536" s="5">
        <v>173.7</v>
      </c>
      <c r="R1536" s="5">
        <v>173.99</v>
      </c>
      <c r="S1536" s="5">
        <v>174.24</v>
      </c>
      <c r="T1536" s="5">
        <v>174.44</v>
      </c>
      <c r="V1536" s="5">
        <v>173.99</v>
      </c>
      <c r="Y1536" s="5">
        <v>563956</v>
      </c>
      <c r="Z1536" s="5">
        <v>98282438.430000007</v>
      </c>
      <c r="AA1536" s="5">
        <v>4222</v>
      </c>
      <c r="AB1536" s="5" t="s">
        <v>85</v>
      </c>
      <c r="AC1536" s="5">
        <v>1</v>
      </c>
    </row>
    <row r="1537" spans="1:29" x14ac:dyDescent="0.3">
      <c r="A1537" s="34">
        <v>46274</v>
      </c>
      <c r="B1537" s="34">
        <v>46274</v>
      </c>
      <c r="C1537" s="5" t="s">
        <v>78</v>
      </c>
      <c r="D1537" s="5" t="s">
        <v>79</v>
      </c>
      <c r="E1537" s="5" t="s">
        <v>80</v>
      </c>
      <c r="F1537" s="5">
        <v>757845</v>
      </c>
      <c r="G1537" s="5" t="s">
        <v>4704</v>
      </c>
      <c r="H1537" s="5" t="s">
        <v>4705</v>
      </c>
      <c r="I1537" s="5" t="s">
        <v>212</v>
      </c>
      <c r="N1537" s="5" t="s">
        <v>4706</v>
      </c>
      <c r="O1537" s="5">
        <v>202.93</v>
      </c>
      <c r="P1537" s="5">
        <v>206.96</v>
      </c>
      <c r="Q1537" s="5">
        <v>195.27</v>
      </c>
      <c r="R1537" s="5">
        <v>204.34</v>
      </c>
      <c r="S1537" s="5">
        <v>205.74</v>
      </c>
      <c r="T1537" s="5">
        <v>205.09</v>
      </c>
      <c r="V1537" s="5">
        <v>204.35</v>
      </c>
      <c r="Y1537" s="5">
        <v>37014</v>
      </c>
      <c r="Z1537" s="5">
        <v>7530085.8200000003</v>
      </c>
      <c r="AA1537" s="5">
        <v>3404</v>
      </c>
      <c r="AB1537" s="5" t="s">
        <v>85</v>
      </c>
      <c r="AC1537" s="5">
        <v>1</v>
      </c>
    </row>
    <row r="1538" spans="1:29" x14ac:dyDescent="0.3">
      <c r="A1538" s="34">
        <v>46274</v>
      </c>
      <c r="B1538" s="34">
        <v>46274</v>
      </c>
      <c r="C1538" s="5" t="s">
        <v>78</v>
      </c>
      <c r="D1538" s="5" t="s">
        <v>79</v>
      </c>
      <c r="E1538" s="5" t="s">
        <v>80</v>
      </c>
      <c r="F1538" s="5">
        <v>9120</v>
      </c>
      <c r="G1538" s="5" t="s">
        <v>4707</v>
      </c>
      <c r="H1538" s="5" t="s">
        <v>4708</v>
      </c>
      <c r="I1538" s="5" t="s">
        <v>234</v>
      </c>
      <c r="N1538" s="5" t="s">
        <v>4709</v>
      </c>
      <c r="O1538" s="5">
        <v>126.95</v>
      </c>
      <c r="P1538" s="5">
        <v>128.75</v>
      </c>
      <c r="Q1538" s="5">
        <v>124.25</v>
      </c>
      <c r="R1538" s="5">
        <v>127.25</v>
      </c>
      <c r="S1538" s="5">
        <v>127.8</v>
      </c>
      <c r="T1538" s="5">
        <v>127.06</v>
      </c>
      <c r="V1538" s="5">
        <v>127.3</v>
      </c>
      <c r="Y1538" s="5">
        <v>67298</v>
      </c>
      <c r="Z1538" s="5">
        <v>8550992.5299999993</v>
      </c>
      <c r="AA1538" s="5">
        <v>315</v>
      </c>
      <c r="AB1538" s="5" t="s">
        <v>85</v>
      </c>
      <c r="AC1538" s="5">
        <v>1</v>
      </c>
    </row>
    <row r="1539" spans="1:29" x14ac:dyDescent="0.3">
      <c r="A1539" s="34">
        <v>46274</v>
      </c>
      <c r="B1539" s="34">
        <v>46274</v>
      </c>
      <c r="C1539" s="5" t="s">
        <v>78</v>
      </c>
      <c r="D1539" s="5" t="s">
        <v>79</v>
      </c>
      <c r="E1539" s="5" t="s">
        <v>80</v>
      </c>
      <c r="F1539" s="5">
        <v>8614</v>
      </c>
      <c r="G1539" s="5" t="s">
        <v>4710</v>
      </c>
      <c r="H1539" s="5" t="s">
        <v>4711</v>
      </c>
      <c r="I1539" s="5" t="s">
        <v>212</v>
      </c>
      <c r="N1539" s="5" t="s">
        <v>4712</v>
      </c>
      <c r="O1539" s="5">
        <v>514.4</v>
      </c>
      <c r="P1539" s="5">
        <v>522</v>
      </c>
      <c r="Q1539" s="5">
        <v>510</v>
      </c>
      <c r="R1539" s="5">
        <v>510.95</v>
      </c>
      <c r="S1539" s="5">
        <v>511</v>
      </c>
      <c r="T1539" s="5">
        <v>511.05</v>
      </c>
      <c r="V1539" s="5">
        <v>511.06</v>
      </c>
      <c r="Y1539" s="5">
        <v>92970</v>
      </c>
      <c r="Z1539" s="5">
        <v>47958573.850000001</v>
      </c>
      <c r="AA1539" s="5">
        <v>4828</v>
      </c>
      <c r="AB1539" s="5" t="s">
        <v>85</v>
      </c>
      <c r="AC1539" s="5">
        <v>1</v>
      </c>
    </row>
    <row r="1540" spans="1:29" x14ac:dyDescent="0.3">
      <c r="A1540" s="34">
        <v>46274</v>
      </c>
      <c r="B1540" s="34">
        <v>46274</v>
      </c>
      <c r="C1540" s="5" t="s">
        <v>78</v>
      </c>
      <c r="D1540" s="5" t="s">
        <v>79</v>
      </c>
      <c r="E1540" s="5" t="s">
        <v>80</v>
      </c>
      <c r="F1540" s="5">
        <v>11987</v>
      </c>
      <c r="G1540" s="5" t="s">
        <v>4713</v>
      </c>
      <c r="H1540" s="5" t="s">
        <v>4714</v>
      </c>
      <c r="I1540" s="5" t="s">
        <v>212</v>
      </c>
      <c r="N1540" s="5" t="s">
        <v>4715</v>
      </c>
      <c r="O1540" s="5">
        <v>449.75</v>
      </c>
      <c r="P1540" s="5">
        <v>464</v>
      </c>
      <c r="Q1540" s="5">
        <v>443.55</v>
      </c>
      <c r="R1540" s="5">
        <v>445.55</v>
      </c>
      <c r="S1540" s="5">
        <v>445.1</v>
      </c>
      <c r="T1540" s="5">
        <v>450.85</v>
      </c>
      <c r="V1540" s="5">
        <v>445.54</v>
      </c>
      <c r="Y1540" s="5">
        <v>554256</v>
      </c>
      <c r="Z1540" s="5">
        <v>251201760.59999999</v>
      </c>
      <c r="AA1540" s="5">
        <v>22497</v>
      </c>
      <c r="AB1540" s="5" t="s">
        <v>85</v>
      </c>
      <c r="AC1540" s="5">
        <v>1</v>
      </c>
    </row>
    <row r="1541" spans="1:29" x14ac:dyDescent="0.3">
      <c r="A1541" s="34">
        <v>46274</v>
      </c>
      <c r="B1541" s="34">
        <v>46274</v>
      </c>
      <c r="C1541" s="5" t="s">
        <v>78</v>
      </c>
      <c r="D1541" s="5" t="s">
        <v>79</v>
      </c>
      <c r="E1541" s="5" t="s">
        <v>80</v>
      </c>
      <c r="F1541" s="5">
        <v>29025</v>
      </c>
      <c r="G1541" s="5" t="s">
        <v>4716</v>
      </c>
      <c r="H1541" s="5" t="s">
        <v>4717</v>
      </c>
      <c r="I1541" s="5" t="s">
        <v>212</v>
      </c>
      <c r="N1541" s="5" t="s">
        <v>4718</v>
      </c>
      <c r="O1541" s="5">
        <v>143.5</v>
      </c>
      <c r="P1541" s="5">
        <v>144.94999999999999</v>
      </c>
      <c r="Q1541" s="5">
        <v>139</v>
      </c>
      <c r="R1541" s="5">
        <v>144.18</v>
      </c>
      <c r="S1541" s="5">
        <v>142.5</v>
      </c>
      <c r="T1541" s="5">
        <v>144.16</v>
      </c>
      <c r="V1541" s="5">
        <v>144.18</v>
      </c>
      <c r="Y1541" s="5">
        <v>162637</v>
      </c>
      <c r="Z1541" s="5">
        <v>23109961.149999999</v>
      </c>
      <c r="AA1541" s="5">
        <v>4094</v>
      </c>
      <c r="AB1541" s="5" t="s">
        <v>85</v>
      </c>
      <c r="AC1541" s="5">
        <v>1</v>
      </c>
    </row>
    <row r="1542" spans="1:29" x14ac:dyDescent="0.3">
      <c r="A1542" s="34">
        <v>46274</v>
      </c>
      <c r="B1542" s="34">
        <v>46274</v>
      </c>
      <c r="C1542" s="5" t="s">
        <v>78</v>
      </c>
      <c r="D1542" s="5" t="s">
        <v>79</v>
      </c>
      <c r="E1542" s="5" t="s">
        <v>80</v>
      </c>
      <c r="F1542" s="5">
        <v>10993</v>
      </c>
      <c r="G1542" s="5" t="s">
        <v>4719</v>
      </c>
      <c r="H1542" s="5" t="s">
        <v>4720</v>
      </c>
      <c r="I1542" s="5" t="s">
        <v>212</v>
      </c>
      <c r="N1542" s="5" t="s">
        <v>4721</v>
      </c>
      <c r="O1542" s="5">
        <v>75.3</v>
      </c>
      <c r="P1542" s="5">
        <v>88.2</v>
      </c>
      <c r="Q1542" s="5">
        <v>72.760000000000005</v>
      </c>
      <c r="R1542" s="5">
        <v>86.13</v>
      </c>
      <c r="S1542" s="5">
        <v>85</v>
      </c>
      <c r="T1542" s="5">
        <v>74.98</v>
      </c>
      <c r="V1542" s="5">
        <v>86.13</v>
      </c>
      <c r="Y1542" s="5">
        <v>7613089</v>
      </c>
      <c r="Z1542" s="5">
        <v>634025236.12</v>
      </c>
      <c r="AA1542" s="5">
        <v>59550</v>
      </c>
      <c r="AB1542" s="5" t="s">
        <v>85</v>
      </c>
      <c r="AC1542" s="5">
        <v>1</v>
      </c>
    </row>
    <row r="1543" spans="1:29" x14ac:dyDescent="0.3">
      <c r="A1543" s="34">
        <v>46274</v>
      </c>
      <c r="B1543" s="34">
        <v>46274</v>
      </c>
      <c r="C1543" s="5" t="s">
        <v>78</v>
      </c>
      <c r="D1543" s="5" t="s">
        <v>79</v>
      </c>
      <c r="E1543" s="5" t="s">
        <v>80</v>
      </c>
      <c r="F1543" s="5">
        <v>13275</v>
      </c>
      <c r="G1543" s="5" t="s">
        <v>4722</v>
      </c>
      <c r="H1543" s="5" t="s">
        <v>4723</v>
      </c>
      <c r="I1543" s="5" t="s">
        <v>212</v>
      </c>
      <c r="N1543" s="5" t="s">
        <v>4724</v>
      </c>
      <c r="O1543" s="5">
        <v>3756</v>
      </c>
      <c r="P1543" s="5">
        <v>3756</v>
      </c>
      <c r="Q1543" s="5">
        <v>3650.1</v>
      </c>
      <c r="R1543" s="5">
        <v>3657.9</v>
      </c>
      <c r="S1543" s="5">
        <v>3656.7</v>
      </c>
      <c r="T1543" s="5">
        <v>3696.8</v>
      </c>
      <c r="V1543" s="5">
        <v>3656.14</v>
      </c>
      <c r="Y1543" s="5">
        <v>8701</v>
      </c>
      <c r="Z1543" s="5">
        <v>31982378.699999999</v>
      </c>
      <c r="AA1543" s="5">
        <v>1484</v>
      </c>
      <c r="AB1543" s="5" t="s">
        <v>85</v>
      </c>
      <c r="AC1543" s="5">
        <v>1</v>
      </c>
    </row>
    <row r="1544" spans="1:29" x14ac:dyDescent="0.3">
      <c r="A1544" s="34">
        <v>46274</v>
      </c>
      <c r="B1544" s="34">
        <v>46274</v>
      </c>
      <c r="C1544" s="5" t="s">
        <v>78</v>
      </c>
      <c r="D1544" s="5" t="s">
        <v>79</v>
      </c>
      <c r="E1544" s="5" t="s">
        <v>80</v>
      </c>
      <c r="F1544" s="5">
        <v>25608</v>
      </c>
      <c r="G1544" s="5" t="s">
        <v>4725</v>
      </c>
      <c r="H1544" s="5" t="s">
        <v>4726</v>
      </c>
      <c r="I1544" s="5" t="s">
        <v>212</v>
      </c>
      <c r="N1544" s="5" t="s">
        <v>4727</v>
      </c>
      <c r="O1544" s="5">
        <v>41.37</v>
      </c>
      <c r="P1544" s="5">
        <v>41.37</v>
      </c>
      <c r="Q1544" s="5">
        <v>41.37</v>
      </c>
      <c r="R1544" s="5">
        <v>41.37</v>
      </c>
      <c r="S1544" s="5">
        <v>41.37</v>
      </c>
      <c r="T1544" s="5">
        <v>39.4</v>
      </c>
      <c r="V1544" s="5">
        <v>41.37</v>
      </c>
      <c r="Y1544" s="5">
        <v>56636</v>
      </c>
      <c r="Z1544" s="5">
        <v>2343031.3199999998</v>
      </c>
      <c r="AA1544" s="5">
        <v>104</v>
      </c>
      <c r="AB1544" s="5" t="s">
        <v>85</v>
      </c>
      <c r="AC1544" s="5">
        <v>1</v>
      </c>
    </row>
    <row r="1545" spans="1:29" x14ac:dyDescent="0.3">
      <c r="A1545" s="34">
        <v>46274</v>
      </c>
      <c r="B1545" s="34">
        <v>46274</v>
      </c>
      <c r="C1545" s="5" t="s">
        <v>78</v>
      </c>
      <c r="D1545" s="5" t="s">
        <v>79</v>
      </c>
      <c r="E1545" s="5" t="s">
        <v>80</v>
      </c>
      <c r="F1545" s="5">
        <v>25503</v>
      </c>
      <c r="G1545" s="5" t="s">
        <v>4728</v>
      </c>
      <c r="H1545" s="5" t="s">
        <v>4729</v>
      </c>
      <c r="I1545" s="5" t="s">
        <v>212</v>
      </c>
      <c r="N1545" s="5" t="s">
        <v>4730</v>
      </c>
      <c r="O1545" s="5">
        <v>81.33</v>
      </c>
      <c r="P1545" s="5">
        <v>81.33</v>
      </c>
      <c r="Q1545" s="5">
        <v>78</v>
      </c>
      <c r="R1545" s="5">
        <v>80.25</v>
      </c>
      <c r="S1545" s="5">
        <v>80.5</v>
      </c>
      <c r="T1545" s="5">
        <v>78.849999999999994</v>
      </c>
      <c r="V1545" s="5">
        <v>80.27</v>
      </c>
      <c r="Y1545" s="5">
        <v>18722</v>
      </c>
      <c r="Z1545" s="5">
        <v>1497285.39</v>
      </c>
      <c r="AA1545" s="5">
        <v>331</v>
      </c>
      <c r="AB1545" s="5" t="s">
        <v>85</v>
      </c>
      <c r="AC1545" s="5">
        <v>1</v>
      </c>
    </row>
    <row r="1546" spans="1:29" x14ac:dyDescent="0.3">
      <c r="A1546" s="34">
        <v>46274</v>
      </c>
      <c r="B1546" s="34">
        <v>46274</v>
      </c>
      <c r="C1546" s="5" t="s">
        <v>78</v>
      </c>
      <c r="D1546" s="5" t="s">
        <v>79</v>
      </c>
      <c r="E1546" s="5" t="s">
        <v>80</v>
      </c>
      <c r="F1546" s="5">
        <v>764301</v>
      </c>
      <c r="G1546" s="5" t="s">
        <v>4731</v>
      </c>
      <c r="H1546" s="5" t="s">
        <v>4732</v>
      </c>
      <c r="I1546" s="5" t="s">
        <v>212</v>
      </c>
      <c r="N1546" s="5" t="s">
        <v>4733</v>
      </c>
      <c r="O1546" s="5">
        <v>968.95</v>
      </c>
      <c r="P1546" s="5">
        <v>998</v>
      </c>
      <c r="Q1546" s="5">
        <v>947.75</v>
      </c>
      <c r="R1546" s="5">
        <v>984.55</v>
      </c>
      <c r="S1546" s="5">
        <v>994</v>
      </c>
      <c r="T1546" s="5">
        <v>968.95</v>
      </c>
      <c r="V1546" s="5">
        <v>984.75</v>
      </c>
      <c r="Y1546" s="5">
        <v>1874991</v>
      </c>
      <c r="Z1546" s="5">
        <v>1818453103.2</v>
      </c>
      <c r="AA1546" s="5">
        <v>49936</v>
      </c>
      <c r="AB1546" s="5" t="s">
        <v>85</v>
      </c>
      <c r="AC1546" s="5">
        <v>1</v>
      </c>
    </row>
    <row r="1547" spans="1:29" x14ac:dyDescent="0.3">
      <c r="A1547" s="34">
        <v>46274</v>
      </c>
      <c r="B1547" s="34">
        <v>46274</v>
      </c>
      <c r="C1547" s="5" t="s">
        <v>78</v>
      </c>
      <c r="D1547" s="5" t="s">
        <v>79</v>
      </c>
      <c r="E1547" s="5" t="s">
        <v>80</v>
      </c>
      <c r="F1547" s="5">
        <v>6782</v>
      </c>
      <c r="G1547" s="5" t="s">
        <v>4734</v>
      </c>
      <c r="H1547" s="5" t="s">
        <v>4735</v>
      </c>
      <c r="I1547" s="5" t="s">
        <v>212</v>
      </c>
      <c r="N1547" s="5" t="s">
        <v>4736</v>
      </c>
      <c r="O1547" s="5">
        <v>324.60000000000002</v>
      </c>
      <c r="P1547" s="5">
        <v>328.3</v>
      </c>
      <c r="Q1547" s="5">
        <v>321</v>
      </c>
      <c r="R1547" s="5">
        <v>323</v>
      </c>
      <c r="S1547" s="5">
        <v>321.3</v>
      </c>
      <c r="T1547" s="5">
        <v>324.60000000000002</v>
      </c>
      <c r="V1547" s="5">
        <v>323.02999999999997</v>
      </c>
      <c r="Y1547" s="5">
        <v>460</v>
      </c>
      <c r="Z1547" s="5">
        <v>148579.15</v>
      </c>
      <c r="AA1547" s="5">
        <v>41</v>
      </c>
      <c r="AB1547" s="5" t="s">
        <v>85</v>
      </c>
      <c r="AC1547" s="5">
        <v>1</v>
      </c>
    </row>
    <row r="1548" spans="1:29" x14ac:dyDescent="0.3">
      <c r="A1548" s="34">
        <v>46274</v>
      </c>
      <c r="B1548" s="34">
        <v>46274</v>
      </c>
      <c r="C1548" s="5" t="s">
        <v>78</v>
      </c>
      <c r="D1548" s="5" t="s">
        <v>79</v>
      </c>
      <c r="E1548" s="5" t="s">
        <v>80</v>
      </c>
      <c r="F1548" s="5">
        <v>11677</v>
      </c>
      <c r="G1548" s="5" t="s">
        <v>4737</v>
      </c>
      <c r="H1548" s="5" t="s">
        <v>4738</v>
      </c>
      <c r="I1548" s="5" t="s">
        <v>212</v>
      </c>
      <c r="N1548" s="5" t="s">
        <v>4739</v>
      </c>
      <c r="O1548" s="5">
        <v>242</v>
      </c>
      <c r="P1548" s="5">
        <v>246.29</v>
      </c>
      <c r="Q1548" s="5">
        <v>229.5</v>
      </c>
      <c r="R1548" s="5">
        <v>231.18</v>
      </c>
      <c r="S1548" s="5">
        <v>231.89</v>
      </c>
      <c r="T1548" s="5">
        <v>244.25</v>
      </c>
      <c r="V1548" s="5">
        <v>231.18</v>
      </c>
      <c r="Y1548" s="5">
        <v>569994</v>
      </c>
      <c r="Z1548" s="5">
        <v>133836529.98</v>
      </c>
      <c r="AA1548" s="5">
        <v>16379</v>
      </c>
      <c r="AB1548" s="5" t="s">
        <v>85</v>
      </c>
      <c r="AC1548" s="5">
        <v>1</v>
      </c>
    </row>
    <row r="1549" spans="1:29" x14ac:dyDescent="0.3">
      <c r="A1549" s="34">
        <v>46274</v>
      </c>
      <c r="B1549" s="34">
        <v>46274</v>
      </c>
      <c r="C1549" s="5" t="s">
        <v>78</v>
      </c>
      <c r="D1549" s="5" t="s">
        <v>79</v>
      </c>
      <c r="E1549" s="5" t="s">
        <v>80</v>
      </c>
      <c r="F1549" s="5">
        <v>757801</v>
      </c>
      <c r="G1549" s="5" t="s">
        <v>4740</v>
      </c>
      <c r="H1549" s="5" t="s">
        <v>4741</v>
      </c>
      <c r="I1549" s="5" t="s">
        <v>212</v>
      </c>
      <c r="N1549" s="5" t="s">
        <v>4742</v>
      </c>
      <c r="O1549" s="5">
        <v>71.150000000000006</v>
      </c>
      <c r="P1549" s="5">
        <v>73</v>
      </c>
      <c r="Q1549" s="5">
        <v>71.150000000000006</v>
      </c>
      <c r="R1549" s="5">
        <v>72.739999999999995</v>
      </c>
      <c r="S1549" s="5">
        <v>73</v>
      </c>
      <c r="T1549" s="5">
        <v>72.540000000000006</v>
      </c>
      <c r="V1549" s="5">
        <v>72.739999999999995</v>
      </c>
      <c r="Y1549" s="5">
        <v>154387</v>
      </c>
      <c r="Z1549" s="5">
        <v>11208422.720000001</v>
      </c>
      <c r="AA1549" s="5">
        <v>1033</v>
      </c>
      <c r="AB1549" s="5" t="s">
        <v>85</v>
      </c>
      <c r="AC1549" s="5">
        <v>1</v>
      </c>
    </row>
    <row r="1550" spans="1:29" x14ac:dyDescent="0.3">
      <c r="A1550" s="34">
        <v>46274</v>
      </c>
      <c r="B1550" s="34">
        <v>46274</v>
      </c>
      <c r="C1550" s="5" t="s">
        <v>78</v>
      </c>
      <c r="D1550" s="5" t="s">
        <v>79</v>
      </c>
      <c r="E1550" s="5" t="s">
        <v>80</v>
      </c>
      <c r="F1550" s="5">
        <v>764708</v>
      </c>
      <c r="G1550" s="5" t="s">
        <v>4743</v>
      </c>
      <c r="H1550" s="5" t="s">
        <v>4744</v>
      </c>
      <c r="I1550" s="5" t="s">
        <v>212</v>
      </c>
      <c r="N1550" s="5" t="s">
        <v>4745</v>
      </c>
      <c r="O1550" s="5">
        <v>630</v>
      </c>
      <c r="P1550" s="5">
        <v>632</v>
      </c>
      <c r="Q1550" s="5">
        <v>615.5</v>
      </c>
      <c r="R1550" s="5">
        <v>623.45000000000005</v>
      </c>
      <c r="S1550" s="5">
        <v>620.04999999999995</v>
      </c>
      <c r="T1550" s="5">
        <v>627.4</v>
      </c>
      <c r="V1550" s="5">
        <v>624.51</v>
      </c>
      <c r="Y1550" s="5">
        <v>2754</v>
      </c>
      <c r="Z1550" s="5">
        <v>1717262.4</v>
      </c>
      <c r="AA1550" s="5">
        <v>296</v>
      </c>
      <c r="AB1550" s="5" t="s">
        <v>85</v>
      </c>
      <c r="AC1550" s="5">
        <v>1</v>
      </c>
    </row>
    <row r="1551" spans="1:29" x14ac:dyDescent="0.3">
      <c r="A1551" s="34">
        <v>46274</v>
      </c>
      <c r="B1551" s="34">
        <v>46274</v>
      </c>
      <c r="C1551" s="5" t="s">
        <v>78</v>
      </c>
      <c r="D1551" s="5" t="s">
        <v>79</v>
      </c>
      <c r="E1551" s="5" t="s">
        <v>80</v>
      </c>
      <c r="F1551" s="5">
        <v>19955</v>
      </c>
      <c r="G1551" s="5" t="s">
        <v>4746</v>
      </c>
      <c r="H1551" s="5" t="s">
        <v>4747</v>
      </c>
      <c r="I1551" s="5" t="s">
        <v>212</v>
      </c>
      <c r="N1551" s="5" t="s">
        <v>4748</v>
      </c>
      <c r="O1551" s="5">
        <v>262.55</v>
      </c>
      <c r="P1551" s="5">
        <v>270</v>
      </c>
      <c r="Q1551" s="5">
        <v>259.10000000000002</v>
      </c>
      <c r="R1551" s="5">
        <v>261.10000000000002</v>
      </c>
      <c r="S1551" s="5">
        <v>260</v>
      </c>
      <c r="T1551" s="5">
        <v>262.05</v>
      </c>
      <c r="V1551" s="5">
        <v>261.10000000000002</v>
      </c>
      <c r="Y1551" s="5">
        <v>83420</v>
      </c>
      <c r="Z1551" s="5">
        <v>22049561.550000001</v>
      </c>
      <c r="AA1551" s="5">
        <v>2274</v>
      </c>
      <c r="AB1551" s="5" t="s">
        <v>85</v>
      </c>
      <c r="AC1551" s="5">
        <v>1</v>
      </c>
    </row>
    <row r="1552" spans="1:29" x14ac:dyDescent="0.3">
      <c r="A1552" s="34">
        <v>46274</v>
      </c>
      <c r="B1552" s="34">
        <v>46274</v>
      </c>
      <c r="C1552" s="5" t="s">
        <v>78</v>
      </c>
      <c r="D1552" s="5" t="s">
        <v>79</v>
      </c>
      <c r="E1552" s="5" t="s">
        <v>80</v>
      </c>
      <c r="F1552" s="5">
        <v>3088</v>
      </c>
      <c r="G1552" s="5" t="s">
        <v>4749</v>
      </c>
      <c r="H1552" s="5" t="s">
        <v>4750</v>
      </c>
      <c r="I1552" s="5" t="s">
        <v>212</v>
      </c>
      <c r="N1552" s="5" t="s">
        <v>4751</v>
      </c>
      <c r="O1552" s="5">
        <v>251</v>
      </c>
      <c r="P1552" s="5">
        <v>254.29</v>
      </c>
      <c r="Q1552" s="5">
        <v>245.62</v>
      </c>
      <c r="R1552" s="5">
        <v>247.49</v>
      </c>
      <c r="S1552" s="5">
        <v>246</v>
      </c>
      <c r="T1552" s="5">
        <v>251.29</v>
      </c>
      <c r="V1552" s="5">
        <v>247.47</v>
      </c>
      <c r="Y1552" s="5">
        <v>126856</v>
      </c>
      <c r="Z1552" s="5">
        <v>31648408.079999998</v>
      </c>
      <c r="AA1552" s="5">
        <v>2304</v>
      </c>
      <c r="AB1552" s="5" t="s">
        <v>85</v>
      </c>
      <c r="AC1552" s="5">
        <v>1</v>
      </c>
    </row>
    <row r="1553" spans="1:29" x14ac:dyDescent="0.3">
      <c r="A1553" s="34">
        <v>46274</v>
      </c>
      <c r="B1553" s="34">
        <v>46274</v>
      </c>
      <c r="C1553" s="5" t="s">
        <v>78</v>
      </c>
      <c r="D1553" s="5" t="s">
        <v>79</v>
      </c>
      <c r="E1553" s="5" t="s">
        <v>80</v>
      </c>
      <c r="F1553" s="5">
        <v>14952</v>
      </c>
      <c r="G1553" s="5" t="s">
        <v>4752</v>
      </c>
      <c r="H1553" s="5" t="s">
        <v>4753</v>
      </c>
      <c r="I1553" s="5" t="s">
        <v>212</v>
      </c>
      <c r="N1553" s="5" t="s">
        <v>4754</v>
      </c>
      <c r="O1553" s="5">
        <v>8.86</v>
      </c>
      <c r="P1553" s="5">
        <v>9.06</v>
      </c>
      <c r="Q1553" s="5">
        <v>8.86</v>
      </c>
      <c r="R1553" s="5">
        <v>9.02</v>
      </c>
      <c r="S1553" s="5">
        <v>9.0399999999999991</v>
      </c>
      <c r="T1553" s="5">
        <v>8.85</v>
      </c>
      <c r="V1553" s="5">
        <v>9.02</v>
      </c>
      <c r="Y1553" s="5">
        <v>113384</v>
      </c>
      <c r="Z1553" s="5">
        <v>1023003.31</v>
      </c>
      <c r="AA1553" s="5">
        <v>542</v>
      </c>
      <c r="AB1553" s="5" t="s">
        <v>85</v>
      </c>
      <c r="AC1553" s="5">
        <v>1</v>
      </c>
    </row>
    <row r="1554" spans="1:29" x14ac:dyDescent="0.3">
      <c r="A1554" s="34">
        <v>46274</v>
      </c>
      <c r="B1554" s="34">
        <v>46274</v>
      </c>
      <c r="C1554" s="5" t="s">
        <v>78</v>
      </c>
      <c r="D1554" s="5" t="s">
        <v>79</v>
      </c>
      <c r="E1554" s="5" t="s">
        <v>80</v>
      </c>
      <c r="F1554" s="5">
        <v>11262</v>
      </c>
      <c r="G1554" s="5" t="s">
        <v>4755</v>
      </c>
      <c r="H1554" s="5" t="s">
        <v>4756</v>
      </c>
      <c r="I1554" s="5" t="s">
        <v>212</v>
      </c>
      <c r="N1554" s="5" t="s">
        <v>4757</v>
      </c>
      <c r="O1554" s="5">
        <v>154</v>
      </c>
      <c r="P1554" s="5">
        <v>155.15</v>
      </c>
      <c r="Q1554" s="5">
        <v>151.94999999999999</v>
      </c>
      <c r="R1554" s="5">
        <v>152.91999999999999</v>
      </c>
      <c r="S1554" s="5">
        <v>153.19999999999999</v>
      </c>
      <c r="T1554" s="5">
        <v>154.02000000000001</v>
      </c>
      <c r="V1554" s="5">
        <v>152.88</v>
      </c>
      <c r="Y1554" s="5">
        <v>978960</v>
      </c>
      <c r="Z1554" s="5">
        <v>150482989.16</v>
      </c>
      <c r="AA1554" s="5">
        <v>16271</v>
      </c>
      <c r="AB1554" s="5" t="s">
        <v>85</v>
      </c>
      <c r="AC1554" s="5">
        <v>1</v>
      </c>
    </row>
    <row r="1555" spans="1:29" x14ac:dyDescent="0.3">
      <c r="A1555" s="34">
        <v>46274</v>
      </c>
      <c r="B1555" s="34">
        <v>46274</v>
      </c>
      <c r="C1555" s="5" t="s">
        <v>78</v>
      </c>
      <c r="D1555" s="5" t="s">
        <v>79</v>
      </c>
      <c r="E1555" s="5" t="s">
        <v>80</v>
      </c>
      <c r="F1555" s="5">
        <v>4751</v>
      </c>
      <c r="G1555" s="5" t="s">
        <v>4758</v>
      </c>
      <c r="H1555" s="5" t="s">
        <v>4759</v>
      </c>
      <c r="I1555" s="5" t="s">
        <v>212</v>
      </c>
      <c r="N1555" s="5" t="s">
        <v>4760</v>
      </c>
      <c r="O1555" s="5">
        <v>352</v>
      </c>
      <c r="P1555" s="5">
        <v>362</v>
      </c>
      <c r="Q1555" s="5">
        <v>352</v>
      </c>
      <c r="R1555" s="5">
        <v>360.2</v>
      </c>
      <c r="S1555" s="5">
        <v>360.95</v>
      </c>
      <c r="T1555" s="5">
        <v>355.15</v>
      </c>
      <c r="V1555" s="5">
        <v>360.17</v>
      </c>
      <c r="Y1555" s="5">
        <v>217284</v>
      </c>
      <c r="Z1555" s="5">
        <v>78031581.150000006</v>
      </c>
      <c r="AA1555" s="5">
        <v>7106</v>
      </c>
      <c r="AB1555" s="5" t="s">
        <v>85</v>
      </c>
      <c r="AC1555" s="5">
        <v>1</v>
      </c>
    </row>
    <row r="1556" spans="1:29" x14ac:dyDescent="0.3">
      <c r="A1556" s="34">
        <v>46274</v>
      </c>
      <c r="B1556" s="34">
        <v>46274</v>
      </c>
      <c r="C1556" s="5" t="s">
        <v>78</v>
      </c>
      <c r="D1556" s="5" t="s">
        <v>79</v>
      </c>
      <c r="E1556" s="5" t="s">
        <v>80</v>
      </c>
      <c r="F1556" s="5">
        <v>23036</v>
      </c>
      <c r="G1556" s="5" t="s">
        <v>4761</v>
      </c>
      <c r="H1556" s="5" t="s">
        <v>4762</v>
      </c>
      <c r="I1556" s="5" t="s">
        <v>822</v>
      </c>
      <c r="N1556" s="5" t="s">
        <v>4763</v>
      </c>
      <c r="O1556" s="5">
        <v>132.97999999999999</v>
      </c>
      <c r="P1556" s="5">
        <v>133.72999999999999</v>
      </c>
      <c r="Q1556" s="5">
        <v>132.16</v>
      </c>
      <c r="R1556" s="5">
        <v>132.38</v>
      </c>
      <c r="S1556" s="5">
        <v>132.44</v>
      </c>
      <c r="T1556" s="5">
        <v>132.97999999999999</v>
      </c>
      <c r="V1556" s="5">
        <v>132.38</v>
      </c>
      <c r="Y1556" s="5">
        <v>110923</v>
      </c>
      <c r="Z1556" s="5">
        <v>14705941.939999999</v>
      </c>
      <c r="AA1556" s="5">
        <v>2756</v>
      </c>
      <c r="AB1556" s="5" t="s">
        <v>85</v>
      </c>
      <c r="AC1556" s="5">
        <v>1</v>
      </c>
    </row>
    <row r="1557" spans="1:29" x14ac:dyDescent="0.3">
      <c r="A1557" s="34">
        <v>46274</v>
      </c>
      <c r="B1557" s="34">
        <v>46274</v>
      </c>
      <c r="C1557" s="5" t="s">
        <v>78</v>
      </c>
      <c r="D1557" s="5" t="s">
        <v>79</v>
      </c>
      <c r="E1557" s="5" t="s">
        <v>80</v>
      </c>
      <c r="F1557" s="5">
        <v>29135</v>
      </c>
      <c r="G1557" s="5" t="s">
        <v>4764</v>
      </c>
      <c r="H1557" s="5" t="s">
        <v>4765</v>
      </c>
      <c r="I1557" s="5" t="s">
        <v>212</v>
      </c>
      <c r="N1557" s="5" t="s">
        <v>4766</v>
      </c>
      <c r="O1557" s="5">
        <v>371.75</v>
      </c>
      <c r="P1557" s="5">
        <v>376.45</v>
      </c>
      <c r="Q1557" s="5">
        <v>369.75</v>
      </c>
      <c r="R1557" s="5">
        <v>373.7</v>
      </c>
      <c r="S1557" s="5">
        <v>373.7</v>
      </c>
      <c r="T1557" s="5">
        <v>373.05</v>
      </c>
      <c r="V1557" s="5">
        <v>373.7</v>
      </c>
      <c r="Y1557" s="5">
        <v>1765333</v>
      </c>
      <c r="Z1557" s="5">
        <v>658139632.95000005</v>
      </c>
      <c r="AA1557" s="5">
        <v>30613</v>
      </c>
      <c r="AB1557" s="5" t="s">
        <v>85</v>
      </c>
      <c r="AC1557" s="5">
        <v>1</v>
      </c>
    </row>
    <row r="1558" spans="1:29" x14ac:dyDescent="0.3">
      <c r="A1558" s="34">
        <v>46274</v>
      </c>
      <c r="B1558" s="34">
        <v>46274</v>
      </c>
      <c r="C1558" s="5" t="s">
        <v>78</v>
      </c>
      <c r="D1558" s="5" t="s">
        <v>79</v>
      </c>
      <c r="E1558" s="5" t="s">
        <v>80</v>
      </c>
      <c r="F1558" s="5">
        <v>5258</v>
      </c>
      <c r="G1558" s="5" t="s">
        <v>4767</v>
      </c>
      <c r="H1558" s="5" t="s">
        <v>4768</v>
      </c>
      <c r="I1558" s="5" t="s">
        <v>212</v>
      </c>
      <c r="N1558" s="5" t="s">
        <v>4769</v>
      </c>
      <c r="O1558" s="5">
        <v>994</v>
      </c>
      <c r="P1558" s="5">
        <v>1010</v>
      </c>
      <c r="Q1558" s="5">
        <v>994</v>
      </c>
      <c r="R1558" s="5">
        <v>1004</v>
      </c>
      <c r="S1558" s="5">
        <v>1004</v>
      </c>
      <c r="T1558" s="5">
        <v>997.7</v>
      </c>
      <c r="V1558" s="5">
        <v>1003.98</v>
      </c>
      <c r="Y1558" s="5">
        <v>996411</v>
      </c>
      <c r="Z1558" s="5">
        <v>999585473.79999995</v>
      </c>
      <c r="AA1558" s="5">
        <v>27015</v>
      </c>
      <c r="AB1558" s="5" t="s">
        <v>85</v>
      </c>
      <c r="AC1558" s="5">
        <v>1</v>
      </c>
    </row>
    <row r="1559" spans="1:29" x14ac:dyDescent="0.3">
      <c r="A1559" s="34">
        <v>46274</v>
      </c>
      <c r="B1559" s="34">
        <v>46274</v>
      </c>
      <c r="C1559" s="5" t="s">
        <v>78</v>
      </c>
      <c r="D1559" s="5" t="s">
        <v>79</v>
      </c>
      <c r="E1559" s="5" t="s">
        <v>80</v>
      </c>
      <c r="F1559" s="5">
        <v>762717</v>
      </c>
      <c r="G1559" s="5" t="s">
        <v>4770</v>
      </c>
      <c r="H1559" s="5" t="s">
        <v>4771</v>
      </c>
      <c r="I1559" s="5" t="s">
        <v>212</v>
      </c>
      <c r="N1559" s="5" t="s">
        <v>4772</v>
      </c>
      <c r="O1559" s="5">
        <v>6270</v>
      </c>
      <c r="P1559" s="5">
        <v>6270</v>
      </c>
      <c r="Q1559" s="5">
        <v>6164.5</v>
      </c>
      <c r="R1559" s="5">
        <v>6164.5</v>
      </c>
      <c r="S1559" s="5">
        <v>6164.5</v>
      </c>
      <c r="T1559" s="5">
        <v>6210</v>
      </c>
      <c r="V1559" s="5">
        <v>6169.75</v>
      </c>
      <c r="Y1559" s="5">
        <v>45</v>
      </c>
      <c r="Z1559" s="5">
        <v>278371.5</v>
      </c>
      <c r="AA1559" s="5">
        <v>29</v>
      </c>
      <c r="AB1559" s="5" t="s">
        <v>85</v>
      </c>
      <c r="AC1559" s="5">
        <v>1</v>
      </c>
    </row>
    <row r="1560" spans="1:29" x14ac:dyDescent="0.3">
      <c r="A1560" s="34">
        <v>46274</v>
      </c>
      <c r="B1560" s="34">
        <v>46274</v>
      </c>
      <c r="C1560" s="5" t="s">
        <v>78</v>
      </c>
      <c r="D1560" s="5" t="s">
        <v>79</v>
      </c>
      <c r="E1560" s="5" t="s">
        <v>80</v>
      </c>
      <c r="F1560" s="5">
        <v>19525</v>
      </c>
      <c r="G1560" s="5" t="s">
        <v>4773</v>
      </c>
      <c r="H1560" s="5" t="s">
        <v>4774</v>
      </c>
      <c r="I1560" s="5" t="s">
        <v>212</v>
      </c>
      <c r="N1560" s="5" t="s">
        <v>4775</v>
      </c>
      <c r="O1560" s="5">
        <v>150.99</v>
      </c>
      <c r="P1560" s="5">
        <v>150.99</v>
      </c>
      <c r="Q1560" s="5">
        <v>145.25</v>
      </c>
      <c r="R1560" s="5">
        <v>147.09</v>
      </c>
      <c r="S1560" s="5">
        <v>146.02000000000001</v>
      </c>
      <c r="T1560" s="5">
        <v>149.88</v>
      </c>
      <c r="V1560" s="5">
        <v>147.09</v>
      </c>
      <c r="Y1560" s="5">
        <v>95334</v>
      </c>
      <c r="Z1560" s="5">
        <v>14104619.51</v>
      </c>
      <c r="AA1560" s="5">
        <v>1215</v>
      </c>
      <c r="AB1560" s="5" t="s">
        <v>85</v>
      </c>
      <c r="AC1560" s="5">
        <v>1</v>
      </c>
    </row>
    <row r="1561" spans="1:29" x14ac:dyDescent="0.3">
      <c r="A1561" s="34">
        <v>46274</v>
      </c>
      <c r="B1561" s="34">
        <v>46274</v>
      </c>
      <c r="C1561" s="5" t="s">
        <v>78</v>
      </c>
      <c r="D1561" s="5" t="s">
        <v>79</v>
      </c>
      <c r="E1561" s="5" t="s">
        <v>80</v>
      </c>
      <c r="F1561" s="5">
        <v>15036</v>
      </c>
      <c r="G1561" s="5" t="s">
        <v>4776</v>
      </c>
      <c r="H1561" s="5" t="s">
        <v>4777</v>
      </c>
      <c r="I1561" s="5" t="s">
        <v>313</v>
      </c>
      <c r="N1561" s="5" t="s">
        <v>4778</v>
      </c>
      <c r="O1561" s="5">
        <v>283.5</v>
      </c>
      <c r="P1561" s="5">
        <v>285.5</v>
      </c>
      <c r="Q1561" s="5">
        <v>275</v>
      </c>
      <c r="R1561" s="5">
        <v>283</v>
      </c>
      <c r="S1561" s="5">
        <v>285.5</v>
      </c>
      <c r="T1561" s="5">
        <v>277.45</v>
      </c>
      <c r="V1561" s="5">
        <v>283</v>
      </c>
      <c r="Y1561" s="5">
        <v>8500</v>
      </c>
      <c r="Z1561" s="5">
        <v>2393775</v>
      </c>
      <c r="AA1561" s="5">
        <v>17</v>
      </c>
      <c r="AB1561" s="5" t="s">
        <v>85</v>
      </c>
      <c r="AC1561" s="5">
        <v>500</v>
      </c>
    </row>
    <row r="1562" spans="1:29" x14ac:dyDescent="0.3">
      <c r="A1562" s="34">
        <v>46274</v>
      </c>
      <c r="B1562" s="34">
        <v>46274</v>
      </c>
      <c r="C1562" s="5" t="s">
        <v>78</v>
      </c>
      <c r="D1562" s="5" t="s">
        <v>79</v>
      </c>
      <c r="E1562" s="5" t="s">
        <v>80</v>
      </c>
      <c r="F1562" s="5">
        <v>757602</v>
      </c>
      <c r="G1562" s="5" t="s">
        <v>4779</v>
      </c>
      <c r="H1562" s="5" t="s">
        <v>4780</v>
      </c>
      <c r="I1562" s="5" t="s">
        <v>313</v>
      </c>
      <c r="N1562" s="5" t="s">
        <v>4781</v>
      </c>
      <c r="O1562" s="5">
        <v>286.5</v>
      </c>
      <c r="P1562" s="5">
        <v>290</v>
      </c>
      <c r="Q1562" s="5">
        <v>276.10000000000002</v>
      </c>
      <c r="R1562" s="5">
        <v>277.60000000000002</v>
      </c>
      <c r="S1562" s="5">
        <v>276.10000000000002</v>
      </c>
      <c r="T1562" s="5">
        <v>283.7</v>
      </c>
      <c r="V1562" s="5">
        <v>277.60000000000002</v>
      </c>
      <c r="Y1562" s="5">
        <v>48600</v>
      </c>
      <c r="Z1562" s="5">
        <v>13769820</v>
      </c>
      <c r="AA1562" s="5">
        <v>66</v>
      </c>
      <c r="AB1562" s="5" t="s">
        <v>85</v>
      </c>
      <c r="AC1562" s="5">
        <v>600</v>
      </c>
    </row>
    <row r="1563" spans="1:29" x14ac:dyDescent="0.3">
      <c r="A1563" s="34">
        <v>46274</v>
      </c>
      <c r="B1563" s="34">
        <v>46274</v>
      </c>
      <c r="C1563" s="5" t="s">
        <v>78</v>
      </c>
      <c r="D1563" s="5" t="s">
        <v>79</v>
      </c>
      <c r="E1563" s="5" t="s">
        <v>80</v>
      </c>
      <c r="F1563" s="5">
        <v>13751</v>
      </c>
      <c r="G1563" s="5" t="s">
        <v>4782</v>
      </c>
      <c r="H1563" s="5" t="s">
        <v>4783</v>
      </c>
      <c r="I1563" s="5" t="s">
        <v>212</v>
      </c>
      <c r="N1563" s="5" t="s">
        <v>4784</v>
      </c>
      <c r="O1563" s="5">
        <v>1281</v>
      </c>
      <c r="P1563" s="5">
        <v>1286.5999999999999</v>
      </c>
      <c r="Q1563" s="5">
        <v>1255</v>
      </c>
      <c r="R1563" s="5">
        <v>1267</v>
      </c>
      <c r="S1563" s="5">
        <v>1267</v>
      </c>
      <c r="T1563" s="5">
        <v>1292</v>
      </c>
      <c r="V1563" s="5">
        <v>1266.99</v>
      </c>
      <c r="Y1563" s="5">
        <v>1281379</v>
      </c>
      <c r="Z1563" s="5">
        <v>1618410915.5999999</v>
      </c>
      <c r="AA1563" s="5">
        <v>54839</v>
      </c>
      <c r="AB1563" s="5" t="s">
        <v>85</v>
      </c>
      <c r="AC1563" s="5">
        <v>1</v>
      </c>
    </row>
    <row r="1564" spans="1:29" x14ac:dyDescent="0.3">
      <c r="A1564" s="34">
        <v>46274</v>
      </c>
      <c r="B1564" s="34">
        <v>46274</v>
      </c>
      <c r="C1564" s="5" t="s">
        <v>78</v>
      </c>
      <c r="D1564" s="5" t="s">
        <v>79</v>
      </c>
      <c r="E1564" s="5" t="s">
        <v>80</v>
      </c>
      <c r="F1564" s="5">
        <v>11027</v>
      </c>
      <c r="G1564" s="5" t="s">
        <v>4785</v>
      </c>
      <c r="H1564" s="5" t="s">
        <v>4786</v>
      </c>
      <c r="I1564" s="5" t="s">
        <v>212</v>
      </c>
      <c r="N1564" s="5" t="s">
        <v>4787</v>
      </c>
      <c r="O1564" s="5">
        <v>159.80000000000001</v>
      </c>
      <c r="P1564" s="5">
        <v>159.80000000000001</v>
      </c>
      <c r="Q1564" s="5">
        <v>155</v>
      </c>
      <c r="R1564" s="5">
        <v>155.56</v>
      </c>
      <c r="S1564" s="5">
        <v>156.1</v>
      </c>
      <c r="T1564" s="5">
        <v>158.61000000000001</v>
      </c>
      <c r="V1564" s="5">
        <v>155.56</v>
      </c>
      <c r="Y1564" s="5">
        <v>250394</v>
      </c>
      <c r="Z1564" s="5">
        <v>39084223.630000003</v>
      </c>
      <c r="AA1564" s="5">
        <v>4262</v>
      </c>
      <c r="AB1564" s="5" t="s">
        <v>85</v>
      </c>
      <c r="AC1564" s="5">
        <v>1</v>
      </c>
    </row>
    <row r="1565" spans="1:29" x14ac:dyDescent="0.3">
      <c r="A1565" s="34">
        <v>46274</v>
      </c>
      <c r="B1565" s="34">
        <v>46274</v>
      </c>
      <c r="C1565" s="5" t="s">
        <v>78</v>
      </c>
      <c r="D1565" s="5" t="s">
        <v>79</v>
      </c>
      <c r="E1565" s="5" t="s">
        <v>80</v>
      </c>
      <c r="F1565" s="5">
        <v>16588</v>
      </c>
      <c r="G1565" s="5" t="s">
        <v>4788</v>
      </c>
      <c r="H1565" s="5" t="s">
        <v>4789</v>
      </c>
      <c r="I1565" s="5" t="s">
        <v>313</v>
      </c>
      <c r="N1565" s="5" t="s">
        <v>4790</v>
      </c>
      <c r="O1565" s="5">
        <v>153</v>
      </c>
      <c r="P1565" s="5">
        <v>157</v>
      </c>
      <c r="Q1565" s="5">
        <v>153</v>
      </c>
      <c r="R1565" s="5">
        <v>154</v>
      </c>
      <c r="S1565" s="5">
        <v>154</v>
      </c>
      <c r="T1565" s="5">
        <v>154</v>
      </c>
      <c r="V1565" s="5">
        <v>154</v>
      </c>
      <c r="Y1565" s="5">
        <v>6800</v>
      </c>
      <c r="Z1565" s="5">
        <v>1047320</v>
      </c>
      <c r="AA1565" s="5">
        <v>14</v>
      </c>
      <c r="AB1565" s="5" t="s">
        <v>85</v>
      </c>
      <c r="AC1565" s="5">
        <v>400</v>
      </c>
    </row>
    <row r="1566" spans="1:29" x14ac:dyDescent="0.3">
      <c r="A1566" s="34">
        <v>46274</v>
      </c>
      <c r="B1566" s="34">
        <v>46274</v>
      </c>
      <c r="C1566" s="5" t="s">
        <v>78</v>
      </c>
      <c r="D1566" s="5" t="s">
        <v>79</v>
      </c>
      <c r="E1566" s="5" t="s">
        <v>80</v>
      </c>
      <c r="F1566" s="5">
        <v>13693</v>
      </c>
      <c r="G1566" s="5" t="s">
        <v>4791</v>
      </c>
      <c r="H1566" s="5" t="s">
        <v>4792</v>
      </c>
      <c r="I1566" s="5" t="s">
        <v>212</v>
      </c>
      <c r="N1566" s="5" t="s">
        <v>4793</v>
      </c>
      <c r="O1566" s="5">
        <v>5.5</v>
      </c>
      <c r="P1566" s="5">
        <v>5.5</v>
      </c>
      <c r="Q1566" s="5">
        <v>5.25</v>
      </c>
      <c r="R1566" s="5">
        <v>5.46</v>
      </c>
      <c r="S1566" s="5">
        <v>5.47</v>
      </c>
      <c r="T1566" s="5">
        <v>5.53</v>
      </c>
      <c r="V1566" s="5">
        <v>5.46</v>
      </c>
      <c r="Y1566" s="5">
        <v>6918</v>
      </c>
      <c r="Z1566" s="5">
        <v>37022.199999999997</v>
      </c>
      <c r="AA1566" s="5">
        <v>62</v>
      </c>
      <c r="AB1566" s="5" t="s">
        <v>85</v>
      </c>
      <c r="AC1566" s="5">
        <v>1</v>
      </c>
    </row>
    <row r="1567" spans="1:29" x14ac:dyDescent="0.3">
      <c r="A1567" s="34">
        <v>46274</v>
      </c>
      <c r="B1567" s="34">
        <v>46274</v>
      </c>
      <c r="C1567" s="5" t="s">
        <v>78</v>
      </c>
      <c r="D1567" s="5" t="s">
        <v>79</v>
      </c>
      <c r="E1567" s="5" t="s">
        <v>80</v>
      </c>
      <c r="F1567" s="5">
        <v>1594</v>
      </c>
      <c r="G1567" s="5" t="s">
        <v>4794</v>
      </c>
      <c r="H1567" s="5" t="s">
        <v>4795</v>
      </c>
      <c r="I1567" s="5" t="s">
        <v>212</v>
      </c>
      <c r="N1567" s="5" t="s">
        <v>4796</v>
      </c>
      <c r="O1567" s="5">
        <v>1059</v>
      </c>
      <c r="P1567" s="5">
        <v>1059</v>
      </c>
      <c r="Q1567" s="5">
        <v>1026.5</v>
      </c>
      <c r="R1567" s="5">
        <v>1035</v>
      </c>
      <c r="S1567" s="5">
        <v>1035</v>
      </c>
      <c r="T1567" s="5">
        <v>1082</v>
      </c>
      <c r="V1567" s="5">
        <v>1035</v>
      </c>
      <c r="Y1567" s="5">
        <v>13530457</v>
      </c>
      <c r="Z1567" s="5">
        <v>14048385874.799999</v>
      </c>
      <c r="AA1567" s="5">
        <v>248758</v>
      </c>
      <c r="AB1567" s="5" t="s">
        <v>85</v>
      </c>
      <c r="AC1567" s="5">
        <v>1</v>
      </c>
    </row>
    <row r="1568" spans="1:29" x14ac:dyDescent="0.3">
      <c r="A1568" s="34">
        <v>46274</v>
      </c>
      <c r="B1568" s="34">
        <v>46274</v>
      </c>
      <c r="C1568" s="5" t="s">
        <v>78</v>
      </c>
      <c r="D1568" s="5" t="s">
        <v>79</v>
      </c>
      <c r="E1568" s="5" t="s">
        <v>80</v>
      </c>
      <c r="F1568" s="5">
        <v>1597</v>
      </c>
      <c r="G1568" s="5" t="s">
        <v>4797</v>
      </c>
      <c r="H1568" s="5" t="s">
        <v>4798</v>
      </c>
      <c r="I1568" s="5" t="s">
        <v>212</v>
      </c>
      <c r="N1568" s="5" t="s">
        <v>4799</v>
      </c>
      <c r="O1568" s="5">
        <v>4760</v>
      </c>
      <c r="P1568" s="5">
        <v>4825</v>
      </c>
      <c r="Q1568" s="5">
        <v>4667.7</v>
      </c>
      <c r="R1568" s="5">
        <v>4693.5</v>
      </c>
      <c r="S1568" s="5">
        <v>4705</v>
      </c>
      <c r="T1568" s="5">
        <v>4741.7</v>
      </c>
      <c r="V1568" s="5">
        <v>4692.79</v>
      </c>
      <c r="Y1568" s="5">
        <v>19820</v>
      </c>
      <c r="Z1568" s="5">
        <v>93609779.099999994</v>
      </c>
      <c r="AA1568" s="5">
        <v>3240</v>
      </c>
      <c r="AB1568" s="5" t="s">
        <v>85</v>
      </c>
      <c r="AC1568" s="5">
        <v>1</v>
      </c>
    </row>
    <row r="1569" spans="1:29" x14ac:dyDescent="0.3">
      <c r="A1569" s="34">
        <v>46274</v>
      </c>
      <c r="B1569" s="34">
        <v>46274</v>
      </c>
      <c r="C1569" s="5" t="s">
        <v>78</v>
      </c>
      <c r="D1569" s="5" t="s">
        <v>79</v>
      </c>
      <c r="E1569" s="5" t="s">
        <v>80</v>
      </c>
      <c r="F1569" s="5">
        <v>25323</v>
      </c>
      <c r="G1569" s="5" t="s">
        <v>4800</v>
      </c>
      <c r="H1569" s="5" t="s">
        <v>4801</v>
      </c>
      <c r="I1569" s="5" t="s">
        <v>392</v>
      </c>
      <c r="N1569" s="5" t="s">
        <v>4802</v>
      </c>
      <c r="O1569" s="5">
        <v>293</v>
      </c>
      <c r="P1569" s="5">
        <v>293.64999999999998</v>
      </c>
      <c r="Q1569" s="5">
        <v>283.14999999999998</v>
      </c>
      <c r="R1569" s="5">
        <v>283.14999999999998</v>
      </c>
      <c r="S1569" s="5">
        <v>283.14999999999998</v>
      </c>
      <c r="T1569" s="5">
        <v>288.89999999999998</v>
      </c>
      <c r="V1569" s="5">
        <v>283.14999999999998</v>
      </c>
      <c r="Y1569" s="5">
        <v>47400</v>
      </c>
      <c r="Z1569" s="5">
        <v>13725870</v>
      </c>
      <c r="AA1569" s="5">
        <v>67</v>
      </c>
      <c r="AB1569" s="5" t="s">
        <v>85</v>
      </c>
      <c r="AC1569" s="5">
        <v>600</v>
      </c>
    </row>
    <row r="1570" spans="1:29" x14ac:dyDescent="0.3">
      <c r="A1570" s="34">
        <v>46274</v>
      </c>
      <c r="B1570" s="34">
        <v>46274</v>
      </c>
      <c r="C1570" s="5" t="s">
        <v>78</v>
      </c>
      <c r="D1570" s="5" t="s">
        <v>79</v>
      </c>
      <c r="E1570" s="5" t="s">
        <v>80</v>
      </c>
      <c r="F1570" s="5">
        <v>21062</v>
      </c>
      <c r="G1570" s="5" t="s">
        <v>4803</v>
      </c>
      <c r="H1570" s="5" t="s">
        <v>4804</v>
      </c>
      <c r="I1570" s="5" t="s">
        <v>212</v>
      </c>
      <c r="N1570" s="5" t="s">
        <v>4805</v>
      </c>
      <c r="O1570" s="5">
        <v>1200</v>
      </c>
      <c r="P1570" s="5">
        <v>1200</v>
      </c>
      <c r="Q1570" s="5">
        <v>1167</v>
      </c>
      <c r="R1570" s="5">
        <v>1188.7</v>
      </c>
      <c r="S1570" s="5">
        <v>1188.5</v>
      </c>
      <c r="T1570" s="5">
        <v>1171.8</v>
      </c>
      <c r="V1570" s="5">
        <v>1188.8399999999999</v>
      </c>
      <c r="Y1570" s="5">
        <v>84136</v>
      </c>
      <c r="Z1570" s="5">
        <v>99661191.299999997</v>
      </c>
      <c r="AA1570" s="5">
        <v>9662</v>
      </c>
      <c r="AB1570" s="5" t="s">
        <v>85</v>
      </c>
      <c r="AC1570" s="5">
        <v>1</v>
      </c>
    </row>
    <row r="1571" spans="1:29" x14ac:dyDescent="0.3">
      <c r="A1571" s="34">
        <v>46274</v>
      </c>
      <c r="B1571" s="34">
        <v>46274</v>
      </c>
      <c r="C1571" s="5" t="s">
        <v>78</v>
      </c>
      <c r="D1571" s="5" t="s">
        <v>79</v>
      </c>
      <c r="E1571" s="5" t="s">
        <v>80</v>
      </c>
      <c r="F1571" s="5">
        <v>27754</v>
      </c>
      <c r="G1571" s="5" t="s">
        <v>4806</v>
      </c>
      <c r="H1571" s="5" t="s">
        <v>4807</v>
      </c>
      <c r="I1571" s="5" t="s">
        <v>212</v>
      </c>
      <c r="N1571" s="5" t="s">
        <v>4808</v>
      </c>
      <c r="O1571" s="5">
        <v>298.75</v>
      </c>
      <c r="P1571" s="5">
        <v>309.95</v>
      </c>
      <c r="Q1571" s="5">
        <v>295.05</v>
      </c>
      <c r="R1571" s="5">
        <v>303.2</v>
      </c>
      <c r="S1571" s="5">
        <v>308</v>
      </c>
      <c r="T1571" s="5">
        <v>300.55</v>
      </c>
      <c r="V1571" s="5">
        <v>303.19</v>
      </c>
      <c r="Y1571" s="5">
        <v>91112</v>
      </c>
      <c r="Z1571" s="5">
        <v>27593168.649999999</v>
      </c>
      <c r="AA1571" s="5">
        <v>647</v>
      </c>
      <c r="AB1571" s="5" t="s">
        <v>85</v>
      </c>
      <c r="AC1571" s="5">
        <v>1</v>
      </c>
    </row>
    <row r="1572" spans="1:29" x14ac:dyDescent="0.3">
      <c r="A1572" s="34">
        <v>46274</v>
      </c>
      <c r="B1572" s="34">
        <v>46274</v>
      </c>
      <c r="C1572" s="5" t="s">
        <v>78</v>
      </c>
      <c r="D1572" s="5" t="s">
        <v>79</v>
      </c>
      <c r="E1572" s="5" t="s">
        <v>80</v>
      </c>
      <c r="F1572" s="5">
        <v>761528</v>
      </c>
      <c r="G1572" s="5" t="s">
        <v>4809</v>
      </c>
      <c r="H1572" s="5" t="s">
        <v>4810</v>
      </c>
      <c r="I1572" s="5" t="s">
        <v>212</v>
      </c>
      <c r="N1572" s="5" t="s">
        <v>4811</v>
      </c>
      <c r="O1572" s="5">
        <v>268</v>
      </c>
      <c r="P1572" s="5">
        <v>296.45</v>
      </c>
      <c r="Q1572" s="5">
        <v>265</v>
      </c>
      <c r="R1572" s="5">
        <v>280.3</v>
      </c>
      <c r="S1572" s="5">
        <v>276.60000000000002</v>
      </c>
      <c r="T1572" s="5">
        <v>252</v>
      </c>
      <c r="V1572" s="5">
        <v>280.29000000000002</v>
      </c>
      <c r="Y1572" s="5">
        <v>1409333</v>
      </c>
      <c r="Z1572" s="5">
        <v>401282006.30000001</v>
      </c>
      <c r="AA1572" s="5">
        <v>31606</v>
      </c>
      <c r="AB1572" s="5" t="s">
        <v>85</v>
      </c>
      <c r="AC1572" s="5">
        <v>1</v>
      </c>
    </row>
    <row r="1573" spans="1:29" x14ac:dyDescent="0.3">
      <c r="A1573" s="34">
        <v>46274</v>
      </c>
      <c r="B1573" s="34">
        <v>46274</v>
      </c>
      <c r="C1573" s="5" t="s">
        <v>78</v>
      </c>
      <c r="D1573" s="5" t="s">
        <v>79</v>
      </c>
      <c r="E1573" s="5" t="s">
        <v>80</v>
      </c>
      <c r="F1573" s="5">
        <v>12188</v>
      </c>
      <c r="G1573" s="5" t="s">
        <v>4812</v>
      </c>
      <c r="H1573" s="5" t="s">
        <v>4813</v>
      </c>
      <c r="I1573" s="5" t="s">
        <v>212</v>
      </c>
      <c r="N1573" s="5" t="s">
        <v>4814</v>
      </c>
      <c r="O1573" s="5">
        <v>174</v>
      </c>
      <c r="P1573" s="5">
        <v>177.1</v>
      </c>
      <c r="Q1573" s="5">
        <v>170.97</v>
      </c>
      <c r="R1573" s="5">
        <v>175.76</v>
      </c>
      <c r="S1573" s="5">
        <v>174.51</v>
      </c>
      <c r="T1573" s="5">
        <v>174.42</v>
      </c>
      <c r="V1573" s="5">
        <v>175.76</v>
      </c>
      <c r="Y1573" s="5">
        <v>1869097</v>
      </c>
      <c r="Z1573" s="5">
        <v>327282851.63</v>
      </c>
      <c r="AA1573" s="5">
        <v>8982</v>
      </c>
      <c r="AB1573" s="5" t="s">
        <v>85</v>
      </c>
      <c r="AC1573" s="5">
        <v>1</v>
      </c>
    </row>
    <row r="1574" spans="1:29" x14ac:dyDescent="0.3">
      <c r="A1574" s="34">
        <v>46274</v>
      </c>
      <c r="B1574" s="34">
        <v>46274</v>
      </c>
      <c r="C1574" s="5" t="s">
        <v>78</v>
      </c>
      <c r="D1574" s="5" t="s">
        <v>79</v>
      </c>
      <c r="E1574" s="5" t="s">
        <v>80</v>
      </c>
      <c r="F1574" s="5">
        <v>20607</v>
      </c>
      <c r="G1574" s="5" t="s">
        <v>4815</v>
      </c>
      <c r="H1574" s="5" t="s">
        <v>4816</v>
      </c>
      <c r="I1574" s="5" t="s">
        <v>212</v>
      </c>
      <c r="N1574" s="5" t="s">
        <v>4817</v>
      </c>
      <c r="O1574" s="5">
        <v>2208.1</v>
      </c>
      <c r="P1574" s="5">
        <v>2235.9</v>
      </c>
      <c r="Q1574" s="5">
        <v>2174.9</v>
      </c>
      <c r="R1574" s="5">
        <v>2185.5</v>
      </c>
      <c r="S1574" s="5">
        <v>2193.9</v>
      </c>
      <c r="T1574" s="5">
        <v>2215.9</v>
      </c>
      <c r="V1574" s="5">
        <v>2185.5</v>
      </c>
      <c r="Y1574" s="5">
        <v>100850</v>
      </c>
      <c r="Z1574" s="5">
        <v>221413878.69999999</v>
      </c>
      <c r="AA1574" s="5">
        <v>12654</v>
      </c>
      <c r="AB1574" s="5" t="s">
        <v>85</v>
      </c>
      <c r="AC1574" s="5">
        <v>1</v>
      </c>
    </row>
    <row r="1575" spans="1:29" x14ac:dyDescent="0.3">
      <c r="A1575" s="34">
        <v>46274</v>
      </c>
      <c r="B1575" s="34">
        <v>46274</v>
      </c>
      <c r="C1575" s="5" t="s">
        <v>78</v>
      </c>
      <c r="D1575" s="5" t="s">
        <v>79</v>
      </c>
      <c r="E1575" s="5" t="s">
        <v>80</v>
      </c>
      <c r="F1575" s="5">
        <v>7852</v>
      </c>
      <c r="G1575" s="5" t="s">
        <v>4818</v>
      </c>
      <c r="H1575" s="5" t="s">
        <v>23</v>
      </c>
      <c r="I1575" s="5" t="s">
        <v>212</v>
      </c>
      <c r="N1575" s="5" t="s">
        <v>4819</v>
      </c>
      <c r="O1575" s="5">
        <v>75.5</v>
      </c>
      <c r="P1575" s="5">
        <v>77.62</v>
      </c>
      <c r="Q1575" s="5">
        <v>75.5</v>
      </c>
      <c r="R1575" s="5">
        <v>77.39</v>
      </c>
      <c r="S1575" s="5">
        <v>77.39</v>
      </c>
      <c r="T1575" s="5">
        <v>75.709999999999994</v>
      </c>
      <c r="V1575" s="5">
        <v>77.39</v>
      </c>
      <c r="Y1575" s="5">
        <v>18491767</v>
      </c>
      <c r="Z1575" s="5">
        <v>1419158124.1800001</v>
      </c>
      <c r="AA1575" s="5">
        <v>40879</v>
      </c>
      <c r="AB1575" s="5" t="s">
        <v>85</v>
      </c>
      <c r="AC1575" s="5">
        <v>1</v>
      </c>
    </row>
    <row r="1576" spans="1:29" x14ac:dyDescent="0.3">
      <c r="A1576" s="34">
        <v>46274</v>
      </c>
      <c r="B1576" s="34">
        <v>46274</v>
      </c>
      <c r="C1576" s="5" t="s">
        <v>78</v>
      </c>
      <c r="D1576" s="5" t="s">
        <v>79</v>
      </c>
      <c r="E1576" s="5" t="s">
        <v>80</v>
      </c>
      <c r="F1576" s="5">
        <v>14657</v>
      </c>
      <c r="G1576" s="5" t="s">
        <v>4820</v>
      </c>
      <c r="H1576" s="5" t="s">
        <v>4821</v>
      </c>
      <c r="I1576" s="5" t="s">
        <v>212</v>
      </c>
      <c r="N1576" s="5" t="s">
        <v>4822</v>
      </c>
      <c r="O1576" s="5">
        <v>603.79999999999995</v>
      </c>
      <c r="P1576" s="5">
        <v>634.9</v>
      </c>
      <c r="Q1576" s="5">
        <v>601.15</v>
      </c>
      <c r="R1576" s="5">
        <v>623.6</v>
      </c>
      <c r="S1576" s="5">
        <v>623.1</v>
      </c>
      <c r="T1576" s="5">
        <v>610.20000000000005</v>
      </c>
      <c r="V1576" s="5">
        <v>623.6</v>
      </c>
      <c r="Y1576" s="5">
        <v>36377</v>
      </c>
      <c r="Z1576" s="5">
        <v>22727548.399999999</v>
      </c>
      <c r="AA1576" s="5">
        <v>2059</v>
      </c>
      <c r="AB1576" s="5" t="s">
        <v>85</v>
      </c>
      <c r="AC1576" s="5">
        <v>1</v>
      </c>
    </row>
    <row r="1577" spans="1:29" x14ac:dyDescent="0.3">
      <c r="A1577" s="34">
        <v>46274</v>
      </c>
      <c r="B1577" s="34">
        <v>46274</v>
      </c>
      <c r="C1577" s="5" t="s">
        <v>78</v>
      </c>
      <c r="D1577" s="5" t="s">
        <v>79</v>
      </c>
      <c r="E1577" s="5" t="s">
        <v>80</v>
      </c>
      <c r="F1577" s="5">
        <v>761099</v>
      </c>
      <c r="G1577" s="5" t="s">
        <v>4823</v>
      </c>
      <c r="H1577" s="5" t="s">
        <v>4824</v>
      </c>
      <c r="I1577" s="5" t="s">
        <v>212</v>
      </c>
      <c r="N1577" s="5" t="s">
        <v>4825</v>
      </c>
      <c r="O1577" s="5">
        <v>94</v>
      </c>
      <c r="P1577" s="5">
        <v>94</v>
      </c>
      <c r="Q1577" s="5">
        <v>90.5</v>
      </c>
      <c r="R1577" s="5">
        <v>90.72</v>
      </c>
      <c r="S1577" s="5">
        <v>90.9</v>
      </c>
      <c r="T1577" s="5">
        <v>93.12</v>
      </c>
      <c r="V1577" s="5">
        <v>90.72</v>
      </c>
      <c r="Y1577" s="5">
        <v>446968</v>
      </c>
      <c r="Z1577" s="5">
        <v>41022775.75</v>
      </c>
      <c r="AA1577" s="5">
        <v>3416</v>
      </c>
      <c r="AB1577" s="5" t="s">
        <v>85</v>
      </c>
      <c r="AC1577" s="5">
        <v>1</v>
      </c>
    </row>
    <row r="1578" spans="1:29" x14ac:dyDescent="0.3">
      <c r="A1578" s="34">
        <v>46274</v>
      </c>
      <c r="B1578" s="34">
        <v>46274</v>
      </c>
      <c r="C1578" s="5" t="s">
        <v>78</v>
      </c>
      <c r="D1578" s="5" t="s">
        <v>79</v>
      </c>
      <c r="E1578" s="5" t="s">
        <v>80</v>
      </c>
      <c r="F1578" s="5">
        <v>19154</v>
      </c>
      <c r="G1578" s="5" t="s">
        <v>4826</v>
      </c>
      <c r="H1578" s="5" t="s">
        <v>4827</v>
      </c>
      <c r="I1578" s="5" t="s">
        <v>313</v>
      </c>
      <c r="N1578" s="5" t="s">
        <v>4828</v>
      </c>
      <c r="O1578" s="5">
        <v>8.9499999999999993</v>
      </c>
      <c r="P1578" s="5">
        <v>9.1999999999999993</v>
      </c>
      <c r="Q1578" s="5">
        <v>8.9499999999999993</v>
      </c>
      <c r="R1578" s="5">
        <v>9.1999999999999993</v>
      </c>
      <c r="S1578" s="5">
        <v>9.1999999999999993</v>
      </c>
      <c r="T1578" s="5">
        <v>8.85</v>
      </c>
      <c r="V1578" s="5">
        <v>9.1999999999999993</v>
      </c>
      <c r="Y1578" s="5">
        <v>6000</v>
      </c>
      <c r="Z1578" s="5">
        <v>54200</v>
      </c>
      <c r="AA1578" s="5">
        <v>2</v>
      </c>
      <c r="AB1578" s="5" t="s">
        <v>85</v>
      </c>
      <c r="AC1578" s="5">
        <v>2000</v>
      </c>
    </row>
    <row r="1579" spans="1:29" x14ac:dyDescent="0.3">
      <c r="A1579" s="34">
        <v>46274</v>
      </c>
      <c r="B1579" s="34">
        <v>46274</v>
      </c>
      <c r="C1579" s="5" t="s">
        <v>78</v>
      </c>
      <c r="D1579" s="5" t="s">
        <v>79</v>
      </c>
      <c r="E1579" s="5" t="s">
        <v>80</v>
      </c>
      <c r="F1579" s="5">
        <v>13730</v>
      </c>
      <c r="G1579" s="5" t="s">
        <v>4829</v>
      </c>
      <c r="H1579" s="5" t="s">
        <v>4830</v>
      </c>
      <c r="I1579" s="5" t="s">
        <v>212</v>
      </c>
      <c r="N1579" s="5" t="s">
        <v>4831</v>
      </c>
      <c r="O1579" s="5">
        <v>92</v>
      </c>
      <c r="P1579" s="5">
        <v>92</v>
      </c>
      <c r="Q1579" s="5">
        <v>86</v>
      </c>
      <c r="R1579" s="5">
        <v>88.68</v>
      </c>
      <c r="S1579" s="5">
        <v>88.8</v>
      </c>
      <c r="T1579" s="5">
        <v>90.52</v>
      </c>
      <c r="V1579" s="5">
        <v>88.74</v>
      </c>
      <c r="Y1579" s="5">
        <v>10044</v>
      </c>
      <c r="Z1579" s="5">
        <v>876424.42</v>
      </c>
      <c r="AA1579" s="5">
        <v>172</v>
      </c>
      <c r="AB1579" s="5" t="s">
        <v>85</v>
      </c>
      <c r="AC1579" s="5">
        <v>1</v>
      </c>
    </row>
    <row r="1580" spans="1:29" x14ac:dyDescent="0.3">
      <c r="A1580" s="34">
        <v>46274</v>
      </c>
      <c r="B1580" s="34">
        <v>46274</v>
      </c>
      <c r="C1580" s="5" t="s">
        <v>78</v>
      </c>
      <c r="D1580" s="5" t="s">
        <v>79</v>
      </c>
      <c r="E1580" s="5" t="s">
        <v>80</v>
      </c>
      <c r="F1580" s="5">
        <v>30323</v>
      </c>
      <c r="G1580" s="5" t="s">
        <v>4832</v>
      </c>
      <c r="H1580" s="5" t="s">
        <v>4833</v>
      </c>
      <c r="I1580" s="5" t="s">
        <v>212</v>
      </c>
      <c r="N1580" s="5" t="s">
        <v>4834</v>
      </c>
      <c r="O1580" s="5">
        <v>1.06</v>
      </c>
      <c r="P1580" s="5">
        <v>1.07</v>
      </c>
      <c r="Q1580" s="5">
        <v>1.05</v>
      </c>
      <c r="R1580" s="5">
        <v>1.06</v>
      </c>
      <c r="S1580" s="5">
        <v>1.07</v>
      </c>
      <c r="T1580" s="5">
        <v>1.05</v>
      </c>
      <c r="V1580" s="5">
        <v>1.07</v>
      </c>
      <c r="Y1580" s="5">
        <v>2109879</v>
      </c>
      <c r="Z1580" s="5">
        <v>2235835.36</v>
      </c>
      <c r="AA1580" s="5">
        <v>739</v>
      </c>
      <c r="AB1580" s="5" t="s">
        <v>85</v>
      </c>
      <c r="AC1580" s="5">
        <v>1</v>
      </c>
    </row>
    <row r="1581" spans="1:29" x14ac:dyDescent="0.3">
      <c r="A1581" s="34">
        <v>46274</v>
      </c>
      <c r="B1581" s="34">
        <v>46274</v>
      </c>
      <c r="C1581" s="5" t="s">
        <v>78</v>
      </c>
      <c r="D1581" s="5" t="s">
        <v>79</v>
      </c>
      <c r="E1581" s="5" t="s">
        <v>80</v>
      </c>
      <c r="F1581" s="5">
        <v>5926</v>
      </c>
      <c r="G1581" s="5" t="s">
        <v>4835</v>
      </c>
      <c r="H1581" s="5" t="s">
        <v>4836</v>
      </c>
      <c r="I1581" s="5" t="s">
        <v>212</v>
      </c>
      <c r="N1581" s="5" t="s">
        <v>4837</v>
      </c>
      <c r="O1581" s="5">
        <v>693.6</v>
      </c>
      <c r="P1581" s="5">
        <v>696.25</v>
      </c>
      <c r="Q1581" s="5">
        <v>679.5</v>
      </c>
      <c r="R1581" s="5">
        <v>684.9</v>
      </c>
      <c r="S1581" s="5">
        <v>685.2</v>
      </c>
      <c r="T1581" s="5">
        <v>691.8</v>
      </c>
      <c r="V1581" s="5">
        <v>684.86</v>
      </c>
      <c r="Y1581" s="5">
        <v>349339</v>
      </c>
      <c r="Z1581" s="5">
        <v>239461849.44999999</v>
      </c>
      <c r="AA1581" s="5">
        <v>17778</v>
      </c>
      <c r="AB1581" s="5" t="s">
        <v>85</v>
      </c>
      <c r="AC1581" s="5">
        <v>1</v>
      </c>
    </row>
    <row r="1582" spans="1:29" x14ac:dyDescent="0.3">
      <c r="A1582" s="34">
        <v>46274</v>
      </c>
      <c r="B1582" s="34">
        <v>46274</v>
      </c>
      <c r="C1582" s="5" t="s">
        <v>78</v>
      </c>
      <c r="D1582" s="5" t="s">
        <v>79</v>
      </c>
      <c r="E1582" s="5" t="s">
        <v>80</v>
      </c>
      <c r="F1582" s="5">
        <v>20071</v>
      </c>
      <c r="G1582" s="5" t="s">
        <v>4838</v>
      </c>
      <c r="H1582" s="5" t="s">
        <v>4839</v>
      </c>
      <c r="I1582" s="5" t="s">
        <v>212</v>
      </c>
      <c r="N1582" s="5" t="s">
        <v>4840</v>
      </c>
      <c r="O1582" s="5">
        <v>79.2</v>
      </c>
      <c r="P1582" s="5">
        <v>80.400000000000006</v>
      </c>
      <c r="Q1582" s="5">
        <v>78.55</v>
      </c>
      <c r="R1582" s="5">
        <v>78.959999999999994</v>
      </c>
      <c r="S1582" s="5">
        <v>78.650000000000006</v>
      </c>
      <c r="T1582" s="5">
        <v>79.66</v>
      </c>
      <c r="V1582" s="5">
        <v>78.87</v>
      </c>
      <c r="Y1582" s="5">
        <v>9042</v>
      </c>
      <c r="Z1582" s="5">
        <v>719103.33</v>
      </c>
      <c r="AA1582" s="5">
        <v>182</v>
      </c>
      <c r="AB1582" s="5" t="s">
        <v>85</v>
      </c>
      <c r="AC1582" s="5">
        <v>1</v>
      </c>
    </row>
    <row r="1583" spans="1:29" x14ac:dyDescent="0.3">
      <c r="A1583" s="34">
        <v>46274</v>
      </c>
      <c r="B1583" s="34">
        <v>46274</v>
      </c>
      <c r="C1583" s="5" t="s">
        <v>78</v>
      </c>
      <c r="D1583" s="5" t="s">
        <v>79</v>
      </c>
      <c r="E1583" s="5" t="s">
        <v>80</v>
      </c>
      <c r="F1583" s="5">
        <v>24909</v>
      </c>
      <c r="G1583" s="5" t="s">
        <v>4841</v>
      </c>
      <c r="H1583" s="5" t="s">
        <v>4842</v>
      </c>
      <c r="I1583" s="5" t="s">
        <v>212</v>
      </c>
      <c r="N1583" s="5" t="s">
        <v>4843</v>
      </c>
      <c r="O1583" s="5">
        <v>1759.9</v>
      </c>
      <c r="P1583" s="5">
        <v>1788</v>
      </c>
      <c r="Q1583" s="5">
        <v>1725</v>
      </c>
      <c r="R1583" s="5">
        <v>1761</v>
      </c>
      <c r="S1583" s="5">
        <v>1774</v>
      </c>
      <c r="T1583" s="5">
        <v>1753.5</v>
      </c>
      <c r="V1583" s="5">
        <v>1761.17</v>
      </c>
      <c r="Y1583" s="5">
        <v>69673</v>
      </c>
      <c r="Z1583" s="5">
        <v>122679497</v>
      </c>
      <c r="AA1583" s="5">
        <v>6881</v>
      </c>
      <c r="AB1583" s="5" t="s">
        <v>85</v>
      </c>
      <c r="AC1583" s="5">
        <v>1</v>
      </c>
    </row>
    <row r="1584" spans="1:29" x14ac:dyDescent="0.3">
      <c r="A1584" s="34">
        <v>46274</v>
      </c>
      <c r="B1584" s="34">
        <v>46274</v>
      </c>
      <c r="C1584" s="5" t="s">
        <v>78</v>
      </c>
      <c r="D1584" s="5" t="s">
        <v>79</v>
      </c>
      <c r="E1584" s="5" t="s">
        <v>80</v>
      </c>
      <c r="F1584" s="5">
        <v>11195</v>
      </c>
      <c r="G1584" s="5" t="s">
        <v>4844</v>
      </c>
      <c r="H1584" s="5" t="s">
        <v>4845</v>
      </c>
      <c r="I1584" s="5" t="s">
        <v>212</v>
      </c>
      <c r="N1584" s="5" t="s">
        <v>4846</v>
      </c>
      <c r="O1584" s="5">
        <v>4950</v>
      </c>
      <c r="P1584" s="5">
        <v>5009</v>
      </c>
      <c r="Q1584" s="5">
        <v>4950</v>
      </c>
      <c r="R1584" s="5">
        <v>4975</v>
      </c>
      <c r="S1584" s="5">
        <v>4975</v>
      </c>
      <c r="T1584" s="5">
        <v>5000</v>
      </c>
      <c r="V1584" s="5">
        <v>4974.92</v>
      </c>
      <c r="Y1584" s="5">
        <v>443075</v>
      </c>
      <c r="Z1584" s="5">
        <v>2208199791</v>
      </c>
      <c r="AA1584" s="5">
        <v>40546</v>
      </c>
      <c r="AB1584" s="5" t="s">
        <v>85</v>
      </c>
      <c r="AC1584" s="5">
        <v>1</v>
      </c>
    </row>
    <row r="1585" spans="1:29" x14ac:dyDescent="0.3">
      <c r="A1585" s="34">
        <v>46274</v>
      </c>
      <c r="B1585" s="34">
        <v>46274</v>
      </c>
      <c r="C1585" s="5" t="s">
        <v>78</v>
      </c>
      <c r="D1585" s="5" t="s">
        <v>79</v>
      </c>
      <c r="E1585" s="5" t="s">
        <v>80</v>
      </c>
      <c r="F1585" s="5">
        <v>22770</v>
      </c>
      <c r="G1585" s="5" t="s">
        <v>4847</v>
      </c>
      <c r="H1585" s="5" t="s">
        <v>4848</v>
      </c>
      <c r="I1585" s="5" t="s">
        <v>313</v>
      </c>
      <c r="N1585" s="5" t="s">
        <v>4849</v>
      </c>
      <c r="O1585" s="5">
        <v>148</v>
      </c>
      <c r="P1585" s="5">
        <v>157</v>
      </c>
      <c r="Q1585" s="5">
        <v>148</v>
      </c>
      <c r="R1585" s="5">
        <v>156</v>
      </c>
      <c r="S1585" s="5">
        <v>156</v>
      </c>
      <c r="T1585" s="5">
        <v>148</v>
      </c>
      <c r="V1585" s="5">
        <v>156</v>
      </c>
      <c r="Y1585" s="5">
        <v>2400</v>
      </c>
      <c r="Z1585" s="5">
        <v>370800</v>
      </c>
      <c r="AA1585" s="5">
        <v>4</v>
      </c>
      <c r="AB1585" s="5" t="s">
        <v>85</v>
      </c>
      <c r="AC1585" s="5">
        <v>600</v>
      </c>
    </row>
    <row r="1586" spans="1:29" x14ac:dyDescent="0.3">
      <c r="A1586" s="34">
        <v>46274</v>
      </c>
      <c r="B1586" s="34">
        <v>46274</v>
      </c>
      <c r="C1586" s="5" t="s">
        <v>78</v>
      </c>
      <c r="D1586" s="5" t="s">
        <v>79</v>
      </c>
      <c r="E1586" s="5" t="s">
        <v>80</v>
      </c>
      <c r="F1586" s="5">
        <v>5606</v>
      </c>
      <c r="G1586" s="5" t="s">
        <v>4850</v>
      </c>
      <c r="H1586" s="5" t="s">
        <v>4851</v>
      </c>
      <c r="I1586" s="5" t="s">
        <v>212</v>
      </c>
      <c r="N1586" s="5" t="s">
        <v>4852</v>
      </c>
      <c r="O1586" s="5">
        <v>79.58</v>
      </c>
      <c r="P1586" s="5">
        <v>79.58</v>
      </c>
      <c r="Q1586" s="5">
        <v>75.05</v>
      </c>
      <c r="R1586" s="5">
        <v>76.959999999999994</v>
      </c>
      <c r="S1586" s="5">
        <v>78</v>
      </c>
      <c r="T1586" s="5">
        <v>79.61</v>
      </c>
      <c r="V1586" s="5">
        <v>76.959999999999994</v>
      </c>
      <c r="Y1586" s="5">
        <v>88078</v>
      </c>
      <c r="Z1586" s="5">
        <v>6785847.1200000001</v>
      </c>
      <c r="AA1586" s="5">
        <v>2965</v>
      </c>
      <c r="AB1586" s="5" t="s">
        <v>85</v>
      </c>
      <c r="AC1586" s="5">
        <v>1</v>
      </c>
    </row>
    <row r="1587" spans="1:29" x14ac:dyDescent="0.3">
      <c r="A1587" s="34">
        <v>46274</v>
      </c>
      <c r="B1587" s="34">
        <v>46274</v>
      </c>
      <c r="C1587" s="5" t="s">
        <v>78</v>
      </c>
      <c r="D1587" s="5" t="s">
        <v>79</v>
      </c>
      <c r="E1587" s="5" t="s">
        <v>80</v>
      </c>
      <c r="F1587" s="5">
        <v>28378</v>
      </c>
      <c r="G1587" s="5" t="s">
        <v>4853</v>
      </c>
      <c r="H1587" s="5" t="s">
        <v>4854</v>
      </c>
      <c r="I1587" s="5" t="s">
        <v>212</v>
      </c>
      <c r="N1587" s="5" t="s">
        <v>4855</v>
      </c>
      <c r="O1587" s="5">
        <v>320</v>
      </c>
      <c r="P1587" s="5">
        <v>320</v>
      </c>
      <c r="Q1587" s="5">
        <v>309.3</v>
      </c>
      <c r="R1587" s="5">
        <v>311.5</v>
      </c>
      <c r="S1587" s="5">
        <v>311.85000000000002</v>
      </c>
      <c r="T1587" s="5">
        <v>318.10000000000002</v>
      </c>
      <c r="V1587" s="5">
        <v>311.49</v>
      </c>
      <c r="Y1587" s="5">
        <v>601837</v>
      </c>
      <c r="Z1587" s="5">
        <v>187692581.5</v>
      </c>
      <c r="AA1587" s="5">
        <v>40487</v>
      </c>
      <c r="AB1587" s="5" t="s">
        <v>85</v>
      </c>
      <c r="AC1587" s="5">
        <v>1</v>
      </c>
    </row>
    <row r="1588" spans="1:29" x14ac:dyDescent="0.3">
      <c r="A1588" s="34">
        <v>46274</v>
      </c>
      <c r="B1588" s="34">
        <v>46274</v>
      </c>
      <c r="C1588" s="5" t="s">
        <v>78</v>
      </c>
      <c r="D1588" s="5" t="s">
        <v>79</v>
      </c>
      <c r="E1588" s="5" t="s">
        <v>80</v>
      </c>
      <c r="F1588" s="5">
        <v>18479</v>
      </c>
      <c r="G1588" s="5" t="s">
        <v>4856</v>
      </c>
      <c r="H1588" s="5" t="s">
        <v>4857</v>
      </c>
      <c r="I1588" s="5" t="s">
        <v>212</v>
      </c>
      <c r="N1588" s="5" t="s">
        <v>4858</v>
      </c>
      <c r="O1588" s="5">
        <v>82.88</v>
      </c>
      <c r="P1588" s="5">
        <v>84.17</v>
      </c>
      <c r="Q1588" s="5">
        <v>80.75</v>
      </c>
      <c r="R1588" s="5">
        <v>82.55</v>
      </c>
      <c r="S1588" s="5">
        <v>82.75</v>
      </c>
      <c r="T1588" s="5">
        <v>82.34</v>
      </c>
      <c r="V1588" s="5">
        <v>82.55</v>
      </c>
      <c r="Y1588" s="5">
        <v>123639</v>
      </c>
      <c r="Z1588" s="5">
        <v>10076127.82</v>
      </c>
      <c r="AA1588" s="5">
        <v>1456</v>
      </c>
      <c r="AB1588" s="5" t="s">
        <v>85</v>
      </c>
      <c r="AC1588" s="5">
        <v>1</v>
      </c>
    </row>
    <row r="1589" spans="1:29" x14ac:dyDescent="0.3">
      <c r="A1589" s="34">
        <v>46274</v>
      </c>
      <c r="B1589" s="34">
        <v>46274</v>
      </c>
      <c r="C1589" s="5" t="s">
        <v>78</v>
      </c>
      <c r="D1589" s="5" t="s">
        <v>79</v>
      </c>
      <c r="E1589" s="5" t="s">
        <v>80</v>
      </c>
      <c r="F1589" s="5">
        <v>24870</v>
      </c>
      <c r="G1589" s="5" t="s">
        <v>4859</v>
      </c>
      <c r="H1589" s="5" t="s">
        <v>4860</v>
      </c>
      <c r="I1589" s="5" t="s">
        <v>212</v>
      </c>
      <c r="N1589" s="5" t="s">
        <v>4861</v>
      </c>
      <c r="O1589" s="5">
        <v>0.92</v>
      </c>
      <c r="P1589" s="5">
        <v>0.94</v>
      </c>
      <c r="Q1589" s="5">
        <v>0.9</v>
      </c>
      <c r="R1589" s="5">
        <v>0.91</v>
      </c>
      <c r="S1589" s="5">
        <v>0.92</v>
      </c>
      <c r="T1589" s="5">
        <v>0.92</v>
      </c>
      <c r="V1589" s="5">
        <v>0.91</v>
      </c>
      <c r="Y1589" s="5">
        <v>958648</v>
      </c>
      <c r="Z1589" s="5">
        <v>879215.2</v>
      </c>
      <c r="AA1589" s="5">
        <v>335</v>
      </c>
      <c r="AB1589" s="5" t="s">
        <v>85</v>
      </c>
      <c r="AC1589" s="5">
        <v>1</v>
      </c>
    </row>
    <row r="1590" spans="1:29" x14ac:dyDescent="0.3">
      <c r="A1590" s="34">
        <v>46274</v>
      </c>
      <c r="B1590" s="34">
        <v>46274</v>
      </c>
      <c r="C1590" s="5" t="s">
        <v>78</v>
      </c>
      <c r="D1590" s="5" t="s">
        <v>79</v>
      </c>
      <c r="E1590" s="5" t="s">
        <v>80</v>
      </c>
      <c r="F1590" s="5">
        <v>28125</v>
      </c>
      <c r="G1590" s="5" t="s">
        <v>4862</v>
      </c>
      <c r="H1590" s="5" t="s">
        <v>4863</v>
      </c>
      <c r="I1590" s="5" t="s">
        <v>212</v>
      </c>
      <c r="N1590" s="5" t="s">
        <v>4864</v>
      </c>
      <c r="O1590" s="5">
        <v>1789</v>
      </c>
      <c r="P1590" s="5">
        <v>1849</v>
      </c>
      <c r="Q1590" s="5">
        <v>1762.7</v>
      </c>
      <c r="R1590" s="5">
        <v>1792.1</v>
      </c>
      <c r="S1590" s="5">
        <v>1785.2</v>
      </c>
      <c r="T1590" s="5">
        <v>1780</v>
      </c>
      <c r="V1590" s="5">
        <v>1792.06</v>
      </c>
      <c r="Y1590" s="5">
        <v>206160</v>
      </c>
      <c r="Z1590" s="5">
        <v>371973194.80000001</v>
      </c>
      <c r="AA1590" s="5">
        <v>18051</v>
      </c>
      <c r="AB1590" s="5" t="s">
        <v>85</v>
      </c>
      <c r="AC1590" s="5">
        <v>1</v>
      </c>
    </row>
    <row r="1591" spans="1:29" x14ac:dyDescent="0.3">
      <c r="A1591" s="34">
        <v>46274</v>
      </c>
      <c r="B1591" s="34">
        <v>46274</v>
      </c>
      <c r="C1591" s="5" t="s">
        <v>78</v>
      </c>
      <c r="D1591" s="5" t="s">
        <v>79</v>
      </c>
      <c r="E1591" s="5" t="s">
        <v>80</v>
      </c>
      <c r="F1591" s="5">
        <v>18292</v>
      </c>
      <c r="G1591" s="5" t="s">
        <v>4865</v>
      </c>
      <c r="H1591" s="5" t="s">
        <v>4866</v>
      </c>
      <c r="I1591" s="5" t="s">
        <v>212</v>
      </c>
      <c r="N1591" s="5" t="s">
        <v>4867</v>
      </c>
      <c r="O1591" s="5">
        <v>132.9</v>
      </c>
      <c r="P1591" s="5">
        <v>133.4</v>
      </c>
      <c r="Q1591" s="5">
        <v>131.5</v>
      </c>
      <c r="R1591" s="5">
        <v>132.35</v>
      </c>
      <c r="S1591" s="5">
        <v>132</v>
      </c>
      <c r="T1591" s="5">
        <v>132.9</v>
      </c>
      <c r="V1591" s="5">
        <v>132.32</v>
      </c>
      <c r="Y1591" s="5">
        <v>9533</v>
      </c>
      <c r="Z1591" s="5">
        <v>1260321.8999999999</v>
      </c>
      <c r="AA1591" s="5">
        <v>247</v>
      </c>
      <c r="AB1591" s="5" t="s">
        <v>85</v>
      </c>
      <c r="AC1591" s="5">
        <v>1</v>
      </c>
    </row>
    <row r="1592" spans="1:29" x14ac:dyDescent="0.3">
      <c r="A1592" s="34">
        <v>46274</v>
      </c>
      <c r="B1592" s="34">
        <v>46274</v>
      </c>
      <c r="C1592" s="5" t="s">
        <v>78</v>
      </c>
      <c r="D1592" s="5" t="s">
        <v>79</v>
      </c>
      <c r="E1592" s="5" t="s">
        <v>80</v>
      </c>
      <c r="F1592" s="5">
        <v>24217</v>
      </c>
      <c r="G1592" s="5" t="s">
        <v>4868</v>
      </c>
      <c r="H1592" s="5" t="s">
        <v>4869</v>
      </c>
      <c r="I1592" s="5" t="s">
        <v>212</v>
      </c>
      <c r="N1592" s="5" t="s">
        <v>4870</v>
      </c>
      <c r="O1592" s="5">
        <v>270.47000000000003</v>
      </c>
      <c r="P1592" s="5">
        <v>270.92</v>
      </c>
      <c r="Q1592" s="5">
        <v>269.37</v>
      </c>
      <c r="R1592" s="5">
        <v>269.92</v>
      </c>
      <c r="S1592" s="5">
        <v>269.86</v>
      </c>
      <c r="T1592" s="5">
        <v>271.87</v>
      </c>
      <c r="V1592" s="5">
        <v>269.92</v>
      </c>
      <c r="Y1592" s="5">
        <v>238</v>
      </c>
      <c r="Z1592" s="5">
        <v>64350.59</v>
      </c>
      <c r="AA1592" s="5">
        <v>22</v>
      </c>
      <c r="AB1592" s="5" t="s">
        <v>85</v>
      </c>
      <c r="AC1592" s="5">
        <v>1</v>
      </c>
    </row>
    <row r="1593" spans="1:29" x14ac:dyDescent="0.3">
      <c r="A1593" s="34">
        <v>46274</v>
      </c>
      <c r="B1593" s="34">
        <v>46274</v>
      </c>
      <c r="C1593" s="5" t="s">
        <v>78</v>
      </c>
      <c r="D1593" s="5" t="s">
        <v>79</v>
      </c>
      <c r="E1593" s="5" t="s">
        <v>80</v>
      </c>
      <c r="F1593" s="5">
        <v>762725</v>
      </c>
      <c r="G1593" s="5" t="s">
        <v>4871</v>
      </c>
      <c r="H1593" s="5" t="s">
        <v>4872</v>
      </c>
      <c r="I1593" s="5" t="s">
        <v>234</v>
      </c>
      <c r="N1593" s="5" t="s">
        <v>4873</v>
      </c>
      <c r="O1593" s="5">
        <v>1351.3</v>
      </c>
      <c r="P1593" s="5">
        <v>1351.3</v>
      </c>
      <c r="Q1593" s="5">
        <v>1351.3</v>
      </c>
      <c r="R1593" s="5">
        <v>1351.3</v>
      </c>
      <c r="S1593" s="5">
        <v>1351.3</v>
      </c>
      <c r="T1593" s="5">
        <v>1324.9</v>
      </c>
      <c r="V1593" s="5">
        <v>1352.15</v>
      </c>
      <c r="Y1593" s="5">
        <v>562</v>
      </c>
      <c r="Z1593" s="5">
        <v>759430.6</v>
      </c>
      <c r="AA1593" s="5">
        <v>10</v>
      </c>
      <c r="AB1593" s="5" t="s">
        <v>85</v>
      </c>
      <c r="AC1593" s="5">
        <v>1</v>
      </c>
    </row>
    <row r="1594" spans="1:29" x14ac:dyDescent="0.3">
      <c r="A1594" s="34">
        <v>46274</v>
      </c>
      <c r="B1594" s="34">
        <v>46274</v>
      </c>
      <c r="C1594" s="5" t="s">
        <v>78</v>
      </c>
      <c r="D1594" s="5" t="s">
        <v>79</v>
      </c>
      <c r="E1594" s="5" t="s">
        <v>80</v>
      </c>
      <c r="F1594" s="5">
        <v>760139</v>
      </c>
      <c r="G1594" s="5" t="s">
        <v>4874</v>
      </c>
      <c r="H1594" s="5" t="s">
        <v>4875</v>
      </c>
      <c r="I1594" s="5" t="s">
        <v>313</v>
      </c>
      <c r="N1594" s="5" t="s">
        <v>4876</v>
      </c>
      <c r="O1594" s="5">
        <v>67.55</v>
      </c>
      <c r="P1594" s="5">
        <v>68</v>
      </c>
      <c r="Q1594" s="5">
        <v>66.75</v>
      </c>
      <c r="R1594" s="5">
        <v>68</v>
      </c>
      <c r="S1594" s="5">
        <v>68</v>
      </c>
      <c r="T1594" s="5">
        <v>67.5</v>
      </c>
      <c r="V1594" s="5">
        <v>68</v>
      </c>
      <c r="Y1594" s="5">
        <v>8000</v>
      </c>
      <c r="Z1594" s="5">
        <v>540560</v>
      </c>
      <c r="AA1594" s="5">
        <v>5</v>
      </c>
      <c r="AB1594" s="5" t="s">
        <v>85</v>
      </c>
      <c r="AC1594" s="5">
        <v>1600</v>
      </c>
    </row>
    <row r="1595" spans="1:29" x14ac:dyDescent="0.3">
      <c r="A1595" s="34">
        <v>46274</v>
      </c>
      <c r="B1595" s="34">
        <v>46274</v>
      </c>
      <c r="C1595" s="5" t="s">
        <v>78</v>
      </c>
      <c r="D1595" s="5" t="s">
        <v>79</v>
      </c>
      <c r="E1595" s="5" t="s">
        <v>80</v>
      </c>
      <c r="F1595" s="5">
        <v>20413</v>
      </c>
      <c r="G1595" s="5" t="s">
        <v>4877</v>
      </c>
      <c r="H1595" s="5" t="s">
        <v>4878</v>
      </c>
      <c r="I1595" s="5" t="s">
        <v>212</v>
      </c>
      <c r="N1595" s="5" t="s">
        <v>4879</v>
      </c>
      <c r="O1595" s="5">
        <v>210.63</v>
      </c>
      <c r="P1595" s="5">
        <v>216.4</v>
      </c>
      <c r="Q1595" s="5">
        <v>206.55</v>
      </c>
      <c r="R1595" s="5">
        <v>209.29</v>
      </c>
      <c r="S1595" s="5">
        <v>209.9</v>
      </c>
      <c r="T1595" s="5">
        <v>210.98</v>
      </c>
      <c r="V1595" s="5">
        <v>209.33</v>
      </c>
      <c r="Y1595" s="5">
        <v>4527415</v>
      </c>
      <c r="Z1595" s="5">
        <v>954977558.21000004</v>
      </c>
      <c r="AA1595" s="5">
        <v>43838</v>
      </c>
      <c r="AB1595" s="5" t="s">
        <v>85</v>
      </c>
      <c r="AC1595" s="5">
        <v>1</v>
      </c>
    </row>
    <row r="1596" spans="1:29" x14ac:dyDescent="0.3">
      <c r="A1596" s="34">
        <v>46274</v>
      </c>
      <c r="B1596" s="34">
        <v>46274</v>
      </c>
      <c r="C1596" s="5" t="s">
        <v>78</v>
      </c>
      <c r="D1596" s="5" t="s">
        <v>79</v>
      </c>
      <c r="E1596" s="5" t="s">
        <v>80</v>
      </c>
      <c r="F1596" s="5">
        <v>1630</v>
      </c>
      <c r="G1596" s="5" t="s">
        <v>4880</v>
      </c>
      <c r="H1596" s="5" t="s">
        <v>4881</v>
      </c>
      <c r="I1596" s="5" t="s">
        <v>212</v>
      </c>
      <c r="N1596" s="5" t="s">
        <v>4882</v>
      </c>
      <c r="O1596" s="5">
        <v>430</v>
      </c>
      <c r="P1596" s="5">
        <v>444</v>
      </c>
      <c r="Q1596" s="5">
        <v>429</v>
      </c>
      <c r="R1596" s="5">
        <v>437.45</v>
      </c>
      <c r="S1596" s="5">
        <v>435</v>
      </c>
      <c r="T1596" s="5">
        <v>431.75</v>
      </c>
      <c r="V1596" s="5">
        <v>437.58</v>
      </c>
      <c r="Y1596" s="5">
        <v>786019</v>
      </c>
      <c r="Z1596" s="5">
        <v>344520108.69999999</v>
      </c>
      <c r="AA1596" s="5">
        <v>32431</v>
      </c>
      <c r="AB1596" s="5" t="s">
        <v>85</v>
      </c>
      <c r="AC1596" s="5">
        <v>1</v>
      </c>
    </row>
    <row r="1597" spans="1:29" x14ac:dyDescent="0.3">
      <c r="A1597" s="34">
        <v>46274</v>
      </c>
      <c r="B1597" s="34">
        <v>46274</v>
      </c>
      <c r="C1597" s="5" t="s">
        <v>78</v>
      </c>
      <c r="D1597" s="5" t="s">
        <v>79</v>
      </c>
      <c r="E1597" s="5" t="s">
        <v>80</v>
      </c>
      <c r="F1597" s="5">
        <v>764713</v>
      </c>
      <c r="G1597" s="5" t="s">
        <v>4883</v>
      </c>
      <c r="H1597" s="5" t="s">
        <v>4884</v>
      </c>
      <c r="I1597" s="5" t="s">
        <v>212</v>
      </c>
      <c r="N1597" s="5" t="s">
        <v>4885</v>
      </c>
      <c r="O1597" s="5">
        <v>155</v>
      </c>
      <c r="P1597" s="5">
        <v>167.78</v>
      </c>
      <c r="Q1597" s="5">
        <v>152.5</v>
      </c>
      <c r="R1597" s="5">
        <v>153.38999999999999</v>
      </c>
      <c r="S1597" s="5">
        <v>152.5</v>
      </c>
      <c r="T1597" s="5">
        <v>155</v>
      </c>
      <c r="V1597" s="5">
        <v>153.38999999999999</v>
      </c>
      <c r="Y1597" s="5">
        <v>4748</v>
      </c>
      <c r="Z1597" s="5">
        <v>754707.81</v>
      </c>
      <c r="AA1597" s="5">
        <v>152</v>
      </c>
      <c r="AB1597" s="5" t="s">
        <v>85</v>
      </c>
      <c r="AC1597" s="5">
        <v>1</v>
      </c>
    </row>
    <row r="1598" spans="1:29" x14ac:dyDescent="0.3">
      <c r="A1598" s="34">
        <v>46274</v>
      </c>
      <c r="B1598" s="34">
        <v>46274</v>
      </c>
      <c r="C1598" s="5" t="s">
        <v>78</v>
      </c>
      <c r="D1598" s="5" t="s">
        <v>79</v>
      </c>
      <c r="E1598" s="5" t="s">
        <v>80</v>
      </c>
      <c r="F1598" s="5">
        <v>1633</v>
      </c>
      <c r="G1598" s="5" t="s">
        <v>4886</v>
      </c>
      <c r="H1598" s="5" t="s">
        <v>4887</v>
      </c>
      <c r="I1598" s="5" t="s">
        <v>212</v>
      </c>
      <c r="N1598" s="5" t="s">
        <v>4888</v>
      </c>
      <c r="O1598" s="5">
        <v>1956</v>
      </c>
      <c r="P1598" s="5">
        <v>1983.5</v>
      </c>
      <c r="Q1598" s="5">
        <v>1948</v>
      </c>
      <c r="R1598" s="5">
        <v>1963.6</v>
      </c>
      <c r="S1598" s="5">
        <v>1955.9</v>
      </c>
      <c r="T1598" s="5">
        <v>1967.2</v>
      </c>
      <c r="V1598" s="5">
        <v>1963.61</v>
      </c>
      <c r="Y1598" s="5">
        <v>126119</v>
      </c>
      <c r="Z1598" s="5">
        <v>247635819.80000001</v>
      </c>
      <c r="AA1598" s="5">
        <v>20437</v>
      </c>
      <c r="AB1598" s="5" t="s">
        <v>85</v>
      </c>
      <c r="AC1598" s="5">
        <v>1</v>
      </c>
    </row>
    <row r="1599" spans="1:29" x14ac:dyDescent="0.3">
      <c r="A1599" s="34">
        <v>46274</v>
      </c>
      <c r="B1599" s="34">
        <v>46274</v>
      </c>
      <c r="C1599" s="5" t="s">
        <v>78</v>
      </c>
      <c r="D1599" s="5" t="s">
        <v>79</v>
      </c>
      <c r="E1599" s="5" t="s">
        <v>80</v>
      </c>
      <c r="F1599" s="5">
        <v>15313</v>
      </c>
      <c r="G1599" s="5" t="s">
        <v>4889</v>
      </c>
      <c r="H1599" s="5" t="s">
        <v>4890</v>
      </c>
      <c r="I1599" s="5" t="s">
        <v>212</v>
      </c>
      <c r="N1599" s="5" t="s">
        <v>4891</v>
      </c>
      <c r="O1599" s="5">
        <v>19.190000000000001</v>
      </c>
      <c r="P1599" s="5">
        <v>19.239999999999998</v>
      </c>
      <c r="Q1599" s="5">
        <v>19.05</v>
      </c>
      <c r="R1599" s="5">
        <v>19.07</v>
      </c>
      <c r="S1599" s="5">
        <v>19.059999999999999</v>
      </c>
      <c r="T1599" s="5">
        <v>19.25</v>
      </c>
      <c r="V1599" s="5">
        <v>19.07</v>
      </c>
      <c r="Y1599" s="5">
        <v>5123857</v>
      </c>
      <c r="Z1599" s="5">
        <v>97908320.239999995</v>
      </c>
      <c r="AA1599" s="5">
        <v>11655</v>
      </c>
      <c r="AB1599" s="5" t="s">
        <v>85</v>
      </c>
      <c r="AC1599" s="5">
        <v>1</v>
      </c>
    </row>
    <row r="1600" spans="1:29" x14ac:dyDescent="0.3">
      <c r="A1600" s="34">
        <v>46274</v>
      </c>
      <c r="B1600" s="34">
        <v>46274</v>
      </c>
      <c r="C1600" s="5" t="s">
        <v>78</v>
      </c>
      <c r="D1600" s="5" t="s">
        <v>79</v>
      </c>
      <c r="E1600" s="5" t="s">
        <v>80</v>
      </c>
      <c r="F1600" s="5">
        <v>20817</v>
      </c>
      <c r="G1600" s="5" t="s">
        <v>4892</v>
      </c>
      <c r="H1600" s="5" t="s">
        <v>4893</v>
      </c>
      <c r="I1600" s="5" t="s">
        <v>822</v>
      </c>
      <c r="N1600" s="5" t="s">
        <v>4894</v>
      </c>
      <c r="O1600" s="5">
        <v>64.400000000000006</v>
      </c>
      <c r="P1600" s="5">
        <v>64.959999999999994</v>
      </c>
      <c r="Q1600" s="5">
        <v>64.400000000000006</v>
      </c>
      <c r="R1600" s="5">
        <v>64.53</v>
      </c>
      <c r="S1600" s="5">
        <v>64.67</v>
      </c>
      <c r="T1600" s="5">
        <v>64.849999999999994</v>
      </c>
      <c r="V1600" s="5">
        <v>64.53</v>
      </c>
      <c r="Y1600" s="5">
        <v>304082</v>
      </c>
      <c r="Z1600" s="5">
        <v>19642317.75</v>
      </c>
      <c r="AA1600" s="5">
        <v>3706</v>
      </c>
      <c r="AB1600" s="5" t="s">
        <v>85</v>
      </c>
      <c r="AC1600" s="5">
        <v>1</v>
      </c>
    </row>
    <row r="1601" spans="1:29" x14ac:dyDescent="0.3">
      <c r="A1601" s="34">
        <v>46274</v>
      </c>
      <c r="B1601" s="34">
        <v>46274</v>
      </c>
      <c r="C1601" s="5" t="s">
        <v>78</v>
      </c>
      <c r="D1601" s="5" t="s">
        <v>79</v>
      </c>
      <c r="E1601" s="5" t="s">
        <v>80</v>
      </c>
      <c r="F1601" s="5">
        <v>4986</v>
      </c>
      <c r="G1601" s="5" t="s">
        <v>4895</v>
      </c>
      <c r="H1601" s="5" t="s">
        <v>4896</v>
      </c>
      <c r="I1601" s="5" t="s">
        <v>212</v>
      </c>
      <c r="N1601" s="5" t="s">
        <v>4897</v>
      </c>
      <c r="O1601" s="5">
        <v>116.53</v>
      </c>
      <c r="P1601" s="5">
        <v>117.45</v>
      </c>
      <c r="Q1601" s="5">
        <v>115</v>
      </c>
      <c r="R1601" s="5">
        <v>115.08</v>
      </c>
      <c r="S1601" s="5">
        <v>115.05</v>
      </c>
      <c r="T1601" s="5">
        <v>116.89</v>
      </c>
      <c r="V1601" s="5">
        <v>115.08</v>
      </c>
      <c r="Y1601" s="5">
        <v>1372933</v>
      </c>
      <c r="Z1601" s="5">
        <v>159204450.27000001</v>
      </c>
      <c r="AA1601" s="5">
        <v>17836</v>
      </c>
      <c r="AB1601" s="5" t="s">
        <v>85</v>
      </c>
      <c r="AC1601" s="5">
        <v>1</v>
      </c>
    </row>
    <row r="1602" spans="1:29" x14ac:dyDescent="0.3">
      <c r="A1602" s="34">
        <v>46274</v>
      </c>
      <c r="B1602" s="34">
        <v>46274</v>
      </c>
      <c r="C1602" s="5" t="s">
        <v>78</v>
      </c>
      <c r="D1602" s="5" t="s">
        <v>79</v>
      </c>
      <c r="E1602" s="5" t="s">
        <v>80</v>
      </c>
      <c r="F1602" s="5">
        <v>1391</v>
      </c>
      <c r="G1602" s="5" t="s">
        <v>4898</v>
      </c>
      <c r="H1602" s="5" t="s">
        <v>4899</v>
      </c>
      <c r="I1602" s="5" t="s">
        <v>254</v>
      </c>
      <c r="N1602" s="5" t="s">
        <v>4900</v>
      </c>
      <c r="O1602" s="5">
        <v>1133.98</v>
      </c>
      <c r="P1602" s="5">
        <v>1133.99</v>
      </c>
      <c r="Q1602" s="5">
        <v>1114</v>
      </c>
      <c r="R1602" s="5">
        <v>1129</v>
      </c>
      <c r="S1602" s="5">
        <v>1129</v>
      </c>
      <c r="T1602" s="5">
        <v>1124</v>
      </c>
      <c r="V1602" s="5">
        <v>1121.1099999999999</v>
      </c>
      <c r="Y1602" s="5">
        <v>1113</v>
      </c>
      <c r="Z1602" s="5">
        <v>1259541.8400000001</v>
      </c>
      <c r="AA1602" s="5">
        <v>8</v>
      </c>
      <c r="AB1602" s="5" t="s">
        <v>85</v>
      </c>
      <c r="AC1602" s="5">
        <v>1</v>
      </c>
    </row>
    <row r="1603" spans="1:29" x14ac:dyDescent="0.3">
      <c r="A1603" s="34">
        <v>46274</v>
      </c>
      <c r="B1603" s="34">
        <v>46274</v>
      </c>
      <c r="C1603" s="5" t="s">
        <v>78</v>
      </c>
      <c r="D1603" s="5" t="s">
        <v>79</v>
      </c>
      <c r="E1603" s="5" t="s">
        <v>80</v>
      </c>
      <c r="F1603" s="5">
        <v>1393</v>
      </c>
      <c r="G1603" s="5" t="s">
        <v>4901</v>
      </c>
      <c r="H1603" s="5" t="s">
        <v>4902</v>
      </c>
      <c r="I1603" s="5" t="s">
        <v>277</v>
      </c>
      <c r="N1603" s="5" t="s">
        <v>4903</v>
      </c>
      <c r="O1603" s="5">
        <v>1250</v>
      </c>
      <c r="P1603" s="5">
        <v>1250</v>
      </c>
      <c r="Q1603" s="5">
        <v>1245</v>
      </c>
      <c r="R1603" s="5">
        <v>1245</v>
      </c>
      <c r="S1603" s="5">
        <v>1245</v>
      </c>
      <c r="T1603" s="5">
        <v>1250</v>
      </c>
      <c r="V1603" s="5">
        <v>1250</v>
      </c>
      <c r="Y1603" s="5">
        <v>100</v>
      </c>
      <c r="Z1603" s="5">
        <v>124510</v>
      </c>
      <c r="AA1603" s="5">
        <v>2</v>
      </c>
      <c r="AB1603" s="5" t="s">
        <v>85</v>
      </c>
      <c r="AC1603" s="5">
        <v>1</v>
      </c>
    </row>
    <row r="1604" spans="1:29" x14ac:dyDescent="0.3">
      <c r="A1604" s="34">
        <v>46274</v>
      </c>
      <c r="B1604" s="34">
        <v>46274</v>
      </c>
      <c r="C1604" s="5" t="s">
        <v>78</v>
      </c>
      <c r="D1604" s="5" t="s">
        <v>79</v>
      </c>
      <c r="E1604" s="5" t="s">
        <v>80</v>
      </c>
      <c r="F1604" s="5">
        <v>2275</v>
      </c>
      <c r="G1604" s="5" t="s">
        <v>4904</v>
      </c>
      <c r="H1604" s="5" t="s">
        <v>4905</v>
      </c>
      <c r="I1604" s="5" t="s">
        <v>212</v>
      </c>
      <c r="N1604" s="5" t="s">
        <v>4906</v>
      </c>
      <c r="O1604" s="5">
        <v>62.03</v>
      </c>
      <c r="P1604" s="5">
        <v>62.58</v>
      </c>
      <c r="Q1604" s="5">
        <v>60.61</v>
      </c>
      <c r="R1604" s="5">
        <v>61.3</v>
      </c>
      <c r="S1604" s="5">
        <v>62.15</v>
      </c>
      <c r="T1604" s="5">
        <v>61.62</v>
      </c>
      <c r="V1604" s="5">
        <v>61.3</v>
      </c>
      <c r="Y1604" s="5">
        <v>528736</v>
      </c>
      <c r="Z1604" s="5">
        <v>32524069.129999999</v>
      </c>
      <c r="AA1604" s="5">
        <v>1918</v>
      </c>
      <c r="AB1604" s="5" t="s">
        <v>85</v>
      </c>
      <c r="AC1604" s="5">
        <v>1</v>
      </c>
    </row>
    <row r="1605" spans="1:29" x14ac:dyDescent="0.3">
      <c r="A1605" s="34">
        <v>46274</v>
      </c>
      <c r="B1605" s="34">
        <v>46274</v>
      </c>
      <c r="C1605" s="5" t="s">
        <v>78</v>
      </c>
      <c r="D1605" s="5" t="s">
        <v>79</v>
      </c>
      <c r="E1605" s="5" t="s">
        <v>80</v>
      </c>
      <c r="F1605" s="5">
        <v>6489</v>
      </c>
      <c r="G1605" s="5" t="s">
        <v>4907</v>
      </c>
      <c r="H1605" s="5" t="s">
        <v>4908</v>
      </c>
      <c r="I1605" s="5" t="s">
        <v>212</v>
      </c>
      <c r="N1605" s="5" t="s">
        <v>4909</v>
      </c>
      <c r="O1605" s="5">
        <v>257.8</v>
      </c>
      <c r="P1605" s="5">
        <v>257.8</v>
      </c>
      <c r="Q1605" s="5">
        <v>249.83</v>
      </c>
      <c r="R1605" s="5">
        <v>253.91</v>
      </c>
      <c r="S1605" s="5">
        <v>251.5</v>
      </c>
      <c r="T1605" s="5">
        <v>254.67</v>
      </c>
      <c r="V1605" s="5">
        <v>253.7</v>
      </c>
      <c r="Y1605" s="5">
        <v>16457</v>
      </c>
      <c r="Z1605" s="5">
        <v>4162133.51</v>
      </c>
      <c r="AA1605" s="5">
        <v>906</v>
      </c>
      <c r="AB1605" s="5" t="s">
        <v>85</v>
      </c>
      <c r="AC1605" s="5">
        <v>1</v>
      </c>
    </row>
    <row r="1606" spans="1:29" x14ac:dyDescent="0.3">
      <c r="A1606" s="34">
        <v>46274</v>
      </c>
      <c r="B1606" s="34">
        <v>46274</v>
      </c>
      <c r="C1606" s="5" t="s">
        <v>78</v>
      </c>
      <c r="D1606" s="5" t="s">
        <v>79</v>
      </c>
      <c r="E1606" s="5" t="s">
        <v>80</v>
      </c>
      <c r="F1606" s="5">
        <v>19597</v>
      </c>
      <c r="G1606" s="5" t="s">
        <v>4910</v>
      </c>
      <c r="H1606" s="5" t="s">
        <v>4911</v>
      </c>
      <c r="I1606" s="5" t="s">
        <v>212</v>
      </c>
      <c r="N1606" s="5" t="s">
        <v>4912</v>
      </c>
      <c r="O1606" s="5">
        <v>282.3</v>
      </c>
      <c r="P1606" s="5">
        <v>285.85000000000002</v>
      </c>
      <c r="Q1606" s="5">
        <v>281</v>
      </c>
      <c r="R1606" s="5">
        <v>282.85000000000002</v>
      </c>
      <c r="S1606" s="5">
        <v>284.45</v>
      </c>
      <c r="T1606" s="5">
        <v>282.25</v>
      </c>
      <c r="V1606" s="5">
        <v>282.85000000000002</v>
      </c>
      <c r="Y1606" s="5">
        <v>58949</v>
      </c>
      <c r="Z1606" s="5">
        <v>16696229.75</v>
      </c>
      <c r="AA1606" s="5">
        <v>2729</v>
      </c>
      <c r="AB1606" s="5" t="s">
        <v>85</v>
      </c>
      <c r="AC1606" s="5">
        <v>1</v>
      </c>
    </row>
    <row r="1607" spans="1:29" x14ac:dyDescent="0.3">
      <c r="A1607" s="34">
        <v>46274</v>
      </c>
      <c r="B1607" s="34">
        <v>46274</v>
      </c>
      <c r="C1607" s="5" t="s">
        <v>78</v>
      </c>
      <c r="D1607" s="5" t="s">
        <v>79</v>
      </c>
      <c r="E1607" s="5" t="s">
        <v>80</v>
      </c>
      <c r="F1607" s="5">
        <v>760901</v>
      </c>
      <c r="G1607" s="5" t="s">
        <v>4913</v>
      </c>
      <c r="H1607" s="5" t="s">
        <v>4914</v>
      </c>
      <c r="I1607" s="5" t="s">
        <v>580</v>
      </c>
      <c r="N1607" s="5" t="s">
        <v>4915</v>
      </c>
      <c r="O1607" s="5">
        <v>9500</v>
      </c>
      <c r="P1607" s="5">
        <v>9880.66</v>
      </c>
      <c r="Q1607" s="5">
        <v>9500</v>
      </c>
      <c r="R1607" s="5">
        <v>9880.66</v>
      </c>
      <c r="S1607" s="5">
        <v>9880.66</v>
      </c>
      <c r="T1607" s="5">
        <v>9500</v>
      </c>
      <c r="V1607" s="5">
        <v>9880.66</v>
      </c>
      <c r="Y1607" s="5">
        <v>13</v>
      </c>
      <c r="Z1607" s="5">
        <v>126803.3</v>
      </c>
      <c r="AA1607" s="5">
        <v>4</v>
      </c>
      <c r="AB1607" s="5" t="s">
        <v>85</v>
      </c>
      <c r="AC1607" s="5">
        <v>1</v>
      </c>
    </row>
    <row r="1608" spans="1:29" x14ac:dyDescent="0.3">
      <c r="A1608" s="34">
        <v>46274</v>
      </c>
      <c r="B1608" s="34">
        <v>46274</v>
      </c>
      <c r="C1608" s="5" t="s">
        <v>78</v>
      </c>
      <c r="D1608" s="5" t="s">
        <v>79</v>
      </c>
      <c r="E1608" s="5" t="s">
        <v>80</v>
      </c>
      <c r="F1608" s="5">
        <v>761208</v>
      </c>
      <c r="G1608" s="5" t="s">
        <v>4916</v>
      </c>
      <c r="H1608" s="5" t="s">
        <v>4917</v>
      </c>
      <c r="I1608" s="5" t="s">
        <v>580</v>
      </c>
      <c r="N1608" s="5" t="s">
        <v>4918</v>
      </c>
      <c r="O1608" s="5">
        <v>9799.9500000000007</v>
      </c>
      <c r="P1608" s="5">
        <v>9799.9500000000007</v>
      </c>
      <c r="Q1608" s="5">
        <v>9786</v>
      </c>
      <c r="R1608" s="5">
        <v>9786</v>
      </c>
      <c r="S1608" s="5">
        <v>9786</v>
      </c>
      <c r="T1608" s="5">
        <v>9785</v>
      </c>
      <c r="V1608" s="5">
        <v>9786</v>
      </c>
      <c r="Y1608" s="5">
        <v>8</v>
      </c>
      <c r="Z1608" s="5">
        <v>78301.95</v>
      </c>
      <c r="AA1608" s="5">
        <v>3</v>
      </c>
      <c r="AB1608" s="5" t="s">
        <v>85</v>
      </c>
      <c r="AC1608" s="5">
        <v>1</v>
      </c>
    </row>
    <row r="1609" spans="1:29" x14ac:dyDescent="0.3">
      <c r="A1609" s="34">
        <v>46274</v>
      </c>
      <c r="B1609" s="34">
        <v>46274</v>
      </c>
      <c r="C1609" s="5" t="s">
        <v>78</v>
      </c>
      <c r="D1609" s="5" t="s">
        <v>79</v>
      </c>
      <c r="E1609" s="5" t="s">
        <v>80</v>
      </c>
      <c r="F1609" s="5">
        <v>757708</v>
      </c>
      <c r="G1609" s="5" t="s">
        <v>4919</v>
      </c>
      <c r="H1609" s="5" t="s">
        <v>4920</v>
      </c>
      <c r="I1609" s="5" t="s">
        <v>580</v>
      </c>
      <c r="N1609" s="5" t="s">
        <v>4921</v>
      </c>
      <c r="O1609" s="5">
        <v>9870</v>
      </c>
      <c r="P1609" s="5">
        <v>9870</v>
      </c>
      <c r="Q1609" s="5">
        <v>9870</v>
      </c>
      <c r="R1609" s="5">
        <v>9870</v>
      </c>
      <c r="S1609" s="5">
        <v>9870</v>
      </c>
      <c r="T1609" s="5">
        <v>9955</v>
      </c>
      <c r="V1609" s="5">
        <v>9870</v>
      </c>
      <c r="Y1609" s="5">
        <v>10</v>
      </c>
      <c r="Z1609" s="5">
        <v>98700</v>
      </c>
      <c r="AA1609" s="5">
        <v>1</v>
      </c>
      <c r="AB1609" s="5" t="s">
        <v>85</v>
      </c>
      <c r="AC1609" s="5">
        <v>1</v>
      </c>
    </row>
    <row r="1610" spans="1:29" x14ac:dyDescent="0.3">
      <c r="A1610" s="34">
        <v>46274</v>
      </c>
      <c r="B1610" s="34">
        <v>46274</v>
      </c>
      <c r="C1610" s="5" t="s">
        <v>78</v>
      </c>
      <c r="D1610" s="5" t="s">
        <v>79</v>
      </c>
      <c r="E1610" s="5" t="s">
        <v>80</v>
      </c>
      <c r="F1610" s="5">
        <v>757890</v>
      </c>
      <c r="G1610" s="5" t="s">
        <v>4922</v>
      </c>
      <c r="H1610" s="5" t="s">
        <v>4923</v>
      </c>
      <c r="I1610" s="5" t="s">
        <v>580</v>
      </c>
      <c r="N1610" s="5" t="s">
        <v>4924</v>
      </c>
      <c r="O1610" s="5">
        <v>99000</v>
      </c>
      <c r="P1610" s="5">
        <v>99000</v>
      </c>
      <c r="Q1610" s="5">
        <v>99000</v>
      </c>
      <c r="R1610" s="5">
        <v>99000</v>
      </c>
      <c r="S1610" s="5">
        <v>99000</v>
      </c>
      <c r="T1610" s="5">
        <v>99000</v>
      </c>
      <c r="V1610" s="5">
        <v>99000</v>
      </c>
      <c r="Y1610" s="5">
        <v>1</v>
      </c>
      <c r="Z1610" s="5">
        <v>99000</v>
      </c>
      <c r="AA1610" s="5">
        <v>1</v>
      </c>
      <c r="AB1610" s="5" t="s">
        <v>85</v>
      </c>
      <c r="AC1610" s="5">
        <v>1</v>
      </c>
    </row>
    <row r="1611" spans="1:29" x14ac:dyDescent="0.3">
      <c r="A1611" s="34">
        <v>46274</v>
      </c>
      <c r="B1611" s="34">
        <v>46274</v>
      </c>
      <c r="C1611" s="5" t="s">
        <v>78</v>
      </c>
      <c r="D1611" s="5" t="s">
        <v>79</v>
      </c>
      <c r="E1611" s="5" t="s">
        <v>80</v>
      </c>
      <c r="F1611" s="5">
        <v>3329</v>
      </c>
      <c r="G1611" s="5" t="s">
        <v>4925</v>
      </c>
      <c r="H1611" s="5" t="s">
        <v>4926</v>
      </c>
      <c r="I1611" s="5" t="s">
        <v>212</v>
      </c>
      <c r="N1611" s="5" t="s">
        <v>4927</v>
      </c>
      <c r="O1611" s="5">
        <v>782.4</v>
      </c>
      <c r="P1611" s="5">
        <v>790</v>
      </c>
      <c r="Q1611" s="5">
        <v>774.55</v>
      </c>
      <c r="R1611" s="5">
        <v>784.55</v>
      </c>
      <c r="S1611" s="5">
        <v>785</v>
      </c>
      <c r="T1611" s="5">
        <v>782.4</v>
      </c>
      <c r="V1611" s="5">
        <v>784.81</v>
      </c>
      <c r="Y1611" s="5">
        <v>16428</v>
      </c>
      <c r="Z1611" s="5">
        <v>12893426.699999999</v>
      </c>
      <c r="AA1611" s="5">
        <v>1926</v>
      </c>
      <c r="AB1611" s="5" t="s">
        <v>85</v>
      </c>
      <c r="AC1611" s="5">
        <v>1</v>
      </c>
    </row>
    <row r="1612" spans="1:29" x14ac:dyDescent="0.3">
      <c r="A1612" s="34">
        <v>46274</v>
      </c>
      <c r="B1612" s="34">
        <v>46274</v>
      </c>
      <c r="C1612" s="5" t="s">
        <v>78</v>
      </c>
      <c r="D1612" s="5" t="s">
        <v>79</v>
      </c>
      <c r="E1612" s="5" t="s">
        <v>80</v>
      </c>
      <c r="F1612" s="5">
        <v>30249</v>
      </c>
      <c r="G1612" s="5" t="s">
        <v>4928</v>
      </c>
      <c r="H1612" s="5" t="s">
        <v>4929</v>
      </c>
      <c r="I1612" s="5" t="s">
        <v>212</v>
      </c>
      <c r="N1612" s="5" t="s">
        <v>4930</v>
      </c>
      <c r="O1612" s="5">
        <v>44.89</v>
      </c>
      <c r="P1612" s="5">
        <v>45.48</v>
      </c>
      <c r="Q1612" s="5">
        <v>43.41</v>
      </c>
      <c r="R1612" s="5">
        <v>44.82</v>
      </c>
      <c r="S1612" s="5">
        <v>44.98</v>
      </c>
      <c r="T1612" s="5">
        <v>44.32</v>
      </c>
      <c r="V1612" s="5">
        <v>44.81</v>
      </c>
      <c r="Y1612" s="5">
        <v>22626</v>
      </c>
      <c r="Z1612" s="5">
        <v>1014619.11</v>
      </c>
      <c r="AA1612" s="5">
        <v>486</v>
      </c>
      <c r="AB1612" s="5" t="s">
        <v>85</v>
      </c>
      <c r="AC1612" s="5">
        <v>1</v>
      </c>
    </row>
    <row r="1613" spans="1:29" x14ac:dyDescent="0.3">
      <c r="A1613" s="34">
        <v>46274</v>
      </c>
      <c r="B1613" s="34">
        <v>46274</v>
      </c>
      <c r="C1613" s="5" t="s">
        <v>78</v>
      </c>
      <c r="D1613" s="5" t="s">
        <v>79</v>
      </c>
      <c r="E1613" s="5" t="s">
        <v>80</v>
      </c>
      <c r="F1613" s="5">
        <v>10995</v>
      </c>
      <c r="G1613" s="5" t="s">
        <v>4931</v>
      </c>
      <c r="H1613" s="5" t="s">
        <v>4932</v>
      </c>
      <c r="I1613" s="5" t="s">
        <v>313</v>
      </c>
      <c r="N1613" s="5" t="s">
        <v>4933</v>
      </c>
      <c r="O1613" s="5">
        <v>0.5</v>
      </c>
      <c r="P1613" s="5">
        <v>0.5</v>
      </c>
      <c r="Q1613" s="5">
        <v>0.5</v>
      </c>
      <c r="R1613" s="5">
        <v>0.5</v>
      </c>
      <c r="S1613" s="5">
        <v>0.5</v>
      </c>
      <c r="T1613" s="5">
        <v>0.55000000000000004</v>
      </c>
      <c r="V1613" s="5">
        <v>0.5</v>
      </c>
      <c r="Y1613" s="5">
        <v>96000</v>
      </c>
      <c r="Z1613" s="5">
        <v>48000</v>
      </c>
      <c r="AA1613" s="5">
        <v>2</v>
      </c>
      <c r="AB1613" s="5" t="s">
        <v>85</v>
      </c>
      <c r="AC1613" s="5">
        <v>48000</v>
      </c>
    </row>
    <row r="1614" spans="1:29" x14ac:dyDescent="0.3">
      <c r="A1614" s="34">
        <v>46274</v>
      </c>
      <c r="B1614" s="34">
        <v>46274</v>
      </c>
      <c r="C1614" s="5" t="s">
        <v>78</v>
      </c>
      <c r="D1614" s="5" t="s">
        <v>79</v>
      </c>
      <c r="E1614" s="5" t="s">
        <v>80</v>
      </c>
      <c r="F1614" s="5">
        <v>22645</v>
      </c>
      <c r="G1614" s="5" t="s">
        <v>4934</v>
      </c>
      <c r="H1614" s="5" t="s">
        <v>4935</v>
      </c>
      <c r="I1614" s="5" t="s">
        <v>313</v>
      </c>
      <c r="N1614" s="5" t="s">
        <v>4936</v>
      </c>
      <c r="O1614" s="5">
        <v>31.95</v>
      </c>
      <c r="P1614" s="5">
        <v>32</v>
      </c>
      <c r="Q1614" s="5">
        <v>31.95</v>
      </c>
      <c r="R1614" s="5">
        <v>32</v>
      </c>
      <c r="S1614" s="5">
        <v>32</v>
      </c>
      <c r="T1614" s="5">
        <v>30.75</v>
      </c>
      <c r="V1614" s="5">
        <v>32</v>
      </c>
      <c r="Y1614" s="5">
        <v>4000</v>
      </c>
      <c r="Z1614" s="5">
        <v>127900</v>
      </c>
      <c r="AA1614" s="5">
        <v>2</v>
      </c>
      <c r="AB1614" s="5" t="s">
        <v>85</v>
      </c>
      <c r="AC1614" s="5">
        <v>2000</v>
      </c>
    </row>
    <row r="1615" spans="1:29" x14ac:dyDescent="0.3">
      <c r="A1615" s="34">
        <v>46274</v>
      </c>
      <c r="B1615" s="34">
        <v>46274</v>
      </c>
      <c r="C1615" s="5" t="s">
        <v>78</v>
      </c>
      <c r="D1615" s="5" t="s">
        <v>79</v>
      </c>
      <c r="E1615" s="5" t="s">
        <v>80</v>
      </c>
      <c r="F1615" s="5">
        <v>29251</v>
      </c>
      <c r="G1615" s="5" t="s">
        <v>4937</v>
      </c>
      <c r="H1615" s="5" t="s">
        <v>4938</v>
      </c>
      <c r="I1615" s="5" t="s">
        <v>212</v>
      </c>
      <c r="N1615" s="5" t="s">
        <v>4939</v>
      </c>
      <c r="O1615" s="5">
        <v>156.65</v>
      </c>
      <c r="P1615" s="5">
        <v>157.04</v>
      </c>
      <c r="Q1615" s="5">
        <v>155.01</v>
      </c>
      <c r="R1615" s="5">
        <v>155.31</v>
      </c>
      <c r="S1615" s="5">
        <v>155.5</v>
      </c>
      <c r="T1615" s="5">
        <v>156.84</v>
      </c>
      <c r="V1615" s="5">
        <v>155.31</v>
      </c>
      <c r="Y1615" s="5">
        <v>1636514</v>
      </c>
      <c r="Z1615" s="5">
        <v>255113755.50999999</v>
      </c>
      <c r="AA1615" s="5">
        <v>24414</v>
      </c>
      <c r="AB1615" s="5" t="s">
        <v>85</v>
      </c>
      <c r="AC1615" s="5">
        <v>1</v>
      </c>
    </row>
    <row r="1616" spans="1:29" x14ac:dyDescent="0.3">
      <c r="A1616" s="34">
        <v>46274</v>
      </c>
      <c r="B1616" s="34">
        <v>46274</v>
      </c>
      <c r="C1616" s="5" t="s">
        <v>78</v>
      </c>
      <c r="D1616" s="5" t="s">
        <v>79</v>
      </c>
      <c r="E1616" s="5" t="s">
        <v>80</v>
      </c>
      <c r="F1616" s="5">
        <v>1660</v>
      </c>
      <c r="G1616" s="5" t="s">
        <v>4940</v>
      </c>
      <c r="H1616" s="5" t="s">
        <v>4941</v>
      </c>
      <c r="I1616" s="5" t="s">
        <v>212</v>
      </c>
      <c r="N1616" s="5" t="s">
        <v>4942</v>
      </c>
      <c r="O1616" s="5">
        <v>263.64999999999998</v>
      </c>
      <c r="P1616" s="5">
        <v>264.5</v>
      </c>
      <c r="Q1616" s="5">
        <v>260.2</v>
      </c>
      <c r="R1616" s="5">
        <v>260.8</v>
      </c>
      <c r="S1616" s="5">
        <v>260.8</v>
      </c>
      <c r="T1616" s="5">
        <v>263.5</v>
      </c>
      <c r="V1616" s="5">
        <v>260.81</v>
      </c>
      <c r="Y1616" s="5">
        <v>10065188</v>
      </c>
      <c r="Z1616" s="5">
        <v>2636757520.9499998</v>
      </c>
      <c r="AA1616" s="5">
        <v>206864</v>
      </c>
      <c r="AB1616" s="5" t="s">
        <v>85</v>
      </c>
      <c r="AC1616" s="5">
        <v>1</v>
      </c>
    </row>
    <row r="1617" spans="1:29" x14ac:dyDescent="0.3">
      <c r="A1617" s="34">
        <v>46274</v>
      </c>
      <c r="B1617" s="34">
        <v>46274</v>
      </c>
      <c r="C1617" s="5" t="s">
        <v>78</v>
      </c>
      <c r="D1617" s="5" t="s">
        <v>79</v>
      </c>
      <c r="E1617" s="5" t="s">
        <v>80</v>
      </c>
      <c r="F1617" s="5">
        <v>1675</v>
      </c>
      <c r="G1617" s="5" t="s">
        <v>4943</v>
      </c>
      <c r="H1617" s="5" t="s">
        <v>4944</v>
      </c>
      <c r="I1617" s="5" t="s">
        <v>212</v>
      </c>
      <c r="N1617" s="5" t="s">
        <v>4945</v>
      </c>
      <c r="O1617" s="5">
        <v>269</v>
      </c>
      <c r="P1617" s="5">
        <v>270</v>
      </c>
      <c r="Q1617" s="5">
        <v>266.95</v>
      </c>
      <c r="R1617" s="5">
        <v>267.45</v>
      </c>
      <c r="S1617" s="5">
        <v>267.45</v>
      </c>
      <c r="T1617" s="5">
        <v>270.2</v>
      </c>
      <c r="V1617" s="5">
        <v>267.44</v>
      </c>
      <c r="Y1617" s="5">
        <v>79954</v>
      </c>
      <c r="Z1617" s="5">
        <v>21421179.350000001</v>
      </c>
      <c r="AA1617" s="5">
        <v>2889</v>
      </c>
      <c r="AB1617" s="5" t="s">
        <v>85</v>
      </c>
      <c r="AC1617" s="5">
        <v>1</v>
      </c>
    </row>
    <row r="1618" spans="1:29" x14ac:dyDescent="0.3">
      <c r="A1618" s="34">
        <v>46274</v>
      </c>
      <c r="B1618" s="34">
        <v>46274</v>
      </c>
      <c r="C1618" s="5" t="s">
        <v>78</v>
      </c>
      <c r="D1618" s="5" t="s">
        <v>79</v>
      </c>
      <c r="E1618" s="5" t="s">
        <v>80</v>
      </c>
      <c r="F1618" s="5">
        <v>764723</v>
      </c>
      <c r="G1618" s="5" t="s">
        <v>4946</v>
      </c>
      <c r="H1618" s="5" t="s">
        <v>4947</v>
      </c>
      <c r="I1618" s="5" t="s">
        <v>212</v>
      </c>
      <c r="N1618" s="5" t="s">
        <v>4948</v>
      </c>
      <c r="O1618" s="5">
        <v>363</v>
      </c>
      <c r="P1618" s="5">
        <v>375</v>
      </c>
      <c r="Q1618" s="5">
        <v>363</v>
      </c>
      <c r="R1618" s="5">
        <v>364.1</v>
      </c>
      <c r="S1618" s="5">
        <v>369</v>
      </c>
      <c r="T1618" s="5">
        <v>369.65</v>
      </c>
      <c r="V1618" s="5">
        <v>364.1</v>
      </c>
      <c r="Y1618" s="5">
        <v>1725</v>
      </c>
      <c r="Z1618" s="5">
        <v>628665.94999999995</v>
      </c>
      <c r="AA1618" s="5">
        <v>96</v>
      </c>
      <c r="AB1618" s="5" t="s">
        <v>85</v>
      </c>
      <c r="AC1618" s="5">
        <v>1</v>
      </c>
    </row>
    <row r="1619" spans="1:29" x14ac:dyDescent="0.3">
      <c r="A1619" s="34">
        <v>46274</v>
      </c>
      <c r="B1619" s="34">
        <v>46274</v>
      </c>
      <c r="C1619" s="5" t="s">
        <v>78</v>
      </c>
      <c r="D1619" s="5" t="s">
        <v>79</v>
      </c>
      <c r="E1619" s="5" t="s">
        <v>80</v>
      </c>
      <c r="F1619" s="5">
        <v>759041</v>
      </c>
      <c r="G1619" s="5" t="s">
        <v>4949</v>
      </c>
      <c r="H1619" s="5" t="s">
        <v>4950</v>
      </c>
      <c r="I1619" s="5" t="s">
        <v>212</v>
      </c>
      <c r="N1619" s="5" t="s">
        <v>4951</v>
      </c>
      <c r="O1619" s="5">
        <v>234.55</v>
      </c>
      <c r="P1619" s="5">
        <v>237.2</v>
      </c>
      <c r="Q1619" s="5">
        <v>232.1</v>
      </c>
      <c r="R1619" s="5">
        <v>233.71</v>
      </c>
      <c r="S1619" s="5">
        <v>232.35</v>
      </c>
      <c r="T1619" s="5">
        <v>235.31</v>
      </c>
      <c r="V1619" s="5">
        <v>233.7</v>
      </c>
      <c r="Y1619" s="5">
        <v>80752</v>
      </c>
      <c r="Z1619" s="5">
        <v>18934262.879999999</v>
      </c>
      <c r="AA1619" s="5">
        <v>3196</v>
      </c>
      <c r="AB1619" s="5" t="s">
        <v>85</v>
      </c>
      <c r="AC1619" s="5">
        <v>1</v>
      </c>
    </row>
    <row r="1620" spans="1:29" x14ac:dyDescent="0.3">
      <c r="A1620" s="34">
        <v>46274</v>
      </c>
      <c r="B1620" s="34">
        <v>46274</v>
      </c>
      <c r="C1620" s="5" t="s">
        <v>78</v>
      </c>
      <c r="D1620" s="5" t="s">
        <v>79</v>
      </c>
      <c r="E1620" s="5" t="s">
        <v>80</v>
      </c>
      <c r="F1620" s="5">
        <v>8857</v>
      </c>
      <c r="G1620" s="5" t="s">
        <v>4952</v>
      </c>
      <c r="H1620" s="5" t="s">
        <v>4953</v>
      </c>
      <c r="I1620" s="5" t="s">
        <v>234</v>
      </c>
      <c r="N1620" s="5" t="s">
        <v>4954</v>
      </c>
      <c r="O1620" s="5">
        <v>219.95</v>
      </c>
      <c r="P1620" s="5">
        <v>222</v>
      </c>
      <c r="Q1620" s="5">
        <v>210.31</v>
      </c>
      <c r="R1620" s="5">
        <v>220.26</v>
      </c>
      <c r="S1620" s="5">
        <v>218.01</v>
      </c>
      <c r="T1620" s="5">
        <v>216.96</v>
      </c>
      <c r="V1620" s="5">
        <v>220.34</v>
      </c>
      <c r="Y1620" s="5">
        <v>18588</v>
      </c>
      <c r="Z1620" s="5">
        <v>4053590.43</v>
      </c>
      <c r="AA1620" s="5">
        <v>217</v>
      </c>
      <c r="AB1620" s="5" t="s">
        <v>85</v>
      </c>
      <c r="AC1620" s="5">
        <v>1</v>
      </c>
    </row>
    <row r="1621" spans="1:29" x14ac:dyDescent="0.3">
      <c r="A1621" s="34">
        <v>46274</v>
      </c>
      <c r="B1621" s="34">
        <v>46274</v>
      </c>
      <c r="C1621" s="5" t="s">
        <v>78</v>
      </c>
      <c r="D1621" s="5" t="s">
        <v>79</v>
      </c>
      <c r="E1621" s="5" t="s">
        <v>80</v>
      </c>
      <c r="F1621" s="5">
        <v>757644</v>
      </c>
      <c r="G1621" s="5" t="s">
        <v>4955</v>
      </c>
      <c r="H1621" s="5" t="s">
        <v>4956</v>
      </c>
      <c r="I1621" s="5" t="s">
        <v>392</v>
      </c>
      <c r="N1621" s="5" t="s">
        <v>4957</v>
      </c>
      <c r="O1621" s="5">
        <v>442</v>
      </c>
      <c r="P1621" s="5">
        <v>454.85</v>
      </c>
      <c r="Q1621" s="5">
        <v>431.9</v>
      </c>
      <c r="R1621" s="5">
        <v>454.85</v>
      </c>
      <c r="S1621" s="5">
        <v>454.85</v>
      </c>
      <c r="T1621" s="5">
        <v>454.6</v>
      </c>
      <c r="V1621" s="5">
        <v>454.85</v>
      </c>
      <c r="Y1621" s="5">
        <v>16200</v>
      </c>
      <c r="Z1621" s="5">
        <v>7121970</v>
      </c>
      <c r="AA1621" s="5">
        <v>27</v>
      </c>
      <c r="AB1621" s="5" t="s">
        <v>85</v>
      </c>
      <c r="AC1621" s="5">
        <v>600</v>
      </c>
    </row>
    <row r="1622" spans="1:29" x14ac:dyDescent="0.3">
      <c r="A1622" s="34">
        <v>46274</v>
      </c>
      <c r="B1622" s="34">
        <v>46274</v>
      </c>
      <c r="C1622" s="5" t="s">
        <v>78</v>
      </c>
      <c r="D1622" s="5" t="s">
        <v>79</v>
      </c>
      <c r="E1622" s="5" t="s">
        <v>80</v>
      </c>
      <c r="F1622" s="5">
        <v>14174</v>
      </c>
      <c r="G1622" s="5" t="s">
        <v>4958</v>
      </c>
      <c r="H1622" s="5" t="s">
        <v>4959</v>
      </c>
      <c r="I1622" s="5" t="s">
        <v>212</v>
      </c>
      <c r="N1622" s="5" t="s">
        <v>4960</v>
      </c>
      <c r="O1622" s="5">
        <v>933.8</v>
      </c>
      <c r="P1622" s="5">
        <v>933.8</v>
      </c>
      <c r="Q1622" s="5">
        <v>907</v>
      </c>
      <c r="R1622" s="5">
        <v>912.3</v>
      </c>
      <c r="S1622" s="5">
        <v>910.5</v>
      </c>
      <c r="T1622" s="5">
        <v>927.15</v>
      </c>
      <c r="V1622" s="5">
        <v>912.26</v>
      </c>
      <c r="Y1622" s="5">
        <v>83938</v>
      </c>
      <c r="Z1622" s="5">
        <v>76802517.849999994</v>
      </c>
      <c r="AA1622" s="5">
        <v>6099</v>
      </c>
      <c r="AB1622" s="5" t="s">
        <v>85</v>
      </c>
      <c r="AC1622" s="5">
        <v>1</v>
      </c>
    </row>
    <row r="1623" spans="1:29" x14ac:dyDescent="0.3">
      <c r="A1623" s="34">
        <v>46274</v>
      </c>
      <c r="B1623" s="34">
        <v>46274</v>
      </c>
      <c r="C1623" s="5" t="s">
        <v>78</v>
      </c>
      <c r="D1623" s="5" t="s">
        <v>79</v>
      </c>
      <c r="E1623" s="5" t="s">
        <v>80</v>
      </c>
      <c r="F1623" s="5">
        <v>5633</v>
      </c>
      <c r="G1623" s="5" t="s">
        <v>4961</v>
      </c>
      <c r="H1623" s="5" t="s">
        <v>4962</v>
      </c>
      <c r="I1623" s="5" t="s">
        <v>212</v>
      </c>
      <c r="N1623" s="5" t="s">
        <v>4963</v>
      </c>
      <c r="O1623" s="5">
        <v>147.88</v>
      </c>
      <c r="P1623" s="5">
        <v>147.88</v>
      </c>
      <c r="Q1623" s="5">
        <v>145</v>
      </c>
      <c r="R1623" s="5">
        <v>145.81</v>
      </c>
      <c r="S1623" s="5">
        <v>146</v>
      </c>
      <c r="T1623" s="5">
        <v>147.03</v>
      </c>
      <c r="V1623" s="5">
        <v>145.80000000000001</v>
      </c>
      <c r="Y1623" s="5">
        <v>1426459</v>
      </c>
      <c r="Z1623" s="5">
        <v>208318509.77000001</v>
      </c>
      <c r="AA1623" s="5">
        <v>22225</v>
      </c>
      <c r="AB1623" s="5" t="s">
        <v>85</v>
      </c>
      <c r="AC1623" s="5">
        <v>1</v>
      </c>
    </row>
    <row r="1624" spans="1:29" x14ac:dyDescent="0.3">
      <c r="A1624" s="34">
        <v>46274</v>
      </c>
      <c r="B1624" s="34">
        <v>46274</v>
      </c>
      <c r="C1624" s="5" t="s">
        <v>78</v>
      </c>
      <c r="D1624" s="5" t="s">
        <v>79</v>
      </c>
      <c r="E1624" s="5" t="s">
        <v>80</v>
      </c>
      <c r="F1624" s="5">
        <v>23056</v>
      </c>
      <c r="G1624" s="5" t="s">
        <v>4964</v>
      </c>
      <c r="H1624" s="5" t="s">
        <v>4965</v>
      </c>
      <c r="I1624" s="5" t="s">
        <v>212</v>
      </c>
      <c r="N1624" s="5" t="s">
        <v>4966</v>
      </c>
      <c r="O1624" s="5">
        <v>612.45000000000005</v>
      </c>
      <c r="P1624" s="5">
        <v>631</v>
      </c>
      <c r="Q1624" s="5">
        <v>601.04999999999995</v>
      </c>
      <c r="R1624" s="5">
        <v>619.5</v>
      </c>
      <c r="S1624" s="5">
        <v>616</v>
      </c>
      <c r="T1624" s="5">
        <v>611.20000000000005</v>
      </c>
      <c r="V1624" s="5">
        <v>619.51</v>
      </c>
      <c r="Y1624" s="5">
        <v>521969</v>
      </c>
      <c r="Z1624" s="5">
        <v>322924191.10000002</v>
      </c>
      <c r="AA1624" s="5">
        <v>20040</v>
      </c>
      <c r="AB1624" s="5" t="s">
        <v>85</v>
      </c>
      <c r="AC1624" s="5">
        <v>1</v>
      </c>
    </row>
    <row r="1625" spans="1:29" x14ac:dyDescent="0.3">
      <c r="A1625" s="34">
        <v>46274</v>
      </c>
      <c r="B1625" s="34">
        <v>46274</v>
      </c>
      <c r="C1625" s="5" t="s">
        <v>78</v>
      </c>
      <c r="D1625" s="5" t="s">
        <v>79</v>
      </c>
      <c r="E1625" s="5" t="s">
        <v>80</v>
      </c>
      <c r="F1625" s="5">
        <v>13211</v>
      </c>
      <c r="G1625" s="5" t="s">
        <v>4967</v>
      </c>
      <c r="H1625" s="5" t="s">
        <v>4968</v>
      </c>
      <c r="I1625" s="5" t="s">
        <v>212</v>
      </c>
      <c r="N1625" s="5" t="s">
        <v>4969</v>
      </c>
      <c r="O1625" s="5">
        <v>62.54</v>
      </c>
      <c r="P1625" s="5">
        <v>62.74</v>
      </c>
      <c r="Q1625" s="5">
        <v>61.97</v>
      </c>
      <c r="R1625" s="5">
        <v>62.35</v>
      </c>
      <c r="S1625" s="5">
        <v>62.37</v>
      </c>
      <c r="T1625" s="5">
        <v>62.54</v>
      </c>
      <c r="V1625" s="5">
        <v>62.35</v>
      </c>
      <c r="Y1625" s="5">
        <v>154323</v>
      </c>
      <c r="Z1625" s="5">
        <v>9614524.2300000004</v>
      </c>
      <c r="AA1625" s="5">
        <v>1601</v>
      </c>
      <c r="AB1625" s="5" t="s">
        <v>85</v>
      </c>
      <c r="AC1625" s="5">
        <v>1</v>
      </c>
    </row>
    <row r="1626" spans="1:29" x14ac:dyDescent="0.3">
      <c r="A1626" s="34">
        <v>46274</v>
      </c>
      <c r="B1626" s="34">
        <v>46274</v>
      </c>
      <c r="C1626" s="5" t="s">
        <v>78</v>
      </c>
      <c r="D1626" s="5" t="s">
        <v>79</v>
      </c>
      <c r="E1626" s="5" t="s">
        <v>80</v>
      </c>
      <c r="F1626" s="5">
        <v>4410</v>
      </c>
      <c r="G1626" s="5" t="s">
        <v>4970</v>
      </c>
      <c r="H1626" s="5" t="s">
        <v>4971</v>
      </c>
      <c r="I1626" s="5" t="s">
        <v>212</v>
      </c>
      <c r="N1626" s="5" t="s">
        <v>4972</v>
      </c>
      <c r="O1626" s="5">
        <v>236</v>
      </c>
      <c r="P1626" s="5">
        <v>239.38</v>
      </c>
      <c r="Q1626" s="5">
        <v>229.02</v>
      </c>
      <c r="R1626" s="5">
        <v>235.39</v>
      </c>
      <c r="S1626" s="5">
        <v>234.1</v>
      </c>
      <c r="T1626" s="5">
        <v>237.72</v>
      </c>
      <c r="V1626" s="5">
        <v>235.4</v>
      </c>
      <c r="Y1626" s="5">
        <v>69845</v>
      </c>
      <c r="Z1626" s="5">
        <v>16470036.050000001</v>
      </c>
      <c r="AA1626" s="5">
        <v>2508</v>
      </c>
      <c r="AB1626" s="5" t="s">
        <v>85</v>
      </c>
      <c r="AC1626" s="5">
        <v>1</v>
      </c>
    </row>
    <row r="1627" spans="1:29" x14ac:dyDescent="0.3">
      <c r="A1627" s="34">
        <v>46274</v>
      </c>
      <c r="B1627" s="34">
        <v>46274</v>
      </c>
      <c r="C1627" s="5" t="s">
        <v>78</v>
      </c>
      <c r="D1627" s="5" t="s">
        <v>79</v>
      </c>
      <c r="E1627" s="5" t="s">
        <v>80</v>
      </c>
      <c r="F1627" s="5">
        <v>11256</v>
      </c>
      <c r="G1627" s="5" t="s">
        <v>4973</v>
      </c>
      <c r="H1627" s="5" t="s">
        <v>4974</v>
      </c>
      <c r="I1627" s="5" t="s">
        <v>212</v>
      </c>
      <c r="N1627" s="5" t="s">
        <v>4975</v>
      </c>
      <c r="O1627" s="5">
        <v>67.819999999999993</v>
      </c>
      <c r="P1627" s="5">
        <v>69.75</v>
      </c>
      <c r="Q1627" s="5">
        <v>67.819999999999993</v>
      </c>
      <c r="R1627" s="5">
        <v>68.7</v>
      </c>
      <c r="S1627" s="5">
        <v>68.75</v>
      </c>
      <c r="T1627" s="5">
        <v>67.86</v>
      </c>
      <c r="V1627" s="5">
        <v>68.7</v>
      </c>
      <c r="Y1627" s="5">
        <v>760934</v>
      </c>
      <c r="Z1627" s="5">
        <v>52347528.969999999</v>
      </c>
      <c r="AA1627" s="5">
        <v>4392</v>
      </c>
      <c r="AB1627" s="5" t="s">
        <v>85</v>
      </c>
      <c r="AC1627" s="5">
        <v>1</v>
      </c>
    </row>
    <row r="1628" spans="1:29" x14ac:dyDescent="0.3">
      <c r="A1628" s="34">
        <v>46274</v>
      </c>
      <c r="B1628" s="34">
        <v>46274</v>
      </c>
      <c r="C1628" s="5" t="s">
        <v>78</v>
      </c>
      <c r="D1628" s="5" t="s">
        <v>79</v>
      </c>
      <c r="E1628" s="5" t="s">
        <v>80</v>
      </c>
      <c r="F1628" s="5">
        <v>5143</v>
      </c>
      <c r="G1628" s="5" t="s">
        <v>4976</v>
      </c>
      <c r="H1628" s="5" t="s">
        <v>4977</v>
      </c>
      <c r="I1628" s="5" t="s">
        <v>212</v>
      </c>
      <c r="N1628" s="5" t="s">
        <v>4978</v>
      </c>
      <c r="O1628" s="5">
        <v>98</v>
      </c>
      <c r="P1628" s="5">
        <v>98.97</v>
      </c>
      <c r="Q1628" s="5">
        <v>97.18</v>
      </c>
      <c r="R1628" s="5">
        <v>97.5</v>
      </c>
      <c r="S1628" s="5">
        <v>98.09</v>
      </c>
      <c r="T1628" s="5">
        <v>98.3</v>
      </c>
      <c r="V1628" s="5">
        <v>97.47</v>
      </c>
      <c r="Y1628" s="5">
        <v>209651</v>
      </c>
      <c r="Z1628" s="5">
        <v>20497531.57</v>
      </c>
      <c r="AA1628" s="5">
        <v>3951</v>
      </c>
      <c r="AB1628" s="5" t="s">
        <v>85</v>
      </c>
      <c r="AC1628" s="5">
        <v>1</v>
      </c>
    </row>
    <row r="1629" spans="1:29" x14ac:dyDescent="0.3">
      <c r="A1629" s="34">
        <v>46274</v>
      </c>
      <c r="B1629" s="34">
        <v>46274</v>
      </c>
      <c r="C1629" s="5" t="s">
        <v>78</v>
      </c>
      <c r="D1629" s="5" t="s">
        <v>79</v>
      </c>
      <c r="E1629" s="5" t="s">
        <v>80</v>
      </c>
      <c r="F1629" s="5">
        <v>25684</v>
      </c>
      <c r="G1629" s="5" t="s">
        <v>4979</v>
      </c>
      <c r="H1629" s="5" t="s">
        <v>4980</v>
      </c>
      <c r="I1629" s="5" t="s">
        <v>212</v>
      </c>
      <c r="N1629" s="5" t="s">
        <v>4981</v>
      </c>
      <c r="O1629" s="5">
        <v>21.97</v>
      </c>
      <c r="P1629" s="5">
        <v>21.97</v>
      </c>
      <c r="Q1629" s="5">
        <v>21.05</v>
      </c>
      <c r="R1629" s="5">
        <v>21.54</v>
      </c>
      <c r="S1629" s="5">
        <v>21.11</v>
      </c>
      <c r="T1629" s="5">
        <v>21.7</v>
      </c>
      <c r="V1629" s="5">
        <v>21.55</v>
      </c>
      <c r="Y1629" s="5">
        <v>23848</v>
      </c>
      <c r="Z1629" s="5">
        <v>513906.43</v>
      </c>
      <c r="AA1629" s="5">
        <v>137</v>
      </c>
      <c r="AB1629" s="5" t="s">
        <v>85</v>
      </c>
      <c r="AC1629" s="5">
        <v>1</v>
      </c>
    </row>
    <row r="1630" spans="1:29" x14ac:dyDescent="0.3">
      <c r="A1630" s="34">
        <v>46274</v>
      </c>
      <c r="B1630" s="34">
        <v>46274</v>
      </c>
      <c r="C1630" s="5" t="s">
        <v>78</v>
      </c>
      <c r="D1630" s="5" t="s">
        <v>79</v>
      </c>
      <c r="E1630" s="5" t="s">
        <v>80</v>
      </c>
      <c r="F1630" s="5">
        <v>10397</v>
      </c>
      <c r="G1630" s="5" t="s">
        <v>4982</v>
      </c>
      <c r="H1630" s="5" t="s">
        <v>4983</v>
      </c>
      <c r="I1630" s="5" t="s">
        <v>212</v>
      </c>
      <c r="N1630" s="5" t="s">
        <v>4984</v>
      </c>
      <c r="O1630" s="5">
        <v>31</v>
      </c>
      <c r="P1630" s="5">
        <v>31</v>
      </c>
      <c r="Q1630" s="5">
        <v>30.27</v>
      </c>
      <c r="R1630" s="5">
        <v>30.51</v>
      </c>
      <c r="S1630" s="5">
        <v>30.47</v>
      </c>
      <c r="T1630" s="5">
        <v>31.12</v>
      </c>
      <c r="V1630" s="5">
        <v>30.51</v>
      </c>
      <c r="Y1630" s="5">
        <v>1453828</v>
      </c>
      <c r="Z1630" s="5">
        <v>44445451.390000001</v>
      </c>
      <c r="AA1630" s="5">
        <v>4713</v>
      </c>
      <c r="AB1630" s="5" t="s">
        <v>85</v>
      </c>
      <c r="AC1630" s="5">
        <v>1</v>
      </c>
    </row>
    <row r="1631" spans="1:29" x14ac:dyDescent="0.3">
      <c r="A1631" s="34">
        <v>46274</v>
      </c>
      <c r="B1631" s="34">
        <v>46274</v>
      </c>
      <c r="C1631" s="5" t="s">
        <v>78</v>
      </c>
      <c r="D1631" s="5" t="s">
        <v>79</v>
      </c>
      <c r="E1631" s="5" t="s">
        <v>80</v>
      </c>
      <c r="F1631" s="5">
        <v>759244</v>
      </c>
      <c r="G1631" s="5" t="s">
        <v>4985</v>
      </c>
      <c r="H1631" s="5" t="s">
        <v>4986</v>
      </c>
      <c r="I1631" s="5" t="s">
        <v>212</v>
      </c>
      <c r="N1631" s="5" t="s">
        <v>4987</v>
      </c>
      <c r="O1631" s="5">
        <v>294</v>
      </c>
      <c r="P1631" s="5">
        <v>302.55</v>
      </c>
      <c r="Q1631" s="5">
        <v>294</v>
      </c>
      <c r="R1631" s="5">
        <v>295.85000000000002</v>
      </c>
      <c r="S1631" s="5">
        <v>296.14999999999998</v>
      </c>
      <c r="T1631" s="5">
        <v>296.55</v>
      </c>
      <c r="V1631" s="5">
        <v>295.83999999999997</v>
      </c>
      <c r="Y1631" s="5">
        <v>1263717</v>
      </c>
      <c r="Z1631" s="5">
        <v>376219680.89999998</v>
      </c>
      <c r="AA1631" s="5">
        <v>25875</v>
      </c>
      <c r="AB1631" s="5" t="s">
        <v>85</v>
      </c>
      <c r="AC1631" s="5">
        <v>1</v>
      </c>
    </row>
    <row r="1632" spans="1:29" x14ac:dyDescent="0.3">
      <c r="A1632" s="34">
        <v>46274</v>
      </c>
      <c r="B1632" s="34">
        <v>46274</v>
      </c>
      <c r="C1632" s="5" t="s">
        <v>78</v>
      </c>
      <c r="D1632" s="5" t="s">
        <v>79</v>
      </c>
      <c r="E1632" s="5" t="s">
        <v>80</v>
      </c>
      <c r="F1632" s="5">
        <v>6012</v>
      </c>
      <c r="G1632" s="5" t="s">
        <v>4988</v>
      </c>
      <c r="H1632" s="5" t="s">
        <v>4989</v>
      </c>
      <c r="I1632" s="5" t="s">
        <v>313</v>
      </c>
      <c r="N1632" s="5" t="s">
        <v>4990</v>
      </c>
      <c r="O1632" s="5">
        <v>221</v>
      </c>
      <c r="P1632" s="5">
        <v>221</v>
      </c>
      <c r="Q1632" s="5">
        <v>213.6</v>
      </c>
      <c r="R1632" s="5">
        <v>213.8</v>
      </c>
      <c r="S1632" s="5">
        <v>213.6</v>
      </c>
      <c r="T1632" s="5">
        <v>224.3</v>
      </c>
      <c r="V1632" s="5">
        <v>213.8</v>
      </c>
      <c r="Y1632" s="5">
        <v>3000</v>
      </c>
      <c r="Z1632" s="5">
        <v>655550</v>
      </c>
      <c r="AA1632" s="5">
        <v>6</v>
      </c>
      <c r="AB1632" s="5" t="s">
        <v>85</v>
      </c>
      <c r="AC1632" s="5">
        <v>500</v>
      </c>
    </row>
    <row r="1633" spans="1:29" x14ac:dyDescent="0.3">
      <c r="A1633" s="34">
        <v>46274</v>
      </c>
      <c r="B1633" s="34">
        <v>46274</v>
      </c>
      <c r="C1633" s="5" t="s">
        <v>78</v>
      </c>
      <c r="D1633" s="5" t="s">
        <v>79</v>
      </c>
      <c r="E1633" s="5" t="s">
        <v>80</v>
      </c>
      <c r="F1633" s="5">
        <v>758303</v>
      </c>
      <c r="G1633" s="5" t="s">
        <v>4991</v>
      </c>
      <c r="H1633" s="5" t="s">
        <v>4992</v>
      </c>
      <c r="I1633" s="5" t="s">
        <v>313</v>
      </c>
      <c r="N1633" s="5" t="s">
        <v>4993</v>
      </c>
      <c r="O1633" s="5">
        <v>215</v>
      </c>
      <c r="P1633" s="5">
        <v>217</v>
      </c>
      <c r="Q1633" s="5">
        <v>215</v>
      </c>
      <c r="R1633" s="5">
        <v>217</v>
      </c>
      <c r="S1633" s="5">
        <v>217</v>
      </c>
      <c r="T1633" s="5">
        <v>215.55</v>
      </c>
      <c r="V1633" s="5">
        <v>217</v>
      </c>
      <c r="Y1633" s="5">
        <v>3600</v>
      </c>
      <c r="Z1633" s="5">
        <v>778800</v>
      </c>
      <c r="AA1633" s="5">
        <v>2</v>
      </c>
      <c r="AB1633" s="5" t="s">
        <v>85</v>
      </c>
      <c r="AC1633" s="5">
        <v>1200</v>
      </c>
    </row>
    <row r="1634" spans="1:29" x14ac:dyDescent="0.3">
      <c r="A1634" s="34">
        <v>46274</v>
      </c>
      <c r="B1634" s="34">
        <v>46274</v>
      </c>
      <c r="C1634" s="5" t="s">
        <v>78</v>
      </c>
      <c r="D1634" s="5" t="s">
        <v>79</v>
      </c>
      <c r="E1634" s="5" t="s">
        <v>80</v>
      </c>
      <c r="F1634" s="5">
        <v>11763</v>
      </c>
      <c r="G1634" s="5" t="s">
        <v>4994</v>
      </c>
      <c r="H1634" s="5" t="s">
        <v>4995</v>
      </c>
      <c r="I1634" s="5" t="s">
        <v>212</v>
      </c>
      <c r="N1634" s="5" t="s">
        <v>4996</v>
      </c>
      <c r="O1634" s="5">
        <v>16.489999999999998</v>
      </c>
      <c r="P1634" s="5">
        <v>16.809999999999999</v>
      </c>
      <c r="Q1634" s="5">
        <v>16.350000000000001</v>
      </c>
      <c r="R1634" s="5">
        <v>16.399999999999999</v>
      </c>
      <c r="S1634" s="5">
        <v>16.420000000000002</v>
      </c>
      <c r="T1634" s="5">
        <v>16.489999999999998</v>
      </c>
      <c r="V1634" s="5">
        <v>16.399999999999999</v>
      </c>
      <c r="Y1634" s="5">
        <v>35108812</v>
      </c>
      <c r="Z1634" s="5">
        <v>581658236.03999996</v>
      </c>
      <c r="AA1634" s="5">
        <v>26019</v>
      </c>
      <c r="AB1634" s="5" t="s">
        <v>85</v>
      </c>
      <c r="AC1634" s="5">
        <v>1</v>
      </c>
    </row>
    <row r="1635" spans="1:29" x14ac:dyDescent="0.3">
      <c r="A1635" s="34">
        <v>46274</v>
      </c>
      <c r="B1635" s="34">
        <v>46274</v>
      </c>
      <c r="C1635" s="5" t="s">
        <v>78</v>
      </c>
      <c r="D1635" s="5" t="s">
        <v>79</v>
      </c>
      <c r="E1635" s="5" t="s">
        <v>80</v>
      </c>
      <c r="F1635" s="5">
        <v>20778</v>
      </c>
      <c r="G1635" s="5" t="s">
        <v>4997</v>
      </c>
      <c r="H1635" s="5" t="s">
        <v>4998</v>
      </c>
      <c r="I1635" s="5" t="s">
        <v>212</v>
      </c>
      <c r="N1635" s="5" t="s">
        <v>4999</v>
      </c>
      <c r="O1635" s="5">
        <v>129.9</v>
      </c>
      <c r="P1635" s="5">
        <v>131.19</v>
      </c>
      <c r="Q1635" s="5">
        <v>126.49</v>
      </c>
      <c r="R1635" s="5">
        <v>128.93</v>
      </c>
      <c r="S1635" s="5">
        <v>128.55000000000001</v>
      </c>
      <c r="T1635" s="5">
        <v>128.91999999999999</v>
      </c>
      <c r="V1635" s="5">
        <v>128.93</v>
      </c>
      <c r="Y1635" s="5">
        <v>1789554</v>
      </c>
      <c r="Z1635" s="5">
        <v>230161045.43000001</v>
      </c>
      <c r="AA1635" s="5">
        <v>31872</v>
      </c>
      <c r="AB1635" s="5" t="s">
        <v>85</v>
      </c>
      <c r="AC1635" s="5">
        <v>1</v>
      </c>
    </row>
    <row r="1636" spans="1:29" x14ac:dyDescent="0.3">
      <c r="A1636" s="34">
        <v>46274</v>
      </c>
      <c r="B1636" s="34">
        <v>46274</v>
      </c>
      <c r="C1636" s="5" t="s">
        <v>78</v>
      </c>
      <c r="D1636" s="5" t="s">
        <v>79</v>
      </c>
      <c r="E1636" s="5" t="s">
        <v>80</v>
      </c>
      <c r="F1636" s="5">
        <v>22663</v>
      </c>
      <c r="G1636" s="5" t="s">
        <v>5000</v>
      </c>
      <c r="H1636" s="5" t="s">
        <v>5001</v>
      </c>
      <c r="I1636" s="5" t="s">
        <v>212</v>
      </c>
      <c r="N1636" s="5" t="s">
        <v>5002</v>
      </c>
      <c r="O1636" s="5">
        <v>540</v>
      </c>
      <c r="P1636" s="5">
        <v>542.25</v>
      </c>
      <c r="Q1636" s="5">
        <v>528.70000000000005</v>
      </c>
      <c r="R1636" s="5">
        <v>533.95000000000005</v>
      </c>
      <c r="S1636" s="5">
        <v>532.20000000000005</v>
      </c>
      <c r="T1636" s="5">
        <v>539.79999999999995</v>
      </c>
      <c r="V1636" s="5">
        <v>533.97</v>
      </c>
      <c r="Y1636" s="5">
        <v>268255</v>
      </c>
      <c r="Z1636" s="5">
        <v>143783629.19999999</v>
      </c>
      <c r="AA1636" s="5">
        <v>11265</v>
      </c>
      <c r="AB1636" s="5" t="s">
        <v>85</v>
      </c>
      <c r="AC1636" s="5">
        <v>1</v>
      </c>
    </row>
    <row r="1637" spans="1:29" x14ac:dyDescent="0.3">
      <c r="A1637" s="34">
        <v>46274</v>
      </c>
      <c r="B1637" s="34">
        <v>46274</v>
      </c>
      <c r="C1637" s="5" t="s">
        <v>78</v>
      </c>
      <c r="D1637" s="5" t="s">
        <v>79</v>
      </c>
      <c r="E1637" s="5" t="s">
        <v>80</v>
      </c>
      <c r="F1637" s="5">
        <v>759951</v>
      </c>
      <c r="G1637" s="5" t="s">
        <v>5003</v>
      </c>
      <c r="H1637" s="5" t="s">
        <v>5004</v>
      </c>
      <c r="I1637" s="5" t="s">
        <v>212</v>
      </c>
      <c r="N1637" s="5" t="s">
        <v>5005</v>
      </c>
      <c r="O1637" s="5">
        <v>440.2</v>
      </c>
      <c r="P1637" s="5">
        <v>440.95</v>
      </c>
      <c r="Q1637" s="5">
        <v>436.5</v>
      </c>
      <c r="R1637" s="5">
        <v>437.95</v>
      </c>
      <c r="S1637" s="5">
        <v>436.9</v>
      </c>
      <c r="T1637" s="5">
        <v>441.4</v>
      </c>
      <c r="V1637" s="5">
        <v>437.96</v>
      </c>
      <c r="Y1637" s="5">
        <v>100093</v>
      </c>
      <c r="Z1637" s="5">
        <v>43934524.850000001</v>
      </c>
      <c r="AA1637" s="5">
        <v>1725</v>
      </c>
      <c r="AB1637" s="5" t="s">
        <v>85</v>
      </c>
      <c r="AC1637" s="5">
        <v>1</v>
      </c>
    </row>
    <row r="1638" spans="1:29" x14ac:dyDescent="0.3">
      <c r="A1638" s="34">
        <v>46274</v>
      </c>
      <c r="B1638" s="34">
        <v>46274</v>
      </c>
      <c r="C1638" s="5" t="s">
        <v>78</v>
      </c>
      <c r="D1638" s="5" t="s">
        <v>79</v>
      </c>
      <c r="E1638" s="5" t="s">
        <v>80</v>
      </c>
      <c r="F1638" s="5">
        <v>13982</v>
      </c>
      <c r="G1638" s="5" t="s">
        <v>5006</v>
      </c>
      <c r="H1638" s="5" t="s">
        <v>5007</v>
      </c>
      <c r="I1638" s="5" t="s">
        <v>212</v>
      </c>
      <c r="N1638" s="5" t="s">
        <v>5008</v>
      </c>
      <c r="O1638" s="5">
        <v>522.79999999999995</v>
      </c>
      <c r="P1638" s="5">
        <v>528</v>
      </c>
      <c r="Q1638" s="5">
        <v>513.79999999999995</v>
      </c>
      <c r="R1638" s="5">
        <v>518.75</v>
      </c>
      <c r="S1638" s="5">
        <v>519.15</v>
      </c>
      <c r="T1638" s="5">
        <v>518.70000000000005</v>
      </c>
      <c r="V1638" s="5">
        <v>518.73</v>
      </c>
      <c r="Y1638" s="5">
        <v>167761</v>
      </c>
      <c r="Z1638" s="5">
        <v>87363818.049999997</v>
      </c>
      <c r="AA1638" s="5">
        <v>8285</v>
      </c>
      <c r="AB1638" s="5" t="s">
        <v>85</v>
      </c>
      <c r="AC1638" s="5">
        <v>1</v>
      </c>
    </row>
    <row r="1639" spans="1:29" x14ac:dyDescent="0.3">
      <c r="A1639" s="34">
        <v>46274</v>
      </c>
      <c r="B1639" s="34">
        <v>46274</v>
      </c>
      <c r="C1639" s="5" t="s">
        <v>78</v>
      </c>
      <c r="D1639" s="5" t="s">
        <v>79</v>
      </c>
      <c r="E1639" s="5" t="s">
        <v>80</v>
      </c>
      <c r="F1639" s="5">
        <v>25037</v>
      </c>
      <c r="G1639" s="5" t="s">
        <v>5009</v>
      </c>
      <c r="H1639" s="5" t="s">
        <v>5010</v>
      </c>
      <c r="I1639" s="5" t="s">
        <v>313</v>
      </c>
      <c r="N1639" s="5" t="s">
        <v>5011</v>
      </c>
      <c r="O1639" s="5">
        <v>81.099999999999994</v>
      </c>
      <c r="P1639" s="5">
        <v>95.8</v>
      </c>
      <c r="Q1639" s="5">
        <v>80.55</v>
      </c>
      <c r="R1639" s="5">
        <v>90.25</v>
      </c>
      <c r="S1639" s="5">
        <v>88.6</v>
      </c>
      <c r="T1639" s="5">
        <v>82</v>
      </c>
      <c r="V1639" s="5">
        <v>90.25</v>
      </c>
      <c r="Y1639" s="5">
        <v>98500</v>
      </c>
      <c r="Z1639" s="5">
        <v>8876075</v>
      </c>
      <c r="AA1639" s="5">
        <v>153</v>
      </c>
      <c r="AB1639" s="5" t="s">
        <v>85</v>
      </c>
      <c r="AC1639" s="5">
        <v>500</v>
      </c>
    </row>
    <row r="1640" spans="1:29" x14ac:dyDescent="0.3">
      <c r="A1640" s="34">
        <v>46274</v>
      </c>
      <c r="B1640" s="34">
        <v>46274</v>
      </c>
      <c r="C1640" s="5" t="s">
        <v>78</v>
      </c>
      <c r="D1640" s="5" t="s">
        <v>79</v>
      </c>
      <c r="E1640" s="5" t="s">
        <v>80</v>
      </c>
      <c r="F1640" s="5">
        <v>1708</v>
      </c>
      <c r="G1640" s="5" t="s">
        <v>5012</v>
      </c>
      <c r="H1640" s="5" t="s">
        <v>5013</v>
      </c>
      <c r="I1640" s="5" t="s">
        <v>212</v>
      </c>
      <c r="N1640" s="5" t="s">
        <v>5014</v>
      </c>
      <c r="O1640" s="5">
        <v>116.1</v>
      </c>
      <c r="P1640" s="5">
        <v>119.79</v>
      </c>
      <c r="Q1640" s="5">
        <v>114.35</v>
      </c>
      <c r="R1640" s="5">
        <v>117.28</v>
      </c>
      <c r="S1640" s="5">
        <v>117.99</v>
      </c>
      <c r="T1640" s="5">
        <v>116.5</v>
      </c>
      <c r="V1640" s="5">
        <v>117.34</v>
      </c>
      <c r="Y1640" s="5">
        <v>224099</v>
      </c>
      <c r="Z1640" s="5">
        <v>26385752.199999999</v>
      </c>
      <c r="AA1640" s="5">
        <v>2849</v>
      </c>
      <c r="AB1640" s="5" t="s">
        <v>85</v>
      </c>
      <c r="AC1640" s="5">
        <v>1</v>
      </c>
    </row>
    <row r="1641" spans="1:29" x14ac:dyDescent="0.3">
      <c r="A1641" s="34">
        <v>46274</v>
      </c>
      <c r="B1641" s="34">
        <v>46274</v>
      </c>
      <c r="C1641" s="5" t="s">
        <v>78</v>
      </c>
      <c r="D1641" s="5" t="s">
        <v>79</v>
      </c>
      <c r="E1641" s="5" t="s">
        <v>80</v>
      </c>
      <c r="F1641" s="5">
        <v>10889</v>
      </c>
      <c r="G1641" s="5" t="s">
        <v>5015</v>
      </c>
      <c r="H1641" s="5" t="s">
        <v>5016</v>
      </c>
      <c r="I1641" s="5" t="s">
        <v>313</v>
      </c>
      <c r="N1641" s="5" t="s">
        <v>5017</v>
      </c>
      <c r="O1641" s="5">
        <v>157</v>
      </c>
      <c r="P1641" s="5">
        <v>157.19999999999999</v>
      </c>
      <c r="Q1641" s="5">
        <v>157</v>
      </c>
      <c r="R1641" s="5">
        <v>157.19999999999999</v>
      </c>
      <c r="S1641" s="5">
        <v>157.19999999999999</v>
      </c>
      <c r="T1641" s="5">
        <v>149.75</v>
      </c>
      <c r="V1641" s="5">
        <v>157.19999999999999</v>
      </c>
      <c r="Y1641" s="5">
        <v>3250</v>
      </c>
      <c r="Z1641" s="5">
        <v>510650</v>
      </c>
      <c r="AA1641" s="5">
        <v>11</v>
      </c>
      <c r="AB1641" s="5" t="s">
        <v>85</v>
      </c>
      <c r="AC1641" s="5">
        <v>250</v>
      </c>
    </row>
    <row r="1642" spans="1:29" x14ac:dyDescent="0.3">
      <c r="A1642" s="34">
        <v>46274</v>
      </c>
      <c r="B1642" s="34">
        <v>46274</v>
      </c>
      <c r="C1642" s="5" t="s">
        <v>78</v>
      </c>
      <c r="D1642" s="5" t="s">
        <v>79</v>
      </c>
      <c r="E1642" s="5" t="s">
        <v>80</v>
      </c>
      <c r="F1642" s="5">
        <v>4041</v>
      </c>
      <c r="G1642" s="5" t="s">
        <v>5018</v>
      </c>
      <c r="H1642" s="5" t="s">
        <v>5019</v>
      </c>
      <c r="I1642" s="5" t="s">
        <v>212</v>
      </c>
      <c r="N1642" s="5" t="s">
        <v>5020</v>
      </c>
      <c r="O1642" s="5">
        <v>254</v>
      </c>
      <c r="P1642" s="5">
        <v>265</v>
      </c>
      <c r="Q1642" s="5">
        <v>248</v>
      </c>
      <c r="R1642" s="5">
        <v>256.89999999999998</v>
      </c>
      <c r="S1642" s="5">
        <v>257.60000000000002</v>
      </c>
      <c r="T1642" s="5">
        <v>249.04</v>
      </c>
      <c r="V1642" s="5">
        <v>256.93</v>
      </c>
      <c r="Y1642" s="5">
        <v>140900</v>
      </c>
      <c r="Z1642" s="5">
        <v>36307924.630000003</v>
      </c>
      <c r="AA1642" s="5">
        <v>3823</v>
      </c>
      <c r="AB1642" s="5" t="s">
        <v>85</v>
      </c>
      <c r="AC1642" s="5">
        <v>1</v>
      </c>
    </row>
    <row r="1643" spans="1:29" x14ac:dyDescent="0.3">
      <c r="A1643" s="34">
        <v>46274</v>
      </c>
      <c r="B1643" s="34">
        <v>46274</v>
      </c>
      <c r="C1643" s="5" t="s">
        <v>78</v>
      </c>
      <c r="D1643" s="5" t="s">
        <v>79</v>
      </c>
      <c r="E1643" s="5" t="s">
        <v>80</v>
      </c>
      <c r="F1643" s="5">
        <v>2331</v>
      </c>
      <c r="G1643" s="5" t="s">
        <v>5021</v>
      </c>
      <c r="H1643" s="5" t="s">
        <v>5022</v>
      </c>
      <c r="I1643" s="5" t="s">
        <v>212</v>
      </c>
      <c r="N1643" s="5" t="s">
        <v>5023</v>
      </c>
      <c r="O1643" s="5">
        <v>90.05</v>
      </c>
      <c r="P1643" s="5">
        <v>92.39</v>
      </c>
      <c r="Q1643" s="5">
        <v>90.05</v>
      </c>
      <c r="R1643" s="5">
        <v>91.36</v>
      </c>
      <c r="S1643" s="5">
        <v>91.25</v>
      </c>
      <c r="T1643" s="5">
        <v>90.68</v>
      </c>
      <c r="V1643" s="5">
        <v>91.36</v>
      </c>
      <c r="Y1643" s="5">
        <v>3291186</v>
      </c>
      <c r="Z1643" s="5">
        <v>301117963.31999999</v>
      </c>
      <c r="AA1643" s="5">
        <v>16367</v>
      </c>
      <c r="AB1643" s="5" t="s">
        <v>85</v>
      </c>
      <c r="AC1643" s="5">
        <v>1</v>
      </c>
    </row>
    <row r="1644" spans="1:29" x14ac:dyDescent="0.3">
      <c r="A1644" s="34">
        <v>46274</v>
      </c>
      <c r="B1644" s="34">
        <v>46274</v>
      </c>
      <c r="C1644" s="5" t="s">
        <v>78</v>
      </c>
      <c r="D1644" s="5" t="s">
        <v>79</v>
      </c>
      <c r="E1644" s="5" t="s">
        <v>80</v>
      </c>
      <c r="F1644" s="5">
        <v>759159</v>
      </c>
      <c r="G1644" s="5" t="s">
        <v>5024</v>
      </c>
      <c r="H1644" s="5" t="s">
        <v>5025</v>
      </c>
      <c r="I1644" s="5" t="s">
        <v>313</v>
      </c>
      <c r="N1644" s="5" t="s">
        <v>5026</v>
      </c>
      <c r="O1644" s="5">
        <v>134</v>
      </c>
      <c r="P1644" s="5">
        <v>134</v>
      </c>
      <c r="Q1644" s="5">
        <v>134</v>
      </c>
      <c r="R1644" s="5">
        <v>134</v>
      </c>
      <c r="S1644" s="5">
        <v>134</v>
      </c>
      <c r="T1644" s="5">
        <v>135</v>
      </c>
      <c r="V1644" s="5">
        <v>134</v>
      </c>
      <c r="Y1644" s="5">
        <v>4000</v>
      </c>
      <c r="Z1644" s="5">
        <v>536000</v>
      </c>
      <c r="AA1644" s="5">
        <v>1</v>
      </c>
      <c r="AB1644" s="5" t="s">
        <v>85</v>
      </c>
      <c r="AC1644" s="5">
        <v>1000</v>
      </c>
    </row>
    <row r="1645" spans="1:29" x14ac:dyDescent="0.3">
      <c r="A1645" s="34">
        <v>46274</v>
      </c>
      <c r="B1645" s="34">
        <v>46274</v>
      </c>
      <c r="C1645" s="5" t="s">
        <v>78</v>
      </c>
      <c r="D1645" s="5" t="s">
        <v>79</v>
      </c>
      <c r="E1645" s="5" t="s">
        <v>80</v>
      </c>
      <c r="F1645" s="5">
        <v>760073</v>
      </c>
      <c r="G1645" s="5" t="s">
        <v>5027</v>
      </c>
      <c r="H1645" s="5" t="s">
        <v>5028</v>
      </c>
      <c r="I1645" s="5" t="s">
        <v>212</v>
      </c>
      <c r="N1645" s="5" t="s">
        <v>5029</v>
      </c>
      <c r="O1645" s="5">
        <v>160.49</v>
      </c>
      <c r="P1645" s="5">
        <v>173.5</v>
      </c>
      <c r="Q1645" s="5">
        <v>159.55000000000001</v>
      </c>
      <c r="R1645" s="5">
        <v>168.94</v>
      </c>
      <c r="S1645" s="5">
        <v>168.88</v>
      </c>
      <c r="T1645" s="5">
        <v>159.87</v>
      </c>
      <c r="V1645" s="5">
        <v>168.93</v>
      </c>
      <c r="Y1645" s="5">
        <v>1531650</v>
      </c>
      <c r="Z1645" s="5">
        <v>260568212.97</v>
      </c>
      <c r="AA1645" s="5">
        <v>25223</v>
      </c>
      <c r="AB1645" s="5" t="s">
        <v>85</v>
      </c>
      <c r="AC1645" s="5">
        <v>1</v>
      </c>
    </row>
    <row r="1646" spans="1:29" x14ac:dyDescent="0.3">
      <c r="A1646" s="34">
        <v>46274</v>
      </c>
      <c r="B1646" s="34">
        <v>46274</v>
      </c>
      <c r="C1646" s="5" t="s">
        <v>78</v>
      </c>
      <c r="D1646" s="5" t="s">
        <v>79</v>
      </c>
      <c r="E1646" s="5" t="s">
        <v>80</v>
      </c>
      <c r="F1646" s="5">
        <v>765563</v>
      </c>
      <c r="G1646" s="5" t="s">
        <v>5030</v>
      </c>
      <c r="H1646" s="5" t="s">
        <v>5031</v>
      </c>
      <c r="I1646" s="5" t="s">
        <v>234</v>
      </c>
      <c r="N1646" s="5" t="s">
        <v>5029</v>
      </c>
      <c r="O1646" s="5">
        <v>81.64</v>
      </c>
      <c r="P1646" s="5">
        <v>96.95</v>
      </c>
      <c r="Q1646" s="5">
        <v>80</v>
      </c>
      <c r="R1646" s="5">
        <v>89.89</v>
      </c>
      <c r="S1646" s="5">
        <v>90.99</v>
      </c>
      <c r="T1646" s="5">
        <v>81.64</v>
      </c>
      <c r="V1646" s="5">
        <v>89.71</v>
      </c>
      <c r="Y1646" s="5">
        <v>101809</v>
      </c>
      <c r="Z1646" s="5">
        <v>9040977.8699999992</v>
      </c>
      <c r="AA1646" s="5">
        <v>880</v>
      </c>
      <c r="AB1646" s="5" t="s">
        <v>85</v>
      </c>
      <c r="AC1646" s="5">
        <v>1</v>
      </c>
    </row>
    <row r="1647" spans="1:29" x14ac:dyDescent="0.3">
      <c r="A1647" s="34">
        <v>46274</v>
      </c>
      <c r="B1647" s="34">
        <v>46274</v>
      </c>
      <c r="C1647" s="5" t="s">
        <v>78</v>
      </c>
      <c r="D1647" s="5" t="s">
        <v>79</v>
      </c>
      <c r="E1647" s="5" t="s">
        <v>80</v>
      </c>
      <c r="F1647" s="5">
        <v>1720</v>
      </c>
      <c r="G1647" s="5" t="s">
        <v>5032</v>
      </c>
      <c r="H1647" s="5" t="s">
        <v>5033</v>
      </c>
      <c r="I1647" s="5" t="s">
        <v>212</v>
      </c>
      <c r="N1647" s="5" t="s">
        <v>5034</v>
      </c>
      <c r="O1647" s="5">
        <v>95</v>
      </c>
      <c r="P1647" s="5">
        <v>95.8</v>
      </c>
      <c r="Q1647" s="5">
        <v>93.93</v>
      </c>
      <c r="R1647" s="5">
        <v>94.88</v>
      </c>
      <c r="S1647" s="5">
        <v>95.18</v>
      </c>
      <c r="T1647" s="5">
        <v>94.41</v>
      </c>
      <c r="V1647" s="5">
        <v>94.88</v>
      </c>
      <c r="Y1647" s="5">
        <v>48714</v>
      </c>
      <c r="Z1647" s="5">
        <v>4608072.8899999997</v>
      </c>
      <c r="AA1647" s="5">
        <v>464</v>
      </c>
      <c r="AB1647" s="5" t="s">
        <v>85</v>
      </c>
      <c r="AC1647" s="5">
        <v>1</v>
      </c>
    </row>
    <row r="1648" spans="1:29" x14ac:dyDescent="0.3">
      <c r="A1648" s="34">
        <v>46274</v>
      </c>
      <c r="B1648" s="34">
        <v>46274</v>
      </c>
      <c r="C1648" s="5" t="s">
        <v>78</v>
      </c>
      <c r="D1648" s="5" t="s">
        <v>79</v>
      </c>
      <c r="E1648" s="5" t="s">
        <v>80</v>
      </c>
      <c r="F1648" s="5">
        <v>11655</v>
      </c>
      <c r="G1648" s="5" t="s">
        <v>5035</v>
      </c>
      <c r="H1648" s="5" t="s">
        <v>5036</v>
      </c>
      <c r="I1648" s="5" t="s">
        <v>212</v>
      </c>
      <c r="N1648" s="5" t="s">
        <v>5037</v>
      </c>
      <c r="O1648" s="5">
        <v>617.15</v>
      </c>
      <c r="P1648" s="5">
        <v>618.9</v>
      </c>
      <c r="Q1648" s="5">
        <v>611.54999999999995</v>
      </c>
      <c r="R1648" s="5">
        <v>614.25</v>
      </c>
      <c r="S1648" s="5">
        <v>614</v>
      </c>
      <c r="T1648" s="5">
        <v>615.35</v>
      </c>
      <c r="V1648" s="5">
        <v>614.22</v>
      </c>
      <c r="Y1648" s="5">
        <v>158453</v>
      </c>
      <c r="Z1648" s="5">
        <v>97428151.599999994</v>
      </c>
      <c r="AA1648" s="5">
        <v>7802</v>
      </c>
      <c r="AB1648" s="5" t="s">
        <v>85</v>
      </c>
      <c r="AC1648" s="5">
        <v>1</v>
      </c>
    </row>
    <row r="1649" spans="1:29" x14ac:dyDescent="0.3">
      <c r="A1649" s="34">
        <v>46274</v>
      </c>
      <c r="B1649" s="34">
        <v>46274</v>
      </c>
      <c r="C1649" s="5" t="s">
        <v>78</v>
      </c>
      <c r="D1649" s="5" t="s">
        <v>79</v>
      </c>
      <c r="E1649" s="5" t="s">
        <v>80</v>
      </c>
      <c r="F1649" s="5">
        <v>758115</v>
      </c>
      <c r="G1649" s="5" t="s">
        <v>5038</v>
      </c>
      <c r="H1649" s="5" t="s">
        <v>5039</v>
      </c>
      <c r="I1649" s="5" t="s">
        <v>212</v>
      </c>
      <c r="N1649" s="5" t="s">
        <v>5040</v>
      </c>
      <c r="O1649" s="5">
        <v>505.45</v>
      </c>
      <c r="P1649" s="5">
        <v>512.25</v>
      </c>
      <c r="Q1649" s="5">
        <v>499.9</v>
      </c>
      <c r="R1649" s="5">
        <v>506.2</v>
      </c>
      <c r="S1649" s="5">
        <v>507.9</v>
      </c>
      <c r="T1649" s="5">
        <v>505.45</v>
      </c>
      <c r="V1649" s="5">
        <v>506.19</v>
      </c>
      <c r="Y1649" s="5">
        <v>523561</v>
      </c>
      <c r="Z1649" s="5">
        <v>264918320.94999999</v>
      </c>
      <c r="AA1649" s="5">
        <v>22936</v>
      </c>
      <c r="AB1649" s="5" t="s">
        <v>85</v>
      </c>
      <c r="AC1649" s="5">
        <v>1</v>
      </c>
    </row>
    <row r="1650" spans="1:29" x14ac:dyDescent="0.3">
      <c r="A1650" s="34">
        <v>46274</v>
      </c>
      <c r="B1650" s="34">
        <v>46274</v>
      </c>
      <c r="C1650" s="5" t="s">
        <v>78</v>
      </c>
      <c r="D1650" s="5" t="s">
        <v>79</v>
      </c>
      <c r="E1650" s="5" t="s">
        <v>80</v>
      </c>
      <c r="F1650" s="5">
        <v>764728</v>
      </c>
      <c r="G1650" s="5" t="s">
        <v>5041</v>
      </c>
      <c r="H1650" s="5" t="s">
        <v>5042</v>
      </c>
      <c r="I1650" s="5" t="s">
        <v>212</v>
      </c>
      <c r="N1650" s="5" t="s">
        <v>5043</v>
      </c>
      <c r="O1650" s="5">
        <v>1052.5</v>
      </c>
      <c r="P1650" s="5">
        <v>1052.9000000000001</v>
      </c>
      <c r="Q1650" s="5">
        <v>1021.2</v>
      </c>
      <c r="R1650" s="5">
        <v>1023.7</v>
      </c>
      <c r="S1650" s="5">
        <v>1023.1</v>
      </c>
      <c r="T1650" s="5">
        <v>1039.9000000000001</v>
      </c>
      <c r="V1650" s="5">
        <v>1023.74</v>
      </c>
      <c r="Y1650" s="5">
        <v>1113</v>
      </c>
      <c r="Z1650" s="5">
        <v>1140482.8</v>
      </c>
      <c r="AA1650" s="5">
        <v>73</v>
      </c>
      <c r="AB1650" s="5" t="s">
        <v>85</v>
      </c>
      <c r="AC1650" s="5">
        <v>1</v>
      </c>
    </row>
    <row r="1651" spans="1:29" x14ac:dyDescent="0.3">
      <c r="A1651" s="34">
        <v>46274</v>
      </c>
      <c r="B1651" s="34">
        <v>46274</v>
      </c>
      <c r="C1651" s="5" t="s">
        <v>78</v>
      </c>
      <c r="D1651" s="5" t="s">
        <v>79</v>
      </c>
      <c r="E1651" s="5" t="s">
        <v>80</v>
      </c>
      <c r="F1651" s="5">
        <v>7211</v>
      </c>
      <c r="G1651" s="5" t="s">
        <v>5044</v>
      </c>
      <c r="H1651" s="5" t="s">
        <v>5045</v>
      </c>
      <c r="I1651" s="5" t="s">
        <v>212</v>
      </c>
      <c r="N1651" s="5" t="s">
        <v>5046</v>
      </c>
      <c r="O1651" s="5">
        <v>20.25</v>
      </c>
      <c r="P1651" s="5">
        <v>20.72</v>
      </c>
      <c r="Q1651" s="5">
        <v>19.899999999999999</v>
      </c>
      <c r="R1651" s="5">
        <v>20.11</v>
      </c>
      <c r="S1651" s="5">
        <v>20.11</v>
      </c>
      <c r="T1651" s="5">
        <v>20.239999999999998</v>
      </c>
      <c r="V1651" s="5">
        <v>20.11</v>
      </c>
      <c r="Y1651" s="5">
        <v>128937</v>
      </c>
      <c r="Z1651" s="5">
        <v>2603130.2400000002</v>
      </c>
      <c r="AA1651" s="5">
        <v>1204</v>
      </c>
      <c r="AB1651" s="5" t="s">
        <v>85</v>
      </c>
      <c r="AC1651" s="5">
        <v>1</v>
      </c>
    </row>
    <row r="1652" spans="1:29" x14ac:dyDescent="0.3">
      <c r="A1652" s="34">
        <v>46274</v>
      </c>
      <c r="B1652" s="34">
        <v>46274</v>
      </c>
      <c r="C1652" s="5" t="s">
        <v>78</v>
      </c>
      <c r="D1652" s="5" t="s">
        <v>79</v>
      </c>
      <c r="E1652" s="5" t="s">
        <v>80</v>
      </c>
      <c r="F1652" s="5">
        <v>25150</v>
      </c>
      <c r="G1652" s="5" t="s">
        <v>5047</v>
      </c>
      <c r="H1652" s="5" t="s">
        <v>5048</v>
      </c>
      <c r="I1652" s="5" t="s">
        <v>392</v>
      </c>
      <c r="N1652" s="5" t="s">
        <v>5049</v>
      </c>
      <c r="O1652" s="5">
        <v>21.5</v>
      </c>
      <c r="P1652" s="5">
        <v>21.5</v>
      </c>
      <c r="Q1652" s="5">
        <v>20.85</v>
      </c>
      <c r="R1652" s="5">
        <v>21.2</v>
      </c>
      <c r="S1652" s="5">
        <v>21.2</v>
      </c>
      <c r="T1652" s="5">
        <v>21.8</v>
      </c>
      <c r="V1652" s="5">
        <v>21.2</v>
      </c>
      <c r="Y1652" s="5">
        <v>72000</v>
      </c>
      <c r="Z1652" s="5">
        <v>1518400</v>
      </c>
      <c r="AA1652" s="5">
        <v>26</v>
      </c>
      <c r="AB1652" s="5" t="s">
        <v>85</v>
      </c>
      <c r="AC1652" s="5">
        <v>2000</v>
      </c>
    </row>
    <row r="1653" spans="1:29" x14ac:dyDescent="0.3">
      <c r="A1653" s="34">
        <v>46274</v>
      </c>
      <c r="B1653" s="34">
        <v>46274</v>
      </c>
      <c r="C1653" s="5" t="s">
        <v>78</v>
      </c>
      <c r="D1653" s="5" t="s">
        <v>79</v>
      </c>
      <c r="E1653" s="5" t="s">
        <v>80</v>
      </c>
      <c r="F1653" s="5">
        <v>10885</v>
      </c>
      <c r="G1653" s="5" t="s">
        <v>5050</v>
      </c>
      <c r="H1653" s="5" t="s">
        <v>5051</v>
      </c>
      <c r="I1653" s="5" t="s">
        <v>313</v>
      </c>
      <c r="N1653" s="5" t="s">
        <v>5052</v>
      </c>
      <c r="O1653" s="5">
        <v>10.15</v>
      </c>
      <c r="P1653" s="5">
        <v>10.15</v>
      </c>
      <c r="Q1653" s="5">
        <v>10.15</v>
      </c>
      <c r="R1653" s="5">
        <v>10.15</v>
      </c>
      <c r="S1653" s="5">
        <v>10.15</v>
      </c>
      <c r="T1653" s="5">
        <v>9.6999999999999993</v>
      </c>
      <c r="V1653" s="5">
        <v>10.15</v>
      </c>
      <c r="Y1653" s="5">
        <v>24000</v>
      </c>
      <c r="Z1653" s="5">
        <v>243600</v>
      </c>
      <c r="AA1653" s="5">
        <v>3</v>
      </c>
      <c r="AB1653" s="5" t="s">
        <v>85</v>
      </c>
      <c r="AC1653" s="5">
        <v>6000</v>
      </c>
    </row>
    <row r="1654" spans="1:29" x14ac:dyDescent="0.3">
      <c r="A1654" s="34">
        <v>46274</v>
      </c>
      <c r="B1654" s="34">
        <v>46274</v>
      </c>
      <c r="C1654" s="5" t="s">
        <v>78</v>
      </c>
      <c r="D1654" s="5" t="s">
        <v>79</v>
      </c>
      <c r="E1654" s="5" t="s">
        <v>80</v>
      </c>
      <c r="F1654" s="5">
        <v>13720</v>
      </c>
      <c r="G1654" s="5" t="s">
        <v>5053</v>
      </c>
      <c r="H1654" s="5" t="s">
        <v>5054</v>
      </c>
      <c r="I1654" s="5" t="s">
        <v>212</v>
      </c>
      <c r="N1654" s="5" t="s">
        <v>5055</v>
      </c>
      <c r="O1654" s="5">
        <v>8.25</v>
      </c>
      <c r="P1654" s="5">
        <v>8.4</v>
      </c>
      <c r="Q1654" s="5">
        <v>7.66</v>
      </c>
      <c r="R1654" s="5">
        <v>8.11</v>
      </c>
      <c r="S1654" s="5">
        <v>8.1999999999999993</v>
      </c>
      <c r="T1654" s="5">
        <v>7.97</v>
      </c>
      <c r="V1654" s="5">
        <v>8.11</v>
      </c>
      <c r="Y1654" s="5">
        <v>47340</v>
      </c>
      <c r="Z1654" s="5">
        <v>387234.42</v>
      </c>
      <c r="AA1654" s="5">
        <v>195</v>
      </c>
      <c r="AB1654" s="5" t="s">
        <v>85</v>
      </c>
      <c r="AC1654" s="5">
        <v>1</v>
      </c>
    </row>
    <row r="1655" spans="1:29" x14ac:dyDescent="0.3">
      <c r="A1655" s="34">
        <v>46274</v>
      </c>
      <c r="B1655" s="34">
        <v>46274</v>
      </c>
      <c r="C1655" s="5" t="s">
        <v>78</v>
      </c>
      <c r="D1655" s="5" t="s">
        <v>79</v>
      </c>
      <c r="E1655" s="5" t="s">
        <v>80</v>
      </c>
      <c r="F1655" s="5">
        <v>24145</v>
      </c>
      <c r="G1655" s="5" t="s">
        <v>5056</v>
      </c>
      <c r="H1655" s="5" t="s">
        <v>5057</v>
      </c>
      <c r="I1655" s="5" t="s">
        <v>212</v>
      </c>
      <c r="N1655" s="5" t="s">
        <v>5058</v>
      </c>
      <c r="O1655" s="5">
        <v>17.2</v>
      </c>
      <c r="P1655" s="5">
        <v>17.350000000000001</v>
      </c>
      <c r="Q1655" s="5">
        <v>16.5</v>
      </c>
      <c r="R1655" s="5">
        <v>17.239999999999998</v>
      </c>
      <c r="S1655" s="5">
        <v>16.850000000000001</v>
      </c>
      <c r="T1655" s="5">
        <v>17.23</v>
      </c>
      <c r="V1655" s="5">
        <v>17.239999999999998</v>
      </c>
      <c r="Y1655" s="5">
        <v>2101</v>
      </c>
      <c r="Z1655" s="5">
        <v>35716.43</v>
      </c>
      <c r="AA1655" s="5">
        <v>75</v>
      </c>
      <c r="AB1655" s="5" t="s">
        <v>85</v>
      </c>
      <c r="AC1655" s="5">
        <v>1</v>
      </c>
    </row>
    <row r="1656" spans="1:29" x14ac:dyDescent="0.3">
      <c r="A1656" s="34">
        <v>46274</v>
      </c>
      <c r="B1656" s="34">
        <v>46274</v>
      </c>
      <c r="C1656" s="5" t="s">
        <v>78</v>
      </c>
      <c r="D1656" s="5" t="s">
        <v>79</v>
      </c>
      <c r="E1656" s="5" t="s">
        <v>80</v>
      </c>
      <c r="F1656" s="5">
        <v>31507</v>
      </c>
      <c r="G1656" s="5" t="s">
        <v>5059</v>
      </c>
      <c r="H1656" s="5" t="s">
        <v>5060</v>
      </c>
      <c r="I1656" s="5" t="s">
        <v>212</v>
      </c>
      <c r="N1656" s="5" t="s">
        <v>5061</v>
      </c>
      <c r="O1656" s="5">
        <v>992.1</v>
      </c>
      <c r="P1656" s="5">
        <v>997.95</v>
      </c>
      <c r="Q1656" s="5">
        <v>988</v>
      </c>
      <c r="R1656" s="5">
        <v>994.05</v>
      </c>
      <c r="S1656" s="5">
        <v>989.1</v>
      </c>
      <c r="T1656" s="5">
        <v>994.45</v>
      </c>
      <c r="V1656" s="5">
        <v>994.02</v>
      </c>
      <c r="Y1656" s="5">
        <v>2455</v>
      </c>
      <c r="Z1656" s="5">
        <v>2437518.2999999998</v>
      </c>
      <c r="AA1656" s="5">
        <v>378</v>
      </c>
      <c r="AB1656" s="5" t="s">
        <v>85</v>
      </c>
      <c r="AC1656" s="5">
        <v>1</v>
      </c>
    </row>
    <row r="1657" spans="1:29" x14ac:dyDescent="0.3">
      <c r="A1657" s="34">
        <v>46274</v>
      </c>
      <c r="B1657" s="34">
        <v>46274</v>
      </c>
      <c r="C1657" s="5" t="s">
        <v>78</v>
      </c>
      <c r="D1657" s="5" t="s">
        <v>79</v>
      </c>
      <c r="E1657" s="5" t="s">
        <v>80</v>
      </c>
      <c r="F1657" s="5">
        <v>13875</v>
      </c>
      <c r="G1657" s="5" t="s">
        <v>5062</v>
      </c>
      <c r="H1657" s="5" t="s">
        <v>5063</v>
      </c>
      <c r="I1657" s="5" t="s">
        <v>212</v>
      </c>
      <c r="N1657" s="5" t="s">
        <v>5064</v>
      </c>
      <c r="O1657" s="5">
        <v>675.05</v>
      </c>
      <c r="P1657" s="5">
        <v>693</v>
      </c>
      <c r="Q1657" s="5">
        <v>666.1</v>
      </c>
      <c r="R1657" s="5">
        <v>673.75</v>
      </c>
      <c r="S1657" s="5">
        <v>672.5</v>
      </c>
      <c r="T1657" s="5">
        <v>678</v>
      </c>
      <c r="V1657" s="5">
        <v>673.73</v>
      </c>
      <c r="Y1657" s="5">
        <v>656825</v>
      </c>
      <c r="Z1657" s="5">
        <v>446497470.5</v>
      </c>
      <c r="AA1657" s="5">
        <v>24964</v>
      </c>
      <c r="AB1657" s="5" t="s">
        <v>85</v>
      </c>
      <c r="AC1657" s="5">
        <v>1</v>
      </c>
    </row>
    <row r="1658" spans="1:29" x14ac:dyDescent="0.3">
      <c r="A1658" s="34">
        <v>46274</v>
      </c>
      <c r="B1658" s="34">
        <v>46274</v>
      </c>
      <c r="C1658" s="5" t="s">
        <v>78</v>
      </c>
      <c r="D1658" s="5" t="s">
        <v>79</v>
      </c>
      <c r="E1658" s="5" t="s">
        <v>80</v>
      </c>
      <c r="F1658" s="5">
        <v>11743</v>
      </c>
      <c r="G1658" s="5" t="s">
        <v>5065</v>
      </c>
      <c r="H1658" s="5" t="s">
        <v>5066</v>
      </c>
      <c r="I1658" s="5" t="s">
        <v>212</v>
      </c>
      <c r="N1658" s="5" t="s">
        <v>5067</v>
      </c>
      <c r="O1658" s="5">
        <v>1021</v>
      </c>
      <c r="P1658" s="5">
        <v>1025.5999999999999</v>
      </c>
      <c r="Q1658" s="5">
        <v>1009.6</v>
      </c>
      <c r="R1658" s="5">
        <v>1019.2</v>
      </c>
      <c r="S1658" s="5">
        <v>1019.9</v>
      </c>
      <c r="T1658" s="5">
        <v>1015.5</v>
      </c>
      <c r="V1658" s="5">
        <v>1019.2</v>
      </c>
      <c r="Y1658" s="5">
        <v>628</v>
      </c>
      <c r="Z1658" s="5">
        <v>638166.1</v>
      </c>
      <c r="AA1658" s="5">
        <v>92</v>
      </c>
      <c r="AB1658" s="5" t="s">
        <v>85</v>
      </c>
      <c r="AC1658" s="5">
        <v>1</v>
      </c>
    </row>
    <row r="1659" spans="1:29" x14ac:dyDescent="0.3">
      <c r="A1659" s="34">
        <v>46274</v>
      </c>
      <c r="B1659" s="34">
        <v>46274</v>
      </c>
      <c r="C1659" s="5" t="s">
        <v>78</v>
      </c>
      <c r="D1659" s="5" t="s">
        <v>79</v>
      </c>
      <c r="E1659" s="5" t="s">
        <v>80</v>
      </c>
      <c r="F1659" s="5">
        <v>1756</v>
      </c>
      <c r="G1659" s="5" t="s">
        <v>5068</v>
      </c>
      <c r="H1659" s="5" t="s">
        <v>5069</v>
      </c>
      <c r="I1659" s="5" t="s">
        <v>212</v>
      </c>
      <c r="N1659" s="5" t="s">
        <v>5070</v>
      </c>
      <c r="O1659" s="5">
        <v>677</v>
      </c>
      <c r="P1659" s="5">
        <v>699</v>
      </c>
      <c r="Q1659" s="5">
        <v>670.1</v>
      </c>
      <c r="R1659" s="5">
        <v>675.7</v>
      </c>
      <c r="S1659" s="5">
        <v>675.05</v>
      </c>
      <c r="T1659" s="5">
        <v>683.8</v>
      </c>
      <c r="V1659" s="5">
        <v>675.53</v>
      </c>
      <c r="Y1659" s="5">
        <v>9912</v>
      </c>
      <c r="Z1659" s="5">
        <v>6742309.0999999996</v>
      </c>
      <c r="AA1659" s="5">
        <v>896</v>
      </c>
      <c r="AB1659" s="5" t="s">
        <v>85</v>
      </c>
      <c r="AC1659" s="5">
        <v>1</v>
      </c>
    </row>
    <row r="1660" spans="1:29" x14ac:dyDescent="0.3">
      <c r="A1660" s="34">
        <v>46274</v>
      </c>
      <c r="B1660" s="34">
        <v>46274</v>
      </c>
      <c r="C1660" s="5" t="s">
        <v>78</v>
      </c>
      <c r="D1660" s="5" t="s">
        <v>79</v>
      </c>
      <c r="E1660" s="5" t="s">
        <v>80</v>
      </c>
      <c r="F1660" s="5">
        <v>3024</v>
      </c>
      <c r="G1660" s="5" t="s">
        <v>5071</v>
      </c>
      <c r="H1660" s="5" t="s">
        <v>5072</v>
      </c>
      <c r="I1660" s="5" t="s">
        <v>212</v>
      </c>
      <c r="N1660" s="5" t="s">
        <v>5073</v>
      </c>
      <c r="O1660" s="5">
        <v>306.7</v>
      </c>
      <c r="P1660" s="5">
        <v>315.3</v>
      </c>
      <c r="Q1660" s="5">
        <v>305.2</v>
      </c>
      <c r="R1660" s="5">
        <v>311.7</v>
      </c>
      <c r="S1660" s="5">
        <v>312.95</v>
      </c>
      <c r="T1660" s="5">
        <v>307.60000000000002</v>
      </c>
      <c r="V1660" s="5">
        <v>311.7</v>
      </c>
      <c r="Y1660" s="5">
        <v>1991399</v>
      </c>
      <c r="Z1660" s="5">
        <v>618356248.35000002</v>
      </c>
      <c r="AA1660" s="5">
        <v>32592</v>
      </c>
      <c r="AB1660" s="5" t="s">
        <v>85</v>
      </c>
      <c r="AC1660" s="5">
        <v>1</v>
      </c>
    </row>
    <row r="1661" spans="1:29" x14ac:dyDescent="0.3">
      <c r="A1661" s="34">
        <v>46274</v>
      </c>
      <c r="B1661" s="34">
        <v>46274</v>
      </c>
      <c r="C1661" s="5" t="s">
        <v>78</v>
      </c>
      <c r="D1661" s="5" t="s">
        <v>79</v>
      </c>
      <c r="E1661" s="5" t="s">
        <v>80</v>
      </c>
      <c r="F1661" s="5">
        <v>11236</v>
      </c>
      <c r="G1661" s="5" t="s">
        <v>5074</v>
      </c>
      <c r="H1661" s="5" t="s">
        <v>5075</v>
      </c>
      <c r="I1661" s="5" t="s">
        <v>212</v>
      </c>
      <c r="N1661" s="5" t="s">
        <v>5076</v>
      </c>
      <c r="O1661" s="5">
        <v>739</v>
      </c>
      <c r="P1661" s="5">
        <v>794</v>
      </c>
      <c r="Q1661" s="5">
        <v>731</v>
      </c>
      <c r="R1661" s="5">
        <v>783.3</v>
      </c>
      <c r="S1661" s="5">
        <v>786.2</v>
      </c>
      <c r="T1661" s="5">
        <v>738.75</v>
      </c>
      <c r="V1661" s="5">
        <v>783.29</v>
      </c>
      <c r="Y1661" s="5">
        <v>6366585</v>
      </c>
      <c r="Z1661" s="5">
        <v>4958924743.1499996</v>
      </c>
      <c r="AA1661" s="5">
        <v>121126</v>
      </c>
      <c r="AB1661" s="5" t="s">
        <v>85</v>
      </c>
      <c r="AC1661" s="5">
        <v>1</v>
      </c>
    </row>
    <row r="1662" spans="1:29" x14ac:dyDescent="0.3">
      <c r="A1662" s="34">
        <v>46274</v>
      </c>
      <c r="B1662" s="34">
        <v>46274</v>
      </c>
      <c r="C1662" s="5" t="s">
        <v>78</v>
      </c>
      <c r="D1662" s="5" t="s">
        <v>79</v>
      </c>
      <c r="E1662" s="5" t="s">
        <v>80</v>
      </c>
      <c r="F1662" s="5">
        <v>6733</v>
      </c>
      <c r="G1662" s="5" t="s">
        <v>5077</v>
      </c>
      <c r="H1662" s="5" t="s">
        <v>5078</v>
      </c>
      <c r="I1662" s="5" t="s">
        <v>212</v>
      </c>
      <c r="N1662" s="5" t="s">
        <v>5079</v>
      </c>
      <c r="O1662" s="5">
        <v>1139.5999999999999</v>
      </c>
      <c r="P1662" s="5">
        <v>1158</v>
      </c>
      <c r="Q1662" s="5">
        <v>1130.5999999999999</v>
      </c>
      <c r="R1662" s="5">
        <v>1146.5</v>
      </c>
      <c r="S1662" s="5">
        <v>1146.5</v>
      </c>
      <c r="T1662" s="5">
        <v>1136.3</v>
      </c>
      <c r="V1662" s="5">
        <v>1146.51</v>
      </c>
      <c r="Y1662" s="5">
        <v>590734</v>
      </c>
      <c r="Z1662" s="5">
        <v>677303162.60000002</v>
      </c>
      <c r="AA1662" s="5">
        <v>25659</v>
      </c>
      <c r="AB1662" s="5" t="s">
        <v>85</v>
      </c>
      <c r="AC1662" s="5">
        <v>1</v>
      </c>
    </row>
    <row r="1663" spans="1:29" x14ac:dyDescent="0.3">
      <c r="A1663" s="34">
        <v>46274</v>
      </c>
      <c r="B1663" s="34">
        <v>46274</v>
      </c>
      <c r="C1663" s="5" t="s">
        <v>78</v>
      </c>
      <c r="D1663" s="5" t="s">
        <v>79</v>
      </c>
      <c r="E1663" s="5" t="s">
        <v>80</v>
      </c>
      <c r="F1663" s="5">
        <v>20642</v>
      </c>
      <c r="G1663" s="5" t="s">
        <v>5080</v>
      </c>
      <c r="H1663" s="5" t="s">
        <v>5081</v>
      </c>
      <c r="I1663" s="5" t="s">
        <v>212</v>
      </c>
      <c r="N1663" s="5" t="s">
        <v>5082</v>
      </c>
      <c r="O1663" s="5">
        <v>55.02</v>
      </c>
      <c r="P1663" s="5">
        <v>57.2</v>
      </c>
      <c r="Q1663" s="5">
        <v>53.61</v>
      </c>
      <c r="R1663" s="5">
        <v>55.44</v>
      </c>
      <c r="S1663" s="5">
        <v>55.67</v>
      </c>
      <c r="T1663" s="5">
        <v>55.53</v>
      </c>
      <c r="V1663" s="5">
        <v>55.44</v>
      </c>
      <c r="Y1663" s="5">
        <v>40892474</v>
      </c>
      <c r="Z1663" s="5">
        <v>2273814438.3800001</v>
      </c>
      <c r="AA1663" s="5">
        <v>86511</v>
      </c>
      <c r="AB1663" s="5" t="s">
        <v>85</v>
      </c>
      <c r="AC1663" s="5">
        <v>1</v>
      </c>
    </row>
    <row r="1664" spans="1:29" x14ac:dyDescent="0.3">
      <c r="A1664" s="34">
        <v>46274</v>
      </c>
      <c r="B1664" s="34">
        <v>46274</v>
      </c>
      <c r="C1664" s="5" t="s">
        <v>78</v>
      </c>
      <c r="D1664" s="5" t="s">
        <v>79</v>
      </c>
      <c r="E1664" s="5" t="s">
        <v>80</v>
      </c>
      <c r="F1664" s="5">
        <v>759205</v>
      </c>
      <c r="G1664" s="5" t="s">
        <v>5083</v>
      </c>
      <c r="H1664" s="5" t="s">
        <v>5084</v>
      </c>
      <c r="I1664" s="5" t="s">
        <v>212</v>
      </c>
      <c r="N1664" s="5" t="s">
        <v>5085</v>
      </c>
      <c r="O1664" s="5">
        <v>96.34</v>
      </c>
      <c r="P1664" s="5">
        <v>96.89</v>
      </c>
      <c r="Q1664" s="5">
        <v>92.25</v>
      </c>
      <c r="R1664" s="5">
        <v>93.63</v>
      </c>
      <c r="S1664" s="5">
        <v>94.49</v>
      </c>
      <c r="T1664" s="5">
        <v>96.5</v>
      </c>
      <c r="V1664" s="5">
        <v>93.65</v>
      </c>
      <c r="Y1664" s="5">
        <v>18691</v>
      </c>
      <c r="Z1664" s="5">
        <v>1762320.86</v>
      </c>
      <c r="AA1664" s="5">
        <v>286</v>
      </c>
      <c r="AB1664" s="5" t="s">
        <v>85</v>
      </c>
      <c r="AC1664" s="5">
        <v>1</v>
      </c>
    </row>
    <row r="1665" spans="1:29" x14ac:dyDescent="0.3">
      <c r="A1665" s="34">
        <v>46274</v>
      </c>
      <c r="B1665" s="34">
        <v>46274</v>
      </c>
      <c r="C1665" s="5" t="s">
        <v>78</v>
      </c>
      <c r="D1665" s="5" t="s">
        <v>79</v>
      </c>
      <c r="E1665" s="5" t="s">
        <v>80</v>
      </c>
      <c r="F1665" s="5">
        <v>18143</v>
      </c>
      <c r="G1665" s="5" t="s">
        <v>5086</v>
      </c>
      <c r="H1665" s="5" t="s">
        <v>5087</v>
      </c>
      <c r="I1665" s="5" t="s">
        <v>212</v>
      </c>
      <c r="N1665" s="5" t="s">
        <v>5088</v>
      </c>
      <c r="O1665" s="5">
        <v>232.5</v>
      </c>
      <c r="P1665" s="5">
        <v>232.97</v>
      </c>
      <c r="Q1665" s="5">
        <v>230.63</v>
      </c>
      <c r="R1665" s="5">
        <v>231</v>
      </c>
      <c r="S1665" s="5">
        <v>231</v>
      </c>
      <c r="T1665" s="5">
        <v>233.15</v>
      </c>
      <c r="V1665" s="5">
        <v>231</v>
      </c>
      <c r="Y1665" s="5">
        <v>10774282</v>
      </c>
      <c r="Z1665" s="5">
        <v>2493680994.71</v>
      </c>
      <c r="AA1665" s="5">
        <v>77349</v>
      </c>
      <c r="AB1665" s="5" t="s">
        <v>85</v>
      </c>
      <c r="AC1665" s="5">
        <v>1</v>
      </c>
    </row>
    <row r="1666" spans="1:29" x14ac:dyDescent="0.3">
      <c r="A1666" s="34">
        <v>46274</v>
      </c>
      <c r="B1666" s="34">
        <v>46274</v>
      </c>
      <c r="C1666" s="5" t="s">
        <v>78</v>
      </c>
      <c r="D1666" s="5" t="s">
        <v>79</v>
      </c>
      <c r="E1666" s="5" t="s">
        <v>80</v>
      </c>
      <c r="F1666" s="5">
        <v>765307</v>
      </c>
      <c r="G1666" s="5" t="s">
        <v>5089</v>
      </c>
      <c r="H1666" s="5" t="s">
        <v>5090</v>
      </c>
      <c r="I1666" s="5" t="s">
        <v>212</v>
      </c>
      <c r="N1666" s="5" t="s">
        <v>5091</v>
      </c>
      <c r="O1666" s="5">
        <v>12.44</v>
      </c>
      <c r="P1666" s="5">
        <v>12.44</v>
      </c>
      <c r="Q1666" s="5">
        <v>12.03</v>
      </c>
      <c r="R1666" s="5">
        <v>12.05</v>
      </c>
      <c r="S1666" s="5">
        <v>12.05</v>
      </c>
      <c r="T1666" s="5">
        <v>12.14</v>
      </c>
      <c r="V1666" s="5">
        <v>12.05</v>
      </c>
      <c r="Y1666" s="5">
        <v>179458</v>
      </c>
      <c r="Z1666" s="5">
        <v>2166160.19</v>
      </c>
      <c r="AA1666" s="5">
        <v>846</v>
      </c>
      <c r="AB1666" s="5" t="s">
        <v>85</v>
      </c>
      <c r="AC1666" s="5">
        <v>1</v>
      </c>
    </row>
    <row r="1667" spans="1:29" x14ac:dyDescent="0.3">
      <c r="A1667" s="34">
        <v>46274</v>
      </c>
      <c r="B1667" s="34">
        <v>46274</v>
      </c>
      <c r="C1667" s="5" t="s">
        <v>78</v>
      </c>
      <c r="D1667" s="5" t="s">
        <v>79</v>
      </c>
      <c r="E1667" s="5" t="s">
        <v>80</v>
      </c>
      <c r="F1667" s="5">
        <v>19691</v>
      </c>
      <c r="G1667" s="5" t="s">
        <v>5092</v>
      </c>
      <c r="H1667" s="5" t="s">
        <v>5093</v>
      </c>
      <c r="I1667" s="5" t="s">
        <v>212</v>
      </c>
      <c r="N1667" s="5" t="s">
        <v>5094</v>
      </c>
      <c r="O1667" s="5">
        <v>309.7</v>
      </c>
      <c r="P1667" s="5">
        <v>309.7</v>
      </c>
      <c r="Q1667" s="5">
        <v>301.25</v>
      </c>
      <c r="R1667" s="5">
        <v>304.95</v>
      </c>
      <c r="S1667" s="5">
        <v>304.05</v>
      </c>
      <c r="T1667" s="5">
        <v>306.5</v>
      </c>
      <c r="V1667" s="5">
        <v>304.95</v>
      </c>
      <c r="Y1667" s="5">
        <v>8268</v>
      </c>
      <c r="Z1667" s="5">
        <v>2529484.9</v>
      </c>
      <c r="AA1667" s="5">
        <v>440</v>
      </c>
      <c r="AB1667" s="5" t="s">
        <v>85</v>
      </c>
      <c r="AC1667" s="5">
        <v>1</v>
      </c>
    </row>
    <row r="1668" spans="1:29" x14ac:dyDescent="0.3">
      <c r="A1668" s="34">
        <v>46274</v>
      </c>
      <c r="B1668" s="34">
        <v>46274</v>
      </c>
      <c r="C1668" s="5" t="s">
        <v>78</v>
      </c>
      <c r="D1668" s="5" t="s">
        <v>79</v>
      </c>
      <c r="E1668" s="5" t="s">
        <v>80</v>
      </c>
      <c r="F1668" s="5">
        <v>18558</v>
      </c>
      <c r="G1668" s="5" t="s">
        <v>5095</v>
      </c>
      <c r="H1668" s="5" t="s">
        <v>5096</v>
      </c>
      <c r="I1668" s="5" t="s">
        <v>313</v>
      </c>
      <c r="N1668" s="5" t="s">
        <v>5097</v>
      </c>
      <c r="O1668" s="5">
        <v>4.2</v>
      </c>
      <c r="P1668" s="5">
        <v>4.2</v>
      </c>
      <c r="Q1668" s="5">
        <v>4.2</v>
      </c>
      <c r="R1668" s="5">
        <v>4.2</v>
      </c>
      <c r="S1668" s="5">
        <v>4.2</v>
      </c>
      <c r="T1668" s="5">
        <v>4.2</v>
      </c>
      <c r="V1668" s="5">
        <v>4.2</v>
      </c>
      <c r="Y1668" s="5">
        <v>6000</v>
      </c>
      <c r="Z1668" s="5">
        <v>25200</v>
      </c>
      <c r="AA1668" s="5">
        <v>1</v>
      </c>
      <c r="AB1668" s="5" t="s">
        <v>85</v>
      </c>
      <c r="AC1668" s="5">
        <v>6000</v>
      </c>
    </row>
    <row r="1669" spans="1:29" x14ac:dyDescent="0.3">
      <c r="A1669" s="34">
        <v>46274</v>
      </c>
      <c r="B1669" s="34">
        <v>46274</v>
      </c>
      <c r="C1669" s="5" t="s">
        <v>78</v>
      </c>
      <c r="D1669" s="5" t="s">
        <v>79</v>
      </c>
      <c r="E1669" s="5" t="s">
        <v>80</v>
      </c>
      <c r="F1669" s="5">
        <v>13270</v>
      </c>
      <c r="G1669" s="5" t="s">
        <v>5098</v>
      </c>
      <c r="H1669" s="5" t="s">
        <v>5099</v>
      </c>
      <c r="I1669" s="5" t="s">
        <v>212</v>
      </c>
      <c r="N1669" s="5" t="s">
        <v>5100</v>
      </c>
      <c r="O1669" s="5">
        <v>5009</v>
      </c>
      <c r="P1669" s="5">
        <v>5070</v>
      </c>
      <c r="Q1669" s="5">
        <v>4960</v>
      </c>
      <c r="R1669" s="5">
        <v>4990.5</v>
      </c>
      <c r="S1669" s="5">
        <v>4990</v>
      </c>
      <c r="T1669" s="5">
        <v>4990.5</v>
      </c>
      <c r="V1669" s="5">
        <v>4990.5</v>
      </c>
      <c r="Y1669" s="5">
        <v>34112</v>
      </c>
      <c r="Z1669" s="5">
        <v>170632715</v>
      </c>
      <c r="AA1669" s="5">
        <v>8515</v>
      </c>
      <c r="AB1669" s="5" t="s">
        <v>85</v>
      </c>
      <c r="AC1669" s="5">
        <v>1</v>
      </c>
    </row>
    <row r="1670" spans="1:29" x14ac:dyDescent="0.3">
      <c r="A1670" s="34">
        <v>46274</v>
      </c>
      <c r="B1670" s="34">
        <v>46274</v>
      </c>
      <c r="C1670" s="5" t="s">
        <v>78</v>
      </c>
      <c r="D1670" s="5" t="s">
        <v>79</v>
      </c>
      <c r="E1670" s="5" t="s">
        <v>80</v>
      </c>
      <c r="F1670" s="5">
        <v>13491</v>
      </c>
      <c r="G1670" s="5" t="s">
        <v>5101</v>
      </c>
      <c r="H1670" s="5" t="s">
        <v>5102</v>
      </c>
      <c r="I1670" s="5" t="s">
        <v>212</v>
      </c>
      <c r="N1670" s="5" t="s">
        <v>5103</v>
      </c>
      <c r="O1670" s="5">
        <v>497.85</v>
      </c>
      <c r="P1670" s="5">
        <v>500.9</v>
      </c>
      <c r="Q1670" s="5">
        <v>495.2</v>
      </c>
      <c r="R1670" s="5">
        <v>499.2</v>
      </c>
      <c r="S1670" s="5">
        <v>500</v>
      </c>
      <c r="T1670" s="5">
        <v>498.75</v>
      </c>
      <c r="V1670" s="5">
        <v>499.19</v>
      </c>
      <c r="Y1670" s="5">
        <v>56131</v>
      </c>
      <c r="Z1670" s="5">
        <v>28000495.149999999</v>
      </c>
      <c r="AA1670" s="5">
        <v>4915</v>
      </c>
      <c r="AB1670" s="5" t="s">
        <v>85</v>
      </c>
      <c r="AC1670" s="5">
        <v>1</v>
      </c>
    </row>
    <row r="1671" spans="1:29" x14ac:dyDescent="0.3">
      <c r="A1671" s="34">
        <v>46274</v>
      </c>
      <c r="B1671" s="34">
        <v>46274</v>
      </c>
      <c r="C1671" s="5" t="s">
        <v>78</v>
      </c>
      <c r="D1671" s="5" t="s">
        <v>79</v>
      </c>
      <c r="E1671" s="5" t="s">
        <v>80</v>
      </c>
      <c r="F1671" s="5">
        <v>11860</v>
      </c>
      <c r="G1671" s="5" t="s">
        <v>5104</v>
      </c>
      <c r="H1671" s="5" t="s">
        <v>5105</v>
      </c>
      <c r="I1671" s="5" t="s">
        <v>212</v>
      </c>
      <c r="N1671" s="5" t="s">
        <v>5106</v>
      </c>
      <c r="O1671" s="5">
        <v>418.9</v>
      </c>
      <c r="P1671" s="5">
        <v>418.9</v>
      </c>
      <c r="Q1671" s="5">
        <v>406.8</v>
      </c>
      <c r="R1671" s="5">
        <v>408.85</v>
      </c>
      <c r="S1671" s="5">
        <v>408.25</v>
      </c>
      <c r="T1671" s="5">
        <v>415.3</v>
      </c>
      <c r="V1671" s="5">
        <v>408.74</v>
      </c>
      <c r="Y1671" s="5">
        <v>353280</v>
      </c>
      <c r="Z1671" s="5">
        <v>145313824.69999999</v>
      </c>
      <c r="AA1671" s="5">
        <v>9358</v>
      </c>
      <c r="AB1671" s="5" t="s">
        <v>85</v>
      </c>
      <c r="AC1671" s="5">
        <v>1</v>
      </c>
    </row>
    <row r="1672" spans="1:29" x14ac:dyDescent="0.3">
      <c r="A1672" s="34">
        <v>46274</v>
      </c>
      <c r="B1672" s="34">
        <v>46274</v>
      </c>
      <c r="C1672" s="5" t="s">
        <v>78</v>
      </c>
      <c r="D1672" s="5" t="s">
        <v>79</v>
      </c>
      <c r="E1672" s="5" t="s">
        <v>80</v>
      </c>
      <c r="F1672" s="5">
        <v>14435</v>
      </c>
      <c r="G1672" s="5" t="s">
        <v>5107</v>
      </c>
      <c r="H1672" s="5" t="s">
        <v>5108</v>
      </c>
      <c r="I1672" s="5" t="s">
        <v>212</v>
      </c>
      <c r="N1672" s="5" t="s">
        <v>5109</v>
      </c>
      <c r="O1672" s="5">
        <v>364.4</v>
      </c>
      <c r="P1672" s="5">
        <v>364.75</v>
      </c>
      <c r="Q1672" s="5">
        <v>355.5</v>
      </c>
      <c r="R1672" s="5">
        <v>356.25</v>
      </c>
      <c r="S1672" s="5">
        <v>356.4</v>
      </c>
      <c r="T1672" s="5">
        <v>364.1</v>
      </c>
      <c r="V1672" s="5">
        <v>356.27</v>
      </c>
      <c r="Y1672" s="5">
        <v>661061</v>
      </c>
      <c r="Z1672" s="5">
        <v>236512896.90000001</v>
      </c>
      <c r="AA1672" s="5">
        <v>21459</v>
      </c>
      <c r="AB1672" s="5" t="s">
        <v>85</v>
      </c>
      <c r="AC1672" s="5">
        <v>1</v>
      </c>
    </row>
    <row r="1673" spans="1:29" x14ac:dyDescent="0.3">
      <c r="A1673" s="34">
        <v>46274</v>
      </c>
      <c r="B1673" s="34">
        <v>46274</v>
      </c>
      <c r="C1673" s="5" t="s">
        <v>78</v>
      </c>
      <c r="D1673" s="5" t="s">
        <v>79</v>
      </c>
      <c r="E1673" s="5" t="s">
        <v>80</v>
      </c>
      <c r="F1673" s="5">
        <v>15266</v>
      </c>
      <c r="G1673" s="5" t="s">
        <v>5110</v>
      </c>
      <c r="H1673" s="5" t="s">
        <v>5111</v>
      </c>
      <c r="I1673" s="5" t="s">
        <v>212</v>
      </c>
      <c r="N1673" s="5" t="s">
        <v>5112</v>
      </c>
      <c r="O1673" s="5">
        <v>488.6</v>
      </c>
      <c r="P1673" s="5">
        <v>490</v>
      </c>
      <c r="Q1673" s="5">
        <v>480.35</v>
      </c>
      <c r="R1673" s="5">
        <v>483.55</v>
      </c>
      <c r="S1673" s="5">
        <v>480.5</v>
      </c>
      <c r="T1673" s="5">
        <v>488.6</v>
      </c>
      <c r="V1673" s="5">
        <v>483.56</v>
      </c>
      <c r="Y1673" s="5">
        <v>37410</v>
      </c>
      <c r="Z1673" s="5">
        <v>18159761</v>
      </c>
      <c r="AA1673" s="5">
        <v>2332</v>
      </c>
      <c r="AB1673" s="5" t="s">
        <v>85</v>
      </c>
      <c r="AC1673" s="5">
        <v>1</v>
      </c>
    </row>
    <row r="1674" spans="1:29" x14ac:dyDescent="0.3">
      <c r="A1674" s="34">
        <v>46274</v>
      </c>
      <c r="B1674" s="34">
        <v>46274</v>
      </c>
      <c r="C1674" s="5" t="s">
        <v>78</v>
      </c>
      <c r="D1674" s="5" t="s">
        <v>79</v>
      </c>
      <c r="E1674" s="5" t="s">
        <v>80</v>
      </c>
      <c r="F1674" s="5">
        <v>13637</v>
      </c>
      <c r="G1674" s="5" t="s">
        <v>5113</v>
      </c>
      <c r="H1674" s="5" t="s">
        <v>5114</v>
      </c>
      <c r="I1674" s="5" t="s">
        <v>212</v>
      </c>
      <c r="N1674" s="5" t="s">
        <v>5115</v>
      </c>
      <c r="O1674" s="5">
        <v>128.5</v>
      </c>
      <c r="P1674" s="5">
        <v>128.57</v>
      </c>
      <c r="Q1674" s="5">
        <v>125.7</v>
      </c>
      <c r="R1674" s="5">
        <v>126.73</v>
      </c>
      <c r="S1674" s="5">
        <v>126.8</v>
      </c>
      <c r="T1674" s="5">
        <v>128.47</v>
      </c>
      <c r="V1674" s="5">
        <v>126.73</v>
      </c>
      <c r="Y1674" s="5">
        <v>1812839</v>
      </c>
      <c r="Z1674" s="5">
        <v>230076545.09999999</v>
      </c>
      <c r="AA1674" s="5">
        <v>14317</v>
      </c>
      <c r="AB1674" s="5" t="s">
        <v>85</v>
      </c>
      <c r="AC1674" s="5">
        <v>1</v>
      </c>
    </row>
    <row r="1675" spans="1:29" x14ac:dyDescent="0.3">
      <c r="A1675" s="34">
        <v>46274</v>
      </c>
      <c r="B1675" s="34">
        <v>46274</v>
      </c>
      <c r="C1675" s="5" t="s">
        <v>78</v>
      </c>
      <c r="D1675" s="5" t="s">
        <v>79</v>
      </c>
      <c r="E1675" s="5" t="s">
        <v>80</v>
      </c>
      <c r="F1675" s="5">
        <v>23621</v>
      </c>
      <c r="G1675" s="5" t="s">
        <v>5116</v>
      </c>
      <c r="H1675" s="5" t="s">
        <v>5117</v>
      </c>
      <c r="I1675" s="5" t="s">
        <v>212</v>
      </c>
      <c r="N1675" s="5" t="s">
        <v>5118</v>
      </c>
      <c r="O1675" s="5">
        <v>445</v>
      </c>
      <c r="P1675" s="5">
        <v>445</v>
      </c>
      <c r="Q1675" s="5">
        <v>428.05</v>
      </c>
      <c r="R1675" s="5">
        <v>430.85</v>
      </c>
      <c r="S1675" s="5">
        <v>430</v>
      </c>
      <c r="T1675" s="5">
        <v>440.5</v>
      </c>
      <c r="V1675" s="5">
        <v>430.86</v>
      </c>
      <c r="Y1675" s="5">
        <v>58816</v>
      </c>
      <c r="Z1675" s="5">
        <v>25535176.100000001</v>
      </c>
      <c r="AA1675" s="5">
        <v>2083</v>
      </c>
      <c r="AB1675" s="5" t="s">
        <v>85</v>
      </c>
      <c r="AC1675" s="5">
        <v>1</v>
      </c>
    </row>
    <row r="1676" spans="1:29" x14ac:dyDescent="0.3">
      <c r="A1676" s="34">
        <v>46274</v>
      </c>
      <c r="B1676" s="34">
        <v>46274</v>
      </c>
      <c r="C1676" s="5" t="s">
        <v>78</v>
      </c>
      <c r="D1676" s="5" t="s">
        <v>79</v>
      </c>
      <c r="E1676" s="5" t="s">
        <v>80</v>
      </c>
      <c r="F1676" s="5">
        <v>16927</v>
      </c>
      <c r="G1676" s="5" t="s">
        <v>5119</v>
      </c>
      <c r="H1676" s="5" t="s">
        <v>5120</v>
      </c>
      <c r="I1676" s="5" t="s">
        <v>212</v>
      </c>
      <c r="N1676" s="5" t="s">
        <v>5121</v>
      </c>
      <c r="O1676" s="5">
        <v>163.99</v>
      </c>
      <c r="P1676" s="5">
        <v>164</v>
      </c>
      <c r="Q1676" s="5">
        <v>145.26</v>
      </c>
      <c r="R1676" s="5">
        <v>152.29</v>
      </c>
      <c r="S1676" s="5">
        <v>151.69999999999999</v>
      </c>
      <c r="T1676" s="5">
        <v>164.29</v>
      </c>
      <c r="V1676" s="5">
        <v>152.29</v>
      </c>
      <c r="Y1676" s="5">
        <v>30735</v>
      </c>
      <c r="Z1676" s="5">
        <v>4698875.57</v>
      </c>
      <c r="AA1676" s="5">
        <v>1081</v>
      </c>
      <c r="AB1676" s="5" t="s">
        <v>85</v>
      </c>
      <c r="AC1676" s="5">
        <v>1</v>
      </c>
    </row>
    <row r="1677" spans="1:29" x14ac:dyDescent="0.3">
      <c r="A1677" s="34">
        <v>46274</v>
      </c>
      <c r="B1677" s="34">
        <v>46274</v>
      </c>
      <c r="C1677" s="5" t="s">
        <v>78</v>
      </c>
      <c r="D1677" s="5" t="s">
        <v>79</v>
      </c>
      <c r="E1677" s="5" t="s">
        <v>80</v>
      </c>
      <c r="F1677" s="5">
        <v>762623</v>
      </c>
      <c r="G1677" s="5" t="s">
        <v>5122</v>
      </c>
      <c r="H1677" s="5" t="s">
        <v>5123</v>
      </c>
      <c r="I1677" s="5" t="s">
        <v>212</v>
      </c>
      <c r="N1677" s="5" t="s">
        <v>5124</v>
      </c>
      <c r="O1677" s="5">
        <v>8305.5</v>
      </c>
      <c r="P1677" s="5">
        <v>8361</v>
      </c>
      <c r="Q1677" s="5">
        <v>8105</v>
      </c>
      <c r="R1677" s="5">
        <v>8140</v>
      </c>
      <c r="S1677" s="5">
        <v>8115</v>
      </c>
      <c r="T1677" s="5">
        <v>8325.5</v>
      </c>
      <c r="V1677" s="5">
        <v>8139.68</v>
      </c>
      <c r="Y1677" s="5">
        <v>3989</v>
      </c>
      <c r="Z1677" s="5">
        <v>32844050</v>
      </c>
      <c r="AA1677" s="5">
        <v>1009</v>
      </c>
      <c r="AB1677" s="5" t="s">
        <v>85</v>
      </c>
      <c r="AC1677" s="5">
        <v>1</v>
      </c>
    </row>
    <row r="1678" spans="1:29" x14ac:dyDescent="0.3">
      <c r="A1678" s="34">
        <v>46274</v>
      </c>
      <c r="B1678" s="34">
        <v>46274</v>
      </c>
      <c r="C1678" s="5" t="s">
        <v>78</v>
      </c>
      <c r="D1678" s="5" t="s">
        <v>79</v>
      </c>
      <c r="E1678" s="5" t="s">
        <v>80</v>
      </c>
      <c r="F1678" s="5">
        <v>758460</v>
      </c>
      <c r="G1678" s="5" t="s">
        <v>5125</v>
      </c>
      <c r="H1678" s="5" t="s">
        <v>5126</v>
      </c>
      <c r="I1678" s="5" t="s">
        <v>212</v>
      </c>
      <c r="N1678" s="5" t="s">
        <v>5127</v>
      </c>
      <c r="O1678" s="5">
        <v>120.7</v>
      </c>
      <c r="P1678" s="5">
        <v>121.45</v>
      </c>
      <c r="Q1678" s="5">
        <v>120.41</v>
      </c>
      <c r="R1678" s="5">
        <v>120.7</v>
      </c>
      <c r="S1678" s="5">
        <v>120.63</v>
      </c>
      <c r="T1678" s="5">
        <v>121.62</v>
      </c>
      <c r="V1678" s="5">
        <v>120.72</v>
      </c>
      <c r="Y1678" s="5">
        <v>1069054</v>
      </c>
      <c r="Z1678" s="5">
        <v>129393994.12</v>
      </c>
      <c r="AA1678" s="5">
        <v>11769</v>
      </c>
      <c r="AB1678" s="5" t="s">
        <v>85</v>
      </c>
      <c r="AC1678" s="5">
        <v>1</v>
      </c>
    </row>
    <row r="1679" spans="1:29" x14ac:dyDescent="0.3">
      <c r="A1679" s="34">
        <v>46274</v>
      </c>
      <c r="B1679" s="34">
        <v>46274</v>
      </c>
      <c r="C1679" s="5" t="s">
        <v>78</v>
      </c>
      <c r="D1679" s="5" t="s">
        <v>79</v>
      </c>
      <c r="E1679" s="5" t="s">
        <v>80</v>
      </c>
      <c r="F1679" s="5">
        <v>1467</v>
      </c>
      <c r="G1679" s="5" t="s">
        <v>5128</v>
      </c>
      <c r="H1679" s="5" t="s">
        <v>5129</v>
      </c>
      <c r="I1679" s="5" t="s">
        <v>212</v>
      </c>
      <c r="N1679" s="5" t="s">
        <v>5130</v>
      </c>
      <c r="O1679" s="5">
        <v>3184.4</v>
      </c>
      <c r="P1679" s="5">
        <v>3200</v>
      </c>
      <c r="Q1679" s="5">
        <v>3140.1</v>
      </c>
      <c r="R1679" s="5">
        <v>3179.2</v>
      </c>
      <c r="S1679" s="5">
        <v>3175</v>
      </c>
      <c r="T1679" s="5">
        <v>3174.4</v>
      </c>
      <c r="V1679" s="5">
        <v>3179.2</v>
      </c>
      <c r="Y1679" s="5">
        <v>37589</v>
      </c>
      <c r="Z1679" s="5">
        <v>119237486.3</v>
      </c>
      <c r="AA1679" s="5">
        <v>4010</v>
      </c>
      <c r="AB1679" s="5" t="s">
        <v>85</v>
      </c>
      <c r="AC1679" s="5">
        <v>1</v>
      </c>
    </row>
    <row r="1680" spans="1:29" x14ac:dyDescent="0.3">
      <c r="A1680" s="34">
        <v>46274</v>
      </c>
      <c r="B1680" s="34">
        <v>46274</v>
      </c>
      <c r="C1680" s="5" t="s">
        <v>78</v>
      </c>
      <c r="D1680" s="5" t="s">
        <v>79</v>
      </c>
      <c r="E1680" s="5" t="s">
        <v>80</v>
      </c>
      <c r="F1680" s="5">
        <v>17869</v>
      </c>
      <c r="G1680" s="5" t="s">
        <v>5131</v>
      </c>
      <c r="H1680" s="5" t="s">
        <v>5132</v>
      </c>
      <c r="I1680" s="5" t="s">
        <v>212</v>
      </c>
      <c r="N1680" s="5" t="s">
        <v>5133</v>
      </c>
      <c r="O1680" s="5">
        <v>526.5</v>
      </c>
      <c r="P1680" s="5">
        <v>541.70000000000005</v>
      </c>
      <c r="Q1680" s="5">
        <v>521.5</v>
      </c>
      <c r="R1680" s="5">
        <v>534.79999999999995</v>
      </c>
      <c r="S1680" s="5">
        <v>534.79999999999995</v>
      </c>
      <c r="T1680" s="5">
        <v>526.5</v>
      </c>
      <c r="V1680" s="5">
        <v>534.79999999999995</v>
      </c>
      <c r="Y1680" s="5">
        <v>2167753</v>
      </c>
      <c r="Z1680" s="5">
        <v>1161773828.95</v>
      </c>
      <c r="AA1680" s="5">
        <v>38142</v>
      </c>
      <c r="AB1680" s="5" t="s">
        <v>85</v>
      </c>
      <c r="AC1680" s="5">
        <v>1</v>
      </c>
    </row>
    <row r="1681" spans="1:29" x14ac:dyDescent="0.3">
      <c r="A1681" s="34">
        <v>46274</v>
      </c>
      <c r="B1681" s="34">
        <v>46274</v>
      </c>
      <c r="C1681" s="5" t="s">
        <v>78</v>
      </c>
      <c r="D1681" s="5" t="s">
        <v>79</v>
      </c>
      <c r="E1681" s="5" t="s">
        <v>80</v>
      </c>
      <c r="F1681" s="5">
        <v>11880</v>
      </c>
      <c r="G1681" s="5" t="s">
        <v>5134</v>
      </c>
      <c r="H1681" s="5" t="s">
        <v>5135</v>
      </c>
      <c r="I1681" s="5" t="s">
        <v>212</v>
      </c>
      <c r="N1681" s="5" t="s">
        <v>5136</v>
      </c>
      <c r="O1681" s="5">
        <v>11466</v>
      </c>
      <c r="P1681" s="5">
        <v>11466</v>
      </c>
      <c r="Q1681" s="5">
        <v>11300</v>
      </c>
      <c r="R1681" s="5">
        <v>11344</v>
      </c>
      <c r="S1681" s="5">
        <v>11380</v>
      </c>
      <c r="T1681" s="5">
        <v>11466</v>
      </c>
      <c r="V1681" s="5">
        <v>11345.96</v>
      </c>
      <c r="Y1681" s="5">
        <v>877</v>
      </c>
      <c r="Z1681" s="5">
        <v>9958072</v>
      </c>
      <c r="AA1681" s="5">
        <v>467</v>
      </c>
      <c r="AB1681" s="5" t="s">
        <v>85</v>
      </c>
      <c r="AC1681" s="5">
        <v>1</v>
      </c>
    </row>
    <row r="1682" spans="1:29" x14ac:dyDescent="0.3">
      <c r="A1682" s="34">
        <v>46274</v>
      </c>
      <c r="B1682" s="34">
        <v>46274</v>
      </c>
      <c r="C1682" s="5" t="s">
        <v>78</v>
      </c>
      <c r="D1682" s="5" t="s">
        <v>79</v>
      </c>
      <c r="E1682" s="5" t="s">
        <v>80</v>
      </c>
      <c r="F1682" s="5">
        <v>19020</v>
      </c>
      <c r="G1682" s="5" t="s">
        <v>5137</v>
      </c>
      <c r="H1682" s="5" t="s">
        <v>5138</v>
      </c>
      <c r="I1682" s="5" t="s">
        <v>212</v>
      </c>
      <c r="N1682" s="5" t="s">
        <v>5139</v>
      </c>
      <c r="O1682" s="5">
        <v>330.15</v>
      </c>
      <c r="P1682" s="5">
        <v>343.45</v>
      </c>
      <c r="Q1682" s="5">
        <v>329.1</v>
      </c>
      <c r="R1682" s="5">
        <v>341.4</v>
      </c>
      <c r="S1682" s="5">
        <v>341.4</v>
      </c>
      <c r="T1682" s="5">
        <v>332</v>
      </c>
      <c r="V1682" s="5">
        <v>341.4</v>
      </c>
      <c r="Y1682" s="5">
        <v>5359382</v>
      </c>
      <c r="Z1682" s="5">
        <v>1810728074.1500001</v>
      </c>
      <c r="AA1682" s="5">
        <v>97879</v>
      </c>
      <c r="AB1682" s="5" t="s">
        <v>85</v>
      </c>
      <c r="AC1682" s="5">
        <v>1</v>
      </c>
    </row>
    <row r="1683" spans="1:29" x14ac:dyDescent="0.3">
      <c r="A1683" s="34">
        <v>46274</v>
      </c>
      <c r="B1683" s="34">
        <v>46274</v>
      </c>
      <c r="C1683" s="5" t="s">
        <v>78</v>
      </c>
      <c r="D1683" s="5" t="s">
        <v>79</v>
      </c>
      <c r="E1683" s="5" t="s">
        <v>80</v>
      </c>
      <c r="F1683" s="5">
        <v>11723</v>
      </c>
      <c r="G1683" s="5" t="s">
        <v>5140</v>
      </c>
      <c r="H1683" s="5" t="s">
        <v>5141</v>
      </c>
      <c r="I1683" s="5" t="s">
        <v>212</v>
      </c>
      <c r="N1683" s="5" t="s">
        <v>5142</v>
      </c>
      <c r="O1683" s="5">
        <v>1303.9000000000001</v>
      </c>
      <c r="P1683" s="5">
        <v>1313</v>
      </c>
      <c r="Q1683" s="5">
        <v>1290.0999999999999</v>
      </c>
      <c r="R1683" s="5">
        <v>1310</v>
      </c>
      <c r="S1683" s="5">
        <v>1310</v>
      </c>
      <c r="T1683" s="5">
        <v>1297.3</v>
      </c>
      <c r="V1683" s="5">
        <v>1310</v>
      </c>
      <c r="Y1683" s="5">
        <v>1484708</v>
      </c>
      <c r="Z1683" s="5">
        <v>1936671159.9000001</v>
      </c>
      <c r="AA1683" s="5">
        <v>65493</v>
      </c>
      <c r="AB1683" s="5" t="s">
        <v>85</v>
      </c>
      <c r="AC1683" s="5">
        <v>1</v>
      </c>
    </row>
    <row r="1684" spans="1:29" x14ac:dyDescent="0.3">
      <c r="A1684" s="34">
        <v>46274</v>
      </c>
      <c r="B1684" s="34">
        <v>46274</v>
      </c>
      <c r="C1684" s="5" t="s">
        <v>78</v>
      </c>
      <c r="D1684" s="5" t="s">
        <v>79</v>
      </c>
      <c r="E1684" s="5" t="s">
        <v>80</v>
      </c>
      <c r="F1684" s="5">
        <v>3237</v>
      </c>
      <c r="G1684" s="5" t="s">
        <v>5143</v>
      </c>
      <c r="H1684" s="5" t="s">
        <v>5144</v>
      </c>
      <c r="I1684" s="5" t="s">
        <v>212</v>
      </c>
      <c r="N1684" s="5" t="s">
        <v>5145</v>
      </c>
      <c r="O1684" s="5">
        <v>120.15</v>
      </c>
      <c r="P1684" s="5">
        <v>122</v>
      </c>
      <c r="Q1684" s="5">
        <v>120</v>
      </c>
      <c r="R1684" s="5">
        <v>121.26</v>
      </c>
      <c r="S1684" s="5">
        <v>122</v>
      </c>
      <c r="T1684" s="5">
        <v>121.28</v>
      </c>
      <c r="V1684" s="5">
        <v>121.26</v>
      </c>
      <c r="Y1684" s="5">
        <v>124349</v>
      </c>
      <c r="Z1684" s="5">
        <v>15028551.34</v>
      </c>
      <c r="AA1684" s="5">
        <v>1971</v>
      </c>
      <c r="AB1684" s="5" t="s">
        <v>85</v>
      </c>
      <c r="AC1684" s="5">
        <v>1</v>
      </c>
    </row>
    <row r="1685" spans="1:29" x14ac:dyDescent="0.3">
      <c r="A1685" s="34">
        <v>46274</v>
      </c>
      <c r="B1685" s="34">
        <v>46274</v>
      </c>
      <c r="C1685" s="5" t="s">
        <v>78</v>
      </c>
      <c r="D1685" s="5" t="s">
        <v>79</v>
      </c>
      <c r="E1685" s="5" t="s">
        <v>80</v>
      </c>
      <c r="F1685" s="5">
        <v>7287</v>
      </c>
      <c r="G1685" s="5" t="s">
        <v>5146</v>
      </c>
      <c r="H1685" s="5" t="s">
        <v>5147</v>
      </c>
      <c r="I1685" s="5" t="s">
        <v>212</v>
      </c>
      <c r="N1685" s="5" t="s">
        <v>5148</v>
      </c>
      <c r="O1685" s="5">
        <v>90.04</v>
      </c>
      <c r="P1685" s="5">
        <v>90.04</v>
      </c>
      <c r="Q1685" s="5">
        <v>85.7</v>
      </c>
      <c r="R1685" s="5">
        <v>87.8</v>
      </c>
      <c r="S1685" s="5">
        <v>87.35</v>
      </c>
      <c r="T1685" s="5">
        <v>89.55</v>
      </c>
      <c r="V1685" s="5">
        <v>87.79</v>
      </c>
      <c r="Y1685" s="5">
        <v>3517545</v>
      </c>
      <c r="Z1685" s="5">
        <v>309523439.77999997</v>
      </c>
      <c r="AA1685" s="5">
        <v>17135</v>
      </c>
      <c r="AB1685" s="5" t="s">
        <v>85</v>
      </c>
      <c r="AC1685" s="5">
        <v>1</v>
      </c>
    </row>
    <row r="1686" spans="1:29" x14ac:dyDescent="0.3">
      <c r="A1686" s="34">
        <v>46274</v>
      </c>
      <c r="B1686" s="34">
        <v>46274</v>
      </c>
      <c r="C1686" s="5" t="s">
        <v>78</v>
      </c>
      <c r="D1686" s="5" t="s">
        <v>79</v>
      </c>
      <c r="E1686" s="5" t="s">
        <v>80</v>
      </c>
      <c r="F1686" s="5">
        <v>29590</v>
      </c>
      <c r="G1686" s="5" t="s">
        <v>5149</v>
      </c>
      <c r="H1686" s="5" t="s">
        <v>5150</v>
      </c>
      <c r="I1686" s="5" t="s">
        <v>212</v>
      </c>
      <c r="N1686" s="5" t="s">
        <v>5151</v>
      </c>
      <c r="O1686" s="5">
        <v>2192</v>
      </c>
      <c r="P1686" s="5">
        <v>2223.3000000000002</v>
      </c>
      <c r="Q1686" s="5">
        <v>2170</v>
      </c>
      <c r="R1686" s="5">
        <v>2191.1</v>
      </c>
      <c r="S1686" s="5">
        <v>2170.5</v>
      </c>
      <c r="T1686" s="5">
        <v>2177.8000000000002</v>
      </c>
      <c r="V1686" s="5">
        <v>2191.02</v>
      </c>
      <c r="Y1686" s="5">
        <v>2958</v>
      </c>
      <c r="Z1686" s="5">
        <v>6512471.7000000002</v>
      </c>
      <c r="AA1686" s="5">
        <v>576</v>
      </c>
      <c r="AB1686" s="5" t="s">
        <v>85</v>
      </c>
      <c r="AC1686" s="5">
        <v>1</v>
      </c>
    </row>
    <row r="1687" spans="1:29" x14ac:dyDescent="0.3">
      <c r="A1687" s="34">
        <v>46274</v>
      </c>
      <c r="B1687" s="34">
        <v>46274</v>
      </c>
      <c r="C1687" s="5" t="s">
        <v>78</v>
      </c>
      <c r="D1687" s="5" t="s">
        <v>79</v>
      </c>
      <c r="E1687" s="5" t="s">
        <v>80</v>
      </c>
      <c r="F1687" s="5">
        <v>18096</v>
      </c>
      <c r="G1687" s="5" t="s">
        <v>5152</v>
      </c>
      <c r="H1687" s="5" t="s">
        <v>5153</v>
      </c>
      <c r="I1687" s="5" t="s">
        <v>212</v>
      </c>
      <c r="N1687" s="5" t="s">
        <v>5154</v>
      </c>
      <c r="O1687" s="5">
        <v>477.1</v>
      </c>
      <c r="P1687" s="5">
        <v>479.25</v>
      </c>
      <c r="Q1687" s="5">
        <v>473</v>
      </c>
      <c r="R1687" s="5">
        <v>475.95</v>
      </c>
      <c r="S1687" s="5">
        <v>475.95</v>
      </c>
      <c r="T1687" s="5">
        <v>480.4</v>
      </c>
      <c r="V1687" s="5">
        <v>475.94</v>
      </c>
      <c r="Y1687" s="5">
        <v>712724</v>
      </c>
      <c r="Z1687" s="5">
        <v>339163221.30000001</v>
      </c>
      <c r="AA1687" s="5">
        <v>16565</v>
      </c>
      <c r="AB1687" s="5" t="s">
        <v>85</v>
      </c>
      <c r="AC1687" s="5">
        <v>1</v>
      </c>
    </row>
    <row r="1688" spans="1:29" x14ac:dyDescent="0.3">
      <c r="A1688" s="34">
        <v>46274</v>
      </c>
      <c r="B1688" s="34">
        <v>46274</v>
      </c>
      <c r="C1688" s="5" t="s">
        <v>78</v>
      </c>
      <c r="D1688" s="5" t="s">
        <v>79</v>
      </c>
      <c r="E1688" s="5" t="s">
        <v>80</v>
      </c>
      <c r="F1688" s="5">
        <v>2783</v>
      </c>
      <c r="G1688" s="5" t="s">
        <v>5155</v>
      </c>
      <c r="H1688" s="5" t="s">
        <v>5156</v>
      </c>
      <c r="I1688" s="5" t="s">
        <v>212</v>
      </c>
      <c r="N1688" s="5" t="s">
        <v>5157</v>
      </c>
      <c r="O1688" s="5">
        <v>672.3</v>
      </c>
      <c r="P1688" s="5">
        <v>678.1</v>
      </c>
      <c r="Q1688" s="5">
        <v>656.5</v>
      </c>
      <c r="R1688" s="5">
        <v>672.75</v>
      </c>
      <c r="S1688" s="5">
        <v>672</v>
      </c>
      <c r="T1688" s="5">
        <v>675.3</v>
      </c>
      <c r="V1688" s="5">
        <v>672.75</v>
      </c>
      <c r="Y1688" s="5">
        <v>379943</v>
      </c>
      <c r="Z1688" s="5">
        <v>253515033.69999999</v>
      </c>
      <c r="AA1688" s="5">
        <v>19991</v>
      </c>
      <c r="AB1688" s="5" t="s">
        <v>85</v>
      </c>
      <c r="AC1688" s="5">
        <v>1</v>
      </c>
    </row>
    <row r="1689" spans="1:29" x14ac:dyDescent="0.3">
      <c r="A1689" s="34">
        <v>46274</v>
      </c>
      <c r="B1689" s="34">
        <v>46274</v>
      </c>
      <c r="C1689" s="5" t="s">
        <v>78</v>
      </c>
      <c r="D1689" s="5" t="s">
        <v>79</v>
      </c>
      <c r="E1689" s="5" t="s">
        <v>80</v>
      </c>
      <c r="F1689" s="5">
        <v>3637</v>
      </c>
      <c r="G1689" s="5" t="s">
        <v>5158</v>
      </c>
      <c r="H1689" s="5" t="s">
        <v>5159</v>
      </c>
      <c r="I1689" s="5" t="s">
        <v>212</v>
      </c>
      <c r="N1689" s="5" t="s">
        <v>5160</v>
      </c>
      <c r="O1689" s="5">
        <v>1000</v>
      </c>
      <c r="P1689" s="5">
        <v>1023.5</v>
      </c>
      <c r="Q1689" s="5">
        <v>989.05</v>
      </c>
      <c r="R1689" s="5">
        <v>1019</v>
      </c>
      <c r="S1689" s="5">
        <v>1019.95</v>
      </c>
      <c r="T1689" s="5">
        <v>997.75</v>
      </c>
      <c r="V1689" s="5">
        <v>1019</v>
      </c>
      <c r="Y1689" s="5">
        <v>452808</v>
      </c>
      <c r="Z1689" s="5">
        <v>457743567.60000002</v>
      </c>
      <c r="AA1689" s="5">
        <v>31903</v>
      </c>
      <c r="AB1689" s="5" t="s">
        <v>85</v>
      </c>
      <c r="AC1689" s="5">
        <v>1</v>
      </c>
    </row>
    <row r="1690" spans="1:29" x14ac:dyDescent="0.3">
      <c r="A1690" s="34">
        <v>46274</v>
      </c>
      <c r="B1690" s="34">
        <v>46274</v>
      </c>
      <c r="C1690" s="5" t="s">
        <v>78</v>
      </c>
      <c r="D1690" s="5" t="s">
        <v>79</v>
      </c>
      <c r="E1690" s="5" t="s">
        <v>80</v>
      </c>
      <c r="F1690" s="5">
        <v>7109</v>
      </c>
      <c r="G1690" s="5" t="s">
        <v>5161</v>
      </c>
      <c r="H1690" s="5" t="s">
        <v>5162</v>
      </c>
      <c r="I1690" s="5" t="s">
        <v>212</v>
      </c>
      <c r="N1690" s="5" t="s">
        <v>5163</v>
      </c>
      <c r="O1690" s="5">
        <v>90</v>
      </c>
      <c r="P1690" s="5">
        <v>101</v>
      </c>
      <c r="Q1690" s="5">
        <v>89.15</v>
      </c>
      <c r="R1690" s="5">
        <v>97.14</v>
      </c>
      <c r="S1690" s="5">
        <v>97.05</v>
      </c>
      <c r="T1690" s="5">
        <v>89.14</v>
      </c>
      <c r="V1690" s="5">
        <v>97.14</v>
      </c>
      <c r="Y1690" s="5">
        <v>165983</v>
      </c>
      <c r="Z1690" s="5">
        <v>16154486.17</v>
      </c>
      <c r="AA1690" s="5">
        <v>1328</v>
      </c>
      <c r="AB1690" s="5" t="s">
        <v>85</v>
      </c>
      <c r="AC1690" s="5">
        <v>1</v>
      </c>
    </row>
    <row r="1691" spans="1:29" x14ac:dyDescent="0.3">
      <c r="A1691" s="34">
        <v>46274</v>
      </c>
      <c r="B1691" s="34">
        <v>46274</v>
      </c>
      <c r="C1691" s="5" t="s">
        <v>78</v>
      </c>
      <c r="D1691" s="5" t="s">
        <v>79</v>
      </c>
      <c r="E1691" s="5" t="s">
        <v>80</v>
      </c>
      <c r="F1691" s="5">
        <v>764408</v>
      </c>
      <c r="G1691" s="5" t="s">
        <v>5164</v>
      </c>
      <c r="H1691" s="5" t="s">
        <v>5165</v>
      </c>
      <c r="I1691" s="5" t="s">
        <v>212</v>
      </c>
      <c r="N1691" s="5" t="s">
        <v>5166</v>
      </c>
      <c r="O1691" s="5">
        <v>261.10000000000002</v>
      </c>
      <c r="P1691" s="5">
        <v>262.89999999999998</v>
      </c>
      <c r="Q1691" s="5">
        <v>257</v>
      </c>
      <c r="R1691" s="5">
        <v>260.5</v>
      </c>
      <c r="S1691" s="5">
        <v>260.25</v>
      </c>
      <c r="T1691" s="5">
        <v>264.10000000000002</v>
      </c>
      <c r="V1691" s="5">
        <v>260.5</v>
      </c>
      <c r="Y1691" s="5">
        <v>500085</v>
      </c>
      <c r="Z1691" s="5">
        <v>130140253.3</v>
      </c>
      <c r="AA1691" s="5">
        <v>11109</v>
      </c>
      <c r="AB1691" s="5" t="s">
        <v>85</v>
      </c>
      <c r="AC1691" s="5">
        <v>1</v>
      </c>
    </row>
    <row r="1692" spans="1:29" x14ac:dyDescent="0.3">
      <c r="A1692" s="34">
        <v>46274</v>
      </c>
      <c r="B1692" s="34">
        <v>46274</v>
      </c>
      <c r="C1692" s="5" t="s">
        <v>78</v>
      </c>
      <c r="D1692" s="5" t="s">
        <v>79</v>
      </c>
      <c r="E1692" s="5" t="s">
        <v>80</v>
      </c>
      <c r="F1692" s="5">
        <v>22824</v>
      </c>
      <c r="G1692" s="5" t="s">
        <v>5167</v>
      </c>
      <c r="H1692" s="5" t="s">
        <v>5168</v>
      </c>
      <c r="I1692" s="5" t="s">
        <v>212</v>
      </c>
      <c r="N1692" s="5" t="s">
        <v>5169</v>
      </c>
      <c r="O1692" s="5">
        <v>217.37</v>
      </c>
      <c r="P1692" s="5">
        <v>217.37</v>
      </c>
      <c r="Q1692" s="5">
        <v>212.84</v>
      </c>
      <c r="R1692" s="5">
        <v>213.41</v>
      </c>
      <c r="S1692" s="5">
        <v>214.81</v>
      </c>
      <c r="T1692" s="5">
        <v>215.75</v>
      </c>
      <c r="V1692" s="5">
        <v>213.43</v>
      </c>
      <c r="Y1692" s="5">
        <v>120641</v>
      </c>
      <c r="Z1692" s="5">
        <v>25807480.890000001</v>
      </c>
      <c r="AA1692" s="5">
        <v>3685</v>
      </c>
      <c r="AB1692" s="5" t="s">
        <v>85</v>
      </c>
      <c r="AC1692" s="5">
        <v>1</v>
      </c>
    </row>
    <row r="1693" spans="1:29" x14ac:dyDescent="0.3">
      <c r="A1693" s="34">
        <v>46274</v>
      </c>
      <c r="B1693" s="34">
        <v>46274</v>
      </c>
      <c r="C1693" s="5" t="s">
        <v>78</v>
      </c>
      <c r="D1693" s="5" t="s">
        <v>79</v>
      </c>
      <c r="E1693" s="5" t="s">
        <v>80</v>
      </c>
      <c r="F1693" s="5">
        <v>18553</v>
      </c>
      <c r="G1693" s="5" t="s">
        <v>5170</v>
      </c>
      <c r="H1693" s="5" t="s">
        <v>5171</v>
      </c>
      <c r="I1693" s="5" t="s">
        <v>212</v>
      </c>
      <c r="N1693" s="5" t="s">
        <v>5172</v>
      </c>
      <c r="O1693" s="5">
        <v>283.45</v>
      </c>
      <c r="P1693" s="5">
        <v>287</v>
      </c>
      <c r="Q1693" s="5">
        <v>280</v>
      </c>
      <c r="R1693" s="5">
        <v>282</v>
      </c>
      <c r="S1693" s="5">
        <v>280.14999999999998</v>
      </c>
      <c r="T1693" s="5">
        <v>283.35000000000002</v>
      </c>
      <c r="V1693" s="5">
        <v>282.02999999999997</v>
      </c>
      <c r="Y1693" s="5">
        <v>51216</v>
      </c>
      <c r="Z1693" s="5">
        <v>14500729.800000001</v>
      </c>
      <c r="AA1693" s="5">
        <v>3361</v>
      </c>
      <c r="AB1693" s="5" t="s">
        <v>85</v>
      </c>
      <c r="AC1693" s="5">
        <v>1</v>
      </c>
    </row>
    <row r="1694" spans="1:29" x14ac:dyDescent="0.3">
      <c r="A1694" s="34">
        <v>46274</v>
      </c>
      <c r="B1694" s="34">
        <v>46274</v>
      </c>
      <c r="C1694" s="5" t="s">
        <v>78</v>
      </c>
      <c r="D1694" s="5" t="s">
        <v>79</v>
      </c>
      <c r="E1694" s="5" t="s">
        <v>80</v>
      </c>
      <c r="F1694" s="5">
        <v>20224</v>
      </c>
      <c r="G1694" s="5" t="s">
        <v>5173</v>
      </c>
      <c r="H1694" s="5" t="s">
        <v>5174</v>
      </c>
      <c r="I1694" s="5" t="s">
        <v>212</v>
      </c>
      <c r="N1694" s="5" t="s">
        <v>5175</v>
      </c>
      <c r="O1694" s="5">
        <v>244</v>
      </c>
      <c r="P1694" s="5">
        <v>245.4</v>
      </c>
      <c r="Q1694" s="5">
        <v>240.5</v>
      </c>
      <c r="R1694" s="5">
        <v>241.01</v>
      </c>
      <c r="S1694" s="5">
        <v>240.69</v>
      </c>
      <c r="T1694" s="5">
        <v>242.41</v>
      </c>
      <c r="V1694" s="5">
        <v>241</v>
      </c>
      <c r="Y1694" s="5">
        <v>491937</v>
      </c>
      <c r="Z1694" s="5">
        <v>119153048.66</v>
      </c>
      <c r="AA1694" s="5">
        <v>11766</v>
      </c>
      <c r="AB1694" s="5" t="s">
        <v>85</v>
      </c>
      <c r="AC1694" s="5">
        <v>1</v>
      </c>
    </row>
    <row r="1695" spans="1:29" x14ac:dyDescent="0.3">
      <c r="A1695" s="34">
        <v>46274</v>
      </c>
      <c r="B1695" s="34">
        <v>46274</v>
      </c>
      <c r="C1695" s="5" t="s">
        <v>78</v>
      </c>
      <c r="D1695" s="5" t="s">
        <v>79</v>
      </c>
      <c r="E1695" s="5" t="s">
        <v>80</v>
      </c>
      <c r="F1695" s="5">
        <v>29962</v>
      </c>
      <c r="G1695" s="5" t="s">
        <v>5176</v>
      </c>
      <c r="H1695" s="5" t="s">
        <v>5177</v>
      </c>
      <c r="I1695" s="5" t="s">
        <v>212</v>
      </c>
      <c r="N1695" s="5" t="s">
        <v>5178</v>
      </c>
      <c r="O1695" s="5">
        <v>688.3</v>
      </c>
      <c r="P1695" s="5">
        <v>688.85</v>
      </c>
      <c r="Q1695" s="5">
        <v>672.2</v>
      </c>
      <c r="R1695" s="5">
        <v>678.45</v>
      </c>
      <c r="S1695" s="5">
        <v>676.45</v>
      </c>
      <c r="T1695" s="5">
        <v>694.25</v>
      </c>
      <c r="V1695" s="5">
        <v>678.05</v>
      </c>
      <c r="Y1695" s="5">
        <v>149701</v>
      </c>
      <c r="Z1695" s="5">
        <v>101546662</v>
      </c>
      <c r="AA1695" s="5">
        <v>5019</v>
      </c>
      <c r="AB1695" s="5" t="s">
        <v>85</v>
      </c>
      <c r="AC1695" s="5">
        <v>1</v>
      </c>
    </row>
    <row r="1696" spans="1:29" x14ac:dyDescent="0.3">
      <c r="A1696" s="34">
        <v>46274</v>
      </c>
      <c r="B1696" s="34">
        <v>46274</v>
      </c>
      <c r="C1696" s="5" t="s">
        <v>78</v>
      </c>
      <c r="D1696" s="5" t="s">
        <v>79</v>
      </c>
      <c r="E1696" s="5" t="s">
        <v>80</v>
      </c>
      <c r="F1696" s="5">
        <v>15146</v>
      </c>
      <c r="G1696" s="5" t="s">
        <v>5179</v>
      </c>
      <c r="H1696" s="5" t="s">
        <v>5180</v>
      </c>
      <c r="I1696" s="5" t="s">
        <v>212</v>
      </c>
      <c r="N1696" s="5" t="s">
        <v>5181</v>
      </c>
      <c r="O1696" s="5">
        <v>195</v>
      </c>
      <c r="P1696" s="5">
        <v>196.3</v>
      </c>
      <c r="Q1696" s="5">
        <v>191.24</v>
      </c>
      <c r="R1696" s="5">
        <v>195.1</v>
      </c>
      <c r="S1696" s="5">
        <v>195</v>
      </c>
      <c r="T1696" s="5">
        <v>194.59</v>
      </c>
      <c r="V1696" s="5">
        <v>195.12</v>
      </c>
      <c r="Y1696" s="5">
        <v>516334</v>
      </c>
      <c r="Z1696" s="5">
        <v>100357256.91</v>
      </c>
      <c r="AA1696" s="5">
        <v>10539</v>
      </c>
      <c r="AB1696" s="5" t="s">
        <v>85</v>
      </c>
      <c r="AC1696" s="5">
        <v>1</v>
      </c>
    </row>
    <row r="1697" spans="1:29" x14ac:dyDescent="0.3">
      <c r="A1697" s="34">
        <v>46274</v>
      </c>
      <c r="B1697" s="34">
        <v>46274</v>
      </c>
      <c r="C1697" s="5" t="s">
        <v>78</v>
      </c>
      <c r="D1697" s="5" t="s">
        <v>79</v>
      </c>
      <c r="E1697" s="5" t="s">
        <v>80</v>
      </c>
      <c r="F1697" s="5">
        <v>21334</v>
      </c>
      <c r="G1697" s="5" t="s">
        <v>5182</v>
      </c>
      <c r="H1697" s="5" t="s">
        <v>24</v>
      </c>
      <c r="I1697" s="5" t="s">
        <v>212</v>
      </c>
      <c r="N1697" s="5" t="s">
        <v>5183</v>
      </c>
      <c r="O1697" s="5">
        <v>1030.3499999999999</v>
      </c>
      <c r="P1697" s="5">
        <v>1055</v>
      </c>
      <c r="Q1697" s="5">
        <v>1005</v>
      </c>
      <c r="R1697" s="5">
        <v>1009.05</v>
      </c>
      <c r="S1697" s="5">
        <v>1010</v>
      </c>
      <c r="T1697" s="5">
        <v>1037.2</v>
      </c>
      <c r="V1697" s="5">
        <v>1009.04</v>
      </c>
      <c r="Y1697" s="5">
        <v>510588</v>
      </c>
      <c r="Z1697" s="5">
        <v>521705887.75</v>
      </c>
      <c r="AA1697" s="5">
        <v>19802</v>
      </c>
      <c r="AB1697" s="5" t="s">
        <v>85</v>
      </c>
      <c r="AC1697" s="5">
        <v>1</v>
      </c>
    </row>
    <row r="1698" spans="1:29" x14ac:dyDescent="0.3">
      <c r="A1698" s="34">
        <v>46274</v>
      </c>
      <c r="B1698" s="34">
        <v>46274</v>
      </c>
      <c r="C1698" s="5" t="s">
        <v>78</v>
      </c>
      <c r="D1698" s="5" t="s">
        <v>79</v>
      </c>
      <c r="E1698" s="5" t="s">
        <v>80</v>
      </c>
      <c r="F1698" s="5">
        <v>758221</v>
      </c>
      <c r="G1698" s="5" t="s">
        <v>5184</v>
      </c>
      <c r="H1698" s="5" t="s">
        <v>5185</v>
      </c>
      <c r="I1698" s="5" t="s">
        <v>313</v>
      </c>
      <c r="N1698" s="5" t="s">
        <v>5186</v>
      </c>
      <c r="O1698" s="5">
        <v>46.6</v>
      </c>
      <c r="P1698" s="5">
        <v>46.6</v>
      </c>
      <c r="Q1698" s="5">
        <v>44.5</v>
      </c>
      <c r="R1698" s="5">
        <v>45.5</v>
      </c>
      <c r="S1698" s="5">
        <v>45.5</v>
      </c>
      <c r="T1698" s="5">
        <v>44.4</v>
      </c>
      <c r="V1698" s="5">
        <v>45.5</v>
      </c>
      <c r="Y1698" s="5">
        <v>76000</v>
      </c>
      <c r="Z1698" s="5">
        <v>3516800</v>
      </c>
      <c r="AA1698" s="5">
        <v>38</v>
      </c>
      <c r="AB1698" s="5" t="s">
        <v>85</v>
      </c>
      <c r="AC1698" s="5">
        <v>2000</v>
      </c>
    </row>
    <row r="1699" spans="1:29" x14ac:dyDescent="0.3">
      <c r="A1699" s="34">
        <v>46274</v>
      </c>
      <c r="B1699" s="34">
        <v>46274</v>
      </c>
      <c r="C1699" s="5" t="s">
        <v>78</v>
      </c>
      <c r="D1699" s="5" t="s">
        <v>79</v>
      </c>
      <c r="E1699" s="5" t="s">
        <v>80</v>
      </c>
      <c r="F1699" s="5">
        <v>764733</v>
      </c>
      <c r="G1699" s="5" t="s">
        <v>5187</v>
      </c>
      <c r="H1699" s="5" t="s">
        <v>5188</v>
      </c>
      <c r="I1699" s="5" t="s">
        <v>212</v>
      </c>
      <c r="N1699" s="5" t="s">
        <v>5189</v>
      </c>
      <c r="O1699" s="5">
        <v>868.85</v>
      </c>
      <c r="P1699" s="5">
        <v>877</v>
      </c>
      <c r="Q1699" s="5">
        <v>858.05</v>
      </c>
      <c r="R1699" s="5">
        <v>865.45</v>
      </c>
      <c r="S1699" s="5">
        <v>877</v>
      </c>
      <c r="T1699" s="5">
        <v>873.95</v>
      </c>
      <c r="V1699" s="5">
        <v>867.15</v>
      </c>
      <c r="Y1699" s="5">
        <v>5254</v>
      </c>
      <c r="Z1699" s="5">
        <v>4543581.5</v>
      </c>
      <c r="AA1699" s="5">
        <v>847</v>
      </c>
      <c r="AB1699" s="5" t="s">
        <v>85</v>
      </c>
      <c r="AC1699" s="5">
        <v>1</v>
      </c>
    </row>
    <row r="1700" spans="1:29" x14ac:dyDescent="0.3">
      <c r="A1700" s="34">
        <v>46274</v>
      </c>
      <c r="B1700" s="34">
        <v>46274</v>
      </c>
      <c r="C1700" s="5" t="s">
        <v>78</v>
      </c>
      <c r="D1700" s="5" t="s">
        <v>79</v>
      </c>
      <c r="E1700" s="5" t="s">
        <v>80</v>
      </c>
      <c r="F1700" s="5">
        <v>1802</v>
      </c>
      <c r="G1700" s="5" t="s">
        <v>5190</v>
      </c>
      <c r="H1700" s="5" t="s">
        <v>5191</v>
      </c>
      <c r="I1700" s="5" t="s">
        <v>212</v>
      </c>
      <c r="N1700" s="5" t="s">
        <v>5192</v>
      </c>
      <c r="O1700" s="5">
        <v>10.47</v>
      </c>
      <c r="P1700" s="5">
        <v>10.47</v>
      </c>
      <c r="Q1700" s="5">
        <v>10</v>
      </c>
      <c r="R1700" s="5">
        <v>10.08</v>
      </c>
      <c r="S1700" s="5">
        <v>10.130000000000001</v>
      </c>
      <c r="T1700" s="5">
        <v>10.42</v>
      </c>
      <c r="V1700" s="5">
        <v>10.08</v>
      </c>
      <c r="Y1700" s="5">
        <v>4126612</v>
      </c>
      <c r="Z1700" s="5">
        <v>42157613.899999999</v>
      </c>
      <c r="AA1700" s="5">
        <v>4537</v>
      </c>
      <c r="AB1700" s="5" t="s">
        <v>85</v>
      </c>
      <c r="AC1700" s="5">
        <v>1</v>
      </c>
    </row>
    <row r="1701" spans="1:29" x14ac:dyDescent="0.3">
      <c r="A1701" s="34">
        <v>46274</v>
      </c>
      <c r="B1701" s="34">
        <v>46274</v>
      </c>
      <c r="C1701" s="5" t="s">
        <v>78</v>
      </c>
      <c r="D1701" s="5" t="s">
        <v>79</v>
      </c>
      <c r="E1701" s="5" t="s">
        <v>80</v>
      </c>
      <c r="F1701" s="5">
        <v>764743</v>
      </c>
      <c r="G1701" s="5" t="s">
        <v>5193</v>
      </c>
      <c r="H1701" s="5" t="s">
        <v>5194</v>
      </c>
      <c r="I1701" s="5" t="s">
        <v>212</v>
      </c>
      <c r="N1701" s="5" t="s">
        <v>5195</v>
      </c>
      <c r="O1701" s="5">
        <v>62.5</v>
      </c>
      <c r="P1701" s="5">
        <v>63.97</v>
      </c>
      <c r="Q1701" s="5">
        <v>62</v>
      </c>
      <c r="R1701" s="5">
        <v>62.64</v>
      </c>
      <c r="S1701" s="5">
        <v>62</v>
      </c>
      <c r="T1701" s="5">
        <v>62.54</v>
      </c>
      <c r="V1701" s="5">
        <v>63.58</v>
      </c>
      <c r="Y1701" s="5">
        <v>285</v>
      </c>
      <c r="Z1701" s="5">
        <v>17927.21</v>
      </c>
      <c r="AA1701" s="5">
        <v>11</v>
      </c>
      <c r="AB1701" s="5" t="s">
        <v>85</v>
      </c>
      <c r="AC1701" s="5">
        <v>1</v>
      </c>
    </row>
    <row r="1702" spans="1:29" x14ac:dyDescent="0.3">
      <c r="A1702" s="34">
        <v>46274</v>
      </c>
      <c r="B1702" s="34">
        <v>46274</v>
      </c>
      <c r="C1702" s="5" t="s">
        <v>78</v>
      </c>
      <c r="D1702" s="5" t="s">
        <v>79</v>
      </c>
      <c r="E1702" s="5" t="s">
        <v>80</v>
      </c>
      <c r="F1702" s="5">
        <v>764748</v>
      </c>
      <c r="G1702" s="5" t="s">
        <v>5196</v>
      </c>
      <c r="H1702" s="5" t="s">
        <v>5197</v>
      </c>
      <c r="I1702" s="5" t="s">
        <v>212</v>
      </c>
      <c r="N1702" s="5" t="s">
        <v>5198</v>
      </c>
      <c r="O1702" s="5">
        <v>138.47</v>
      </c>
      <c r="P1702" s="5">
        <v>139.19999999999999</v>
      </c>
      <c r="Q1702" s="5">
        <v>135</v>
      </c>
      <c r="R1702" s="5">
        <v>138.25</v>
      </c>
      <c r="S1702" s="5">
        <v>138</v>
      </c>
      <c r="T1702" s="5">
        <v>137.59</v>
      </c>
      <c r="V1702" s="5">
        <v>138.24</v>
      </c>
      <c r="Y1702" s="5">
        <v>71949</v>
      </c>
      <c r="Z1702" s="5">
        <v>9921464.2599999998</v>
      </c>
      <c r="AA1702" s="5">
        <v>1813</v>
      </c>
      <c r="AB1702" s="5" t="s">
        <v>85</v>
      </c>
      <c r="AC1702" s="5">
        <v>1</v>
      </c>
    </row>
    <row r="1703" spans="1:29" x14ac:dyDescent="0.3">
      <c r="A1703" s="34">
        <v>46274</v>
      </c>
      <c r="B1703" s="34">
        <v>46274</v>
      </c>
      <c r="C1703" s="5" t="s">
        <v>78</v>
      </c>
      <c r="D1703" s="5" t="s">
        <v>79</v>
      </c>
      <c r="E1703" s="5" t="s">
        <v>80</v>
      </c>
      <c r="F1703" s="5">
        <v>14667</v>
      </c>
      <c r="G1703" s="5" t="s">
        <v>5199</v>
      </c>
      <c r="H1703" s="5" t="s">
        <v>5200</v>
      </c>
      <c r="I1703" s="5" t="s">
        <v>212</v>
      </c>
      <c r="N1703" s="5" t="s">
        <v>5201</v>
      </c>
      <c r="O1703" s="5">
        <v>30.25</v>
      </c>
      <c r="P1703" s="5">
        <v>30.4</v>
      </c>
      <c r="Q1703" s="5">
        <v>29.61</v>
      </c>
      <c r="R1703" s="5">
        <v>29.67</v>
      </c>
      <c r="S1703" s="5">
        <v>29.61</v>
      </c>
      <c r="T1703" s="5">
        <v>30.31</v>
      </c>
      <c r="V1703" s="5">
        <v>29.67</v>
      </c>
      <c r="Y1703" s="5">
        <v>149192</v>
      </c>
      <c r="Z1703" s="5">
        <v>4437580.53</v>
      </c>
      <c r="AA1703" s="5">
        <v>876</v>
      </c>
      <c r="AB1703" s="5" t="s">
        <v>85</v>
      </c>
      <c r="AC1703" s="5">
        <v>1</v>
      </c>
    </row>
    <row r="1704" spans="1:29" x14ac:dyDescent="0.3">
      <c r="A1704" s="34">
        <v>46274</v>
      </c>
      <c r="B1704" s="34">
        <v>46274</v>
      </c>
      <c r="C1704" s="5" t="s">
        <v>78</v>
      </c>
      <c r="D1704" s="5" t="s">
        <v>79</v>
      </c>
      <c r="E1704" s="5" t="s">
        <v>80</v>
      </c>
      <c r="F1704" s="5">
        <v>27079</v>
      </c>
      <c r="G1704" s="5" t="s">
        <v>5202</v>
      </c>
      <c r="H1704" s="5" t="s">
        <v>5203</v>
      </c>
      <c r="I1704" s="5" t="s">
        <v>212</v>
      </c>
      <c r="N1704" s="5" t="s">
        <v>5204</v>
      </c>
      <c r="O1704" s="5">
        <v>238.09</v>
      </c>
      <c r="P1704" s="5">
        <v>241.5</v>
      </c>
      <c r="Q1704" s="5">
        <v>231.5</v>
      </c>
      <c r="R1704" s="5">
        <v>232.83</v>
      </c>
      <c r="S1704" s="5">
        <v>234</v>
      </c>
      <c r="T1704" s="5">
        <v>235.88</v>
      </c>
      <c r="V1704" s="5">
        <v>232.85</v>
      </c>
      <c r="Y1704" s="5">
        <v>384870</v>
      </c>
      <c r="Z1704" s="5">
        <v>90989945.180000007</v>
      </c>
      <c r="AA1704" s="5">
        <v>8123</v>
      </c>
      <c r="AB1704" s="5" t="s">
        <v>85</v>
      </c>
      <c r="AC1704" s="5">
        <v>1</v>
      </c>
    </row>
    <row r="1705" spans="1:29" x14ac:dyDescent="0.3">
      <c r="A1705" s="34">
        <v>46274</v>
      </c>
      <c r="B1705" s="34">
        <v>46274</v>
      </c>
      <c r="C1705" s="5" t="s">
        <v>78</v>
      </c>
      <c r="D1705" s="5" t="s">
        <v>79</v>
      </c>
      <c r="E1705" s="5" t="s">
        <v>80</v>
      </c>
      <c r="F1705" s="5">
        <v>23462</v>
      </c>
      <c r="G1705" s="5" t="s">
        <v>5205</v>
      </c>
      <c r="H1705" s="5" t="s">
        <v>5206</v>
      </c>
      <c r="I1705" s="5" t="s">
        <v>392</v>
      </c>
      <c r="N1705" s="5" t="s">
        <v>5207</v>
      </c>
      <c r="O1705" s="5">
        <v>46.5</v>
      </c>
      <c r="P1705" s="5">
        <v>48.3</v>
      </c>
      <c r="Q1705" s="5">
        <v>45.2</v>
      </c>
      <c r="R1705" s="5">
        <v>48.3</v>
      </c>
      <c r="S1705" s="5">
        <v>48.3</v>
      </c>
      <c r="T1705" s="5">
        <v>46.05</v>
      </c>
      <c r="V1705" s="5">
        <v>48.3</v>
      </c>
      <c r="Y1705" s="5">
        <v>18600</v>
      </c>
      <c r="Z1705" s="5">
        <v>871620</v>
      </c>
      <c r="AA1705" s="5">
        <v>31</v>
      </c>
      <c r="AB1705" s="5" t="s">
        <v>85</v>
      </c>
      <c r="AC1705" s="5">
        <v>600</v>
      </c>
    </row>
    <row r="1706" spans="1:29" x14ac:dyDescent="0.3">
      <c r="A1706" s="34">
        <v>46274</v>
      </c>
      <c r="B1706" s="34">
        <v>46274</v>
      </c>
      <c r="C1706" s="5" t="s">
        <v>78</v>
      </c>
      <c r="D1706" s="5" t="s">
        <v>79</v>
      </c>
      <c r="E1706" s="5" t="s">
        <v>80</v>
      </c>
      <c r="F1706" s="5">
        <v>1805</v>
      </c>
      <c r="G1706" s="5" t="s">
        <v>5208</v>
      </c>
      <c r="H1706" s="5" t="s">
        <v>5209</v>
      </c>
      <c r="I1706" s="5" t="s">
        <v>212</v>
      </c>
      <c r="N1706" s="5" t="s">
        <v>5210</v>
      </c>
      <c r="O1706" s="5">
        <v>656.45</v>
      </c>
      <c r="P1706" s="5">
        <v>678.95</v>
      </c>
      <c r="Q1706" s="5">
        <v>636.15</v>
      </c>
      <c r="R1706" s="5">
        <v>662.95</v>
      </c>
      <c r="S1706" s="5">
        <v>659</v>
      </c>
      <c r="T1706" s="5">
        <v>656.45</v>
      </c>
      <c r="V1706" s="5">
        <v>663.14</v>
      </c>
      <c r="Y1706" s="5">
        <v>233277</v>
      </c>
      <c r="Z1706" s="5">
        <v>154040095.34999999</v>
      </c>
      <c r="AA1706" s="5">
        <v>12406</v>
      </c>
      <c r="AB1706" s="5" t="s">
        <v>85</v>
      </c>
      <c r="AC1706" s="5">
        <v>1</v>
      </c>
    </row>
    <row r="1707" spans="1:29" x14ac:dyDescent="0.3">
      <c r="A1707" s="34">
        <v>46274</v>
      </c>
      <c r="B1707" s="34">
        <v>46274</v>
      </c>
      <c r="C1707" s="5" t="s">
        <v>78</v>
      </c>
      <c r="D1707" s="5" t="s">
        <v>79</v>
      </c>
      <c r="E1707" s="5" t="s">
        <v>80</v>
      </c>
      <c r="F1707" s="5">
        <v>29192</v>
      </c>
      <c r="G1707" s="5" t="s">
        <v>5211</v>
      </c>
      <c r="H1707" s="5" t="s">
        <v>5212</v>
      </c>
      <c r="I1707" s="5" t="s">
        <v>313</v>
      </c>
      <c r="N1707" s="5" t="s">
        <v>5213</v>
      </c>
      <c r="O1707" s="5">
        <v>101.55</v>
      </c>
      <c r="P1707" s="5">
        <v>103.55</v>
      </c>
      <c r="Q1707" s="5">
        <v>101.5</v>
      </c>
      <c r="R1707" s="5">
        <v>102.5</v>
      </c>
      <c r="S1707" s="5">
        <v>103.55</v>
      </c>
      <c r="T1707" s="5">
        <v>103.3</v>
      </c>
      <c r="V1707" s="5">
        <v>102.5</v>
      </c>
      <c r="Y1707" s="5">
        <v>3000</v>
      </c>
      <c r="Z1707" s="5">
        <v>306600</v>
      </c>
      <c r="AA1707" s="5">
        <v>3</v>
      </c>
      <c r="AB1707" s="5" t="s">
        <v>85</v>
      </c>
      <c r="AC1707" s="5">
        <v>1000</v>
      </c>
    </row>
    <row r="1708" spans="1:29" x14ac:dyDescent="0.3">
      <c r="A1708" s="34">
        <v>46274</v>
      </c>
      <c r="B1708" s="34">
        <v>46274</v>
      </c>
      <c r="C1708" s="5" t="s">
        <v>78</v>
      </c>
      <c r="D1708" s="5" t="s">
        <v>79</v>
      </c>
      <c r="E1708" s="5" t="s">
        <v>80</v>
      </c>
      <c r="F1708" s="5">
        <v>1808</v>
      </c>
      <c r="G1708" s="5" t="s">
        <v>5214</v>
      </c>
      <c r="H1708" s="5" t="s">
        <v>5215</v>
      </c>
      <c r="I1708" s="5" t="s">
        <v>212</v>
      </c>
      <c r="N1708" s="5" t="s">
        <v>5216</v>
      </c>
      <c r="O1708" s="5">
        <v>1248.9000000000001</v>
      </c>
      <c r="P1708" s="5">
        <v>1248.9000000000001</v>
      </c>
      <c r="Q1708" s="5">
        <v>1234.3</v>
      </c>
      <c r="R1708" s="5">
        <v>1239.2</v>
      </c>
      <c r="S1708" s="5">
        <v>1238.4000000000001</v>
      </c>
      <c r="T1708" s="5">
        <v>1250.2</v>
      </c>
      <c r="V1708" s="5">
        <v>1239.21</v>
      </c>
      <c r="Y1708" s="5">
        <v>80907</v>
      </c>
      <c r="Z1708" s="5">
        <v>100293354.59999999</v>
      </c>
      <c r="AA1708" s="5">
        <v>18678</v>
      </c>
      <c r="AB1708" s="5" t="s">
        <v>85</v>
      </c>
      <c r="AC1708" s="5">
        <v>1</v>
      </c>
    </row>
    <row r="1709" spans="1:29" x14ac:dyDescent="0.3">
      <c r="A1709" s="34">
        <v>46274</v>
      </c>
      <c r="B1709" s="34">
        <v>46274</v>
      </c>
      <c r="C1709" s="5" t="s">
        <v>78</v>
      </c>
      <c r="D1709" s="5" t="s">
        <v>79</v>
      </c>
      <c r="E1709" s="5" t="s">
        <v>80</v>
      </c>
      <c r="F1709" s="5">
        <v>1811</v>
      </c>
      <c r="G1709" s="5" t="s">
        <v>5217</v>
      </c>
      <c r="H1709" s="5" t="s">
        <v>5218</v>
      </c>
      <c r="I1709" s="5" t="s">
        <v>212</v>
      </c>
      <c r="N1709" s="5" t="s">
        <v>5219</v>
      </c>
      <c r="O1709" s="5">
        <v>111.05</v>
      </c>
      <c r="P1709" s="5">
        <v>111.05</v>
      </c>
      <c r="Q1709" s="5">
        <v>110</v>
      </c>
      <c r="R1709" s="5">
        <v>110.97</v>
      </c>
      <c r="S1709" s="5">
        <v>110.25</v>
      </c>
      <c r="T1709" s="5">
        <v>111.14</v>
      </c>
      <c r="V1709" s="5">
        <v>110.97</v>
      </c>
      <c r="Y1709" s="5">
        <v>416</v>
      </c>
      <c r="Z1709" s="5">
        <v>46010.400000000001</v>
      </c>
      <c r="AA1709" s="5">
        <v>12</v>
      </c>
      <c r="AB1709" s="5" t="s">
        <v>85</v>
      </c>
      <c r="AC1709" s="5">
        <v>1</v>
      </c>
    </row>
    <row r="1710" spans="1:29" x14ac:dyDescent="0.3">
      <c r="A1710" s="34">
        <v>46274</v>
      </c>
      <c r="B1710" s="34">
        <v>46274</v>
      </c>
      <c r="C1710" s="5" t="s">
        <v>78</v>
      </c>
      <c r="D1710" s="5" t="s">
        <v>79</v>
      </c>
      <c r="E1710" s="5" t="s">
        <v>80</v>
      </c>
      <c r="F1710" s="5">
        <v>25443</v>
      </c>
      <c r="G1710" s="5" t="s">
        <v>5220</v>
      </c>
      <c r="H1710" s="5" t="s">
        <v>5221</v>
      </c>
      <c r="I1710" s="5" t="s">
        <v>313</v>
      </c>
      <c r="N1710" s="5" t="s">
        <v>5222</v>
      </c>
      <c r="O1710" s="5">
        <v>21.5</v>
      </c>
      <c r="P1710" s="5">
        <v>21.5</v>
      </c>
      <c r="Q1710" s="5">
        <v>21</v>
      </c>
      <c r="R1710" s="5">
        <v>21</v>
      </c>
      <c r="S1710" s="5">
        <v>21</v>
      </c>
      <c r="T1710" s="5">
        <v>20.55</v>
      </c>
      <c r="V1710" s="5">
        <v>21</v>
      </c>
      <c r="Y1710" s="5">
        <v>4000</v>
      </c>
      <c r="Z1710" s="5">
        <v>85000</v>
      </c>
      <c r="AA1710" s="5">
        <v>2</v>
      </c>
      <c r="AB1710" s="5" t="s">
        <v>85</v>
      </c>
      <c r="AC1710" s="5">
        <v>2000</v>
      </c>
    </row>
    <row r="1711" spans="1:29" x14ac:dyDescent="0.3">
      <c r="A1711" s="34">
        <v>46274</v>
      </c>
      <c r="B1711" s="34">
        <v>46274</v>
      </c>
      <c r="C1711" s="5" t="s">
        <v>78</v>
      </c>
      <c r="D1711" s="5" t="s">
        <v>79</v>
      </c>
      <c r="E1711" s="5" t="s">
        <v>80</v>
      </c>
      <c r="F1711" s="5">
        <v>758558</v>
      </c>
      <c r="G1711" s="5" t="s">
        <v>5223</v>
      </c>
      <c r="H1711" s="5" t="s">
        <v>5224</v>
      </c>
      <c r="I1711" s="5" t="s">
        <v>212</v>
      </c>
      <c r="N1711" s="5" t="s">
        <v>5225</v>
      </c>
      <c r="O1711" s="5">
        <v>272.2</v>
      </c>
      <c r="P1711" s="5">
        <v>273.2</v>
      </c>
      <c r="Q1711" s="5">
        <v>263.25</v>
      </c>
      <c r="R1711" s="5">
        <v>266.35000000000002</v>
      </c>
      <c r="S1711" s="5">
        <v>268.89999999999998</v>
      </c>
      <c r="T1711" s="5">
        <v>272.14999999999998</v>
      </c>
      <c r="V1711" s="5">
        <v>266.37</v>
      </c>
      <c r="Y1711" s="5">
        <v>47149</v>
      </c>
      <c r="Z1711" s="5">
        <v>12635369.85</v>
      </c>
      <c r="AA1711" s="5">
        <v>1262</v>
      </c>
      <c r="AB1711" s="5" t="s">
        <v>85</v>
      </c>
      <c r="AC1711" s="5">
        <v>1</v>
      </c>
    </row>
    <row r="1712" spans="1:29" x14ac:dyDescent="0.3">
      <c r="A1712" s="34">
        <v>46274</v>
      </c>
      <c r="B1712" s="34">
        <v>46274</v>
      </c>
      <c r="C1712" s="5" t="s">
        <v>78</v>
      </c>
      <c r="D1712" s="5" t="s">
        <v>79</v>
      </c>
      <c r="E1712" s="5" t="s">
        <v>80</v>
      </c>
      <c r="F1712" s="5">
        <v>1814</v>
      </c>
      <c r="G1712" s="5" t="s">
        <v>5226</v>
      </c>
      <c r="H1712" s="5" t="s">
        <v>5227</v>
      </c>
      <c r="I1712" s="5" t="s">
        <v>212</v>
      </c>
      <c r="N1712" s="5" t="s">
        <v>5228</v>
      </c>
      <c r="O1712" s="5">
        <v>1399.5</v>
      </c>
      <c r="P1712" s="5">
        <v>1415</v>
      </c>
      <c r="Q1712" s="5">
        <v>1385.1</v>
      </c>
      <c r="R1712" s="5">
        <v>1408.5</v>
      </c>
      <c r="S1712" s="5">
        <v>1402.5</v>
      </c>
      <c r="T1712" s="5">
        <v>1397.5</v>
      </c>
      <c r="V1712" s="5">
        <v>1408.5</v>
      </c>
      <c r="Y1712" s="5">
        <v>132395</v>
      </c>
      <c r="Z1712" s="5">
        <v>185295343.19999999</v>
      </c>
      <c r="AA1712" s="5">
        <v>23687</v>
      </c>
      <c r="AB1712" s="5" t="s">
        <v>85</v>
      </c>
      <c r="AC1712" s="5">
        <v>1</v>
      </c>
    </row>
    <row r="1713" spans="1:29" x14ac:dyDescent="0.3">
      <c r="A1713" s="34">
        <v>46274</v>
      </c>
      <c r="B1713" s="34">
        <v>46274</v>
      </c>
      <c r="C1713" s="5" t="s">
        <v>78</v>
      </c>
      <c r="D1713" s="5" t="s">
        <v>79</v>
      </c>
      <c r="E1713" s="5" t="s">
        <v>80</v>
      </c>
      <c r="F1713" s="5">
        <v>2955</v>
      </c>
      <c r="G1713" s="5" t="s">
        <v>5229</v>
      </c>
      <c r="H1713" s="5" t="s">
        <v>5230</v>
      </c>
      <c r="I1713" s="5" t="s">
        <v>212</v>
      </c>
      <c r="N1713" s="5" t="s">
        <v>5231</v>
      </c>
      <c r="O1713" s="5">
        <v>612.6</v>
      </c>
      <c r="P1713" s="5">
        <v>617.9</v>
      </c>
      <c r="Q1713" s="5">
        <v>603.29999999999995</v>
      </c>
      <c r="R1713" s="5">
        <v>607.6</v>
      </c>
      <c r="S1713" s="5">
        <v>607.6</v>
      </c>
      <c r="T1713" s="5">
        <v>612.6</v>
      </c>
      <c r="V1713" s="5">
        <v>607.6</v>
      </c>
      <c r="Y1713" s="5">
        <v>7297816</v>
      </c>
      <c r="Z1713" s="5">
        <v>4455407902.8500004</v>
      </c>
      <c r="AA1713" s="5">
        <v>78609</v>
      </c>
      <c r="AB1713" s="5" t="s">
        <v>85</v>
      </c>
      <c r="AC1713" s="5">
        <v>1</v>
      </c>
    </row>
    <row r="1714" spans="1:29" x14ac:dyDescent="0.3">
      <c r="A1714" s="34">
        <v>46274</v>
      </c>
      <c r="B1714" s="34">
        <v>46274</v>
      </c>
      <c r="C1714" s="5" t="s">
        <v>78</v>
      </c>
      <c r="D1714" s="5" t="s">
        <v>79</v>
      </c>
      <c r="E1714" s="5" t="s">
        <v>80</v>
      </c>
      <c r="F1714" s="5">
        <v>15160</v>
      </c>
      <c r="G1714" s="5" t="s">
        <v>5232</v>
      </c>
      <c r="H1714" s="5" t="s">
        <v>5233</v>
      </c>
      <c r="I1714" s="5" t="s">
        <v>234</v>
      </c>
      <c r="N1714" s="5" t="s">
        <v>5234</v>
      </c>
      <c r="O1714" s="5">
        <v>926.9</v>
      </c>
      <c r="P1714" s="5">
        <v>926.9</v>
      </c>
      <c r="Q1714" s="5">
        <v>926.9</v>
      </c>
      <c r="R1714" s="5">
        <v>926.9</v>
      </c>
      <c r="S1714" s="5">
        <v>926.9</v>
      </c>
      <c r="T1714" s="5">
        <v>975.65</v>
      </c>
      <c r="V1714" s="5">
        <v>926.78</v>
      </c>
      <c r="Y1714" s="5">
        <v>4363</v>
      </c>
      <c r="Z1714" s="5">
        <v>4044064.7</v>
      </c>
      <c r="AA1714" s="5">
        <v>193</v>
      </c>
      <c r="AB1714" s="5" t="s">
        <v>85</v>
      </c>
      <c r="AC1714" s="5">
        <v>1</v>
      </c>
    </row>
    <row r="1715" spans="1:29" x14ac:dyDescent="0.3">
      <c r="A1715" s="34">
        <v>46274</v>
      </c>
      <c r="B1715" s="34">
        <v>46274</v>
      </c>
      <c r="C1715" s="5" t="s">
        <v>78</v>
      </c>
      <c r="D1715" s="5" t="s">
        <v>79</v>
      </c>
      <c r="E1715" s="5" t="s">
        <v>80</v>
      </c>
      <c r="F1715" s="5">
        <v>21119</v>
      </c>
      <c r="G1715" s="5" t="s">
        <v>5235</v>
      </c>
      <c r="H1715" s="5" t="s">
        <v>5236</v>
      </c>
      <c r="I1715" s="5" t="s">
        <v>212</v>
      </c>
      <c r="N1715" s="5" t="s">
        <v>5237</v>
      </c>
      <c r="O1715" s="5">
        <v>5106</v>
      </c>
      <c r="P1715" s="5">
        <v>5134.5</v>
      </c>
      <c r="Q1715" s="5">
        <v>5001</v>
      </c>
      <c r="R1715" s="5">
        <v>5021.5</v>
      </c>
      <c r="S1715" s="5">
        <v>5073</v>
      </c>
      <c r="T1715" s="5">
        <v>5144</v>
      </c>
      <c r="V1715" s="5">
        <v>5023.6099999999997</v>
      </c>
      <c r="Y1715" s="5">
        <v>1227</v>
      </c>
      <c r="Z1715" s="5">
        <v>6201711</v>
      </c>
      <c r="AA1715" s="5">
        <v>221</v>
      </c>
      <c r="AB1715" s="5" t="s">
        <v>85</v>
      </c>
      <c r="AC1715" s="5">
        <v>1</v>
      </c>
    </row>
    <row r="1716" spans="1:29" x14ac:dyDescent="0.3">
      <c r="A1716" s="34">
        <v>46274</v>
      </c>
      <c r="B1716" s="34">
        <v>46274</v>
      </c>
      <c r="C1716" s="5" t="s">
        <v>78</v>
      </c>
      <c r="D1716" s="5" t="s">
        <v>79</v>
      </c>
      <c r="E1716" s="5" t="s">
        <v>80</v>
      </c>
      <c r="F1716" s="5">
        <v>18889</v>
      </c>
      <c r="G1716" s="5" t="s">
        <v>5238</v>
      </c>
      <c r="H1716" s="5" t="s">
        <v>5239</v>
      </c>
      <c r="I1716" s="5" t="s">
        <v>212</v>
      </c>
      <c r="N1716" s="5" t="s">
        <v>5240</v>
      </c>
      <c r="O1716" s="5">
        <v>906</v>
      </c>
      <c r="P1716" s="5">
        <v>925</v>
      </c>
      <c r="Q1716" s="5">
        <v>901.4</v>
      </c>
      <c r="R1716" s="5">
        <v>910.4</v>
      </c>
      <c r="S1716" s="5">
        <v>906</v>
      </c>
      <c r="T1716" s="5">
        <v>907.8</v>
      </c>
      <c r="V1716" s="5">
        <v>910.65</v>
      </c>
      <c r="Y1716" s="5">
        <v>61181</v>
      </c>
      <c r="Z1716" s="5">
        <v>56003221.049999997</v>
      </c>
      <c r="AA1716" s="5">
        <v>4195</v>
      </c>
      <c r="AB1716" s="5" t="s">
        <v>85</v>
      </c>
      <c r="AC1716" s="5">
        <v>1</v>
      </c>
    </row>
    <row r="1717" spans="1:29" x14ac:dyDescent="0.3">
      <c r="A1717" s="34">
        <v>46274</v>
      </c>
      <c r="B1717" s="34">
        <v>46274</v>
      </c>
      <c r="C1717" s="5" t="s">
        <v>78</v>
      </c>
      <c r="D1717" s="5" t="s">
        <v>79</v>
      </c>
      <c r="E1717" s="5" t="s">
        <v>80</v>
      </c>
      <c r="F1717" s="5">
        <v>762732</v>
      </c>
      <c r="G1717" s="5" t="s">
        <v>5241</v>
      </c>
      <c r="H1717" s="5" t="s">
        <v>5242</v>
      </c>
      <c r="I1717" s="5" t="s">
        <v>212</v>
      </c>
      <c r="N1717" s="5" t="s">
        <v>5243</v>
      </c>
      <c r="O1717" s="5">
        <v>2318.8000000000002</v>
      </c>
      <c r="P1717" s="5">
        <v>2327.9</v>
      </c>
      <c r="Q1717" s="5">
        <v>2289</v>
      </c>
      <c r="R1717" s="5">
        <v>2297.5</v>
      </c>
      <c r="S1717" s="5">
        <v>2290</v>
      </c>
      <c r="T1717" s="5">
        <v>2318.6999999999998</v>
      </c>
      <c r="V1717" s="5">
        <v>2297.62</v>
      </c>
      <c r="Y1717" s="5">
        <v>5094</v>
      </c>
      <c r="Z1717" s="5">
        <v>11726004.699999999</v>
      </c>
      <c r="AA1717" s="5">
        <v>871</v>
      </c>
      <c r="AB1717" s="5" t="s">
        <v>85</v>
      </c>
      <c r="AC1717" s="5">
        <v>1</v>
      </c>
    </row>
    <row r="1718" spans="1:29" x14ac:dyDescent="0.3">
      <c r="A1718" s="34">
        <v>46274</v>
      </c>
      <c r="B1718" s="34">
        <v>46274</v>
      </c>
      <c r="C1718" s="5" t="s">
        <v>78</v>
      </c>
      <c r="D1718" s="5" t="s">
        <v>79</v>
      </c>
      <c r="E1718" s="5" t="s">
        <v>80</v>
      </c>
      <c r="F1718" s="5">
        <v>764738</v>
      </c>
      <c r="G1718" s="5" t="s">
        <v>5244</v>
      </c>
      <c r="H1718" s="5" t="s">
        <v>5245</v>
      </c>
      <c r="I1718" s="5" t="s">
        <v>212</v>
      </c>
      <c r="N1718" s="5" t="s">
        <v>5246</v>
      </c>
      <c r="O1718" s="5">
        <v>16.5</v>
      </c>
      <c r="P1718" s="5">
        <v>16.5</v>
      </c>
      <c r="Q1718" s="5">
        <v>16</v>
      </c>
      <c r="R1718" s="5">
        <v>16</v>
      </c>
      <c r="S1718" s="5">
        <v>16</v>
      </c>
      <c r="T1718" s="5">
        <v>16.5</v>
      </c>
      <c r="V1718" s="5">
        <v>16.07</v>
      </c>
      <c r="Y1718" s="5">
        <v>10891</v>
      </c>
      <c r="Z1718" s="5">
        <v>179428.34</v>
      </c>
      <c r="AA1718" s="5">
        <v>21</v>
      </c>
      <c r="AB1718" s="5" t="s">
        <v>85</v>
      </c>
      <c r="AC1718" s="5">
        <v>1</v>
      </c>
    </row>
    <row r="1719" spans="1:29" x14ac:dyDescent="0.3">
      <c r="A1719" s="34">
        <v>46274</v>
      </c>
      <c r="B1719" s="34">
        <v>46274</v>
      </c>
      <c r="C1719" s="5" t="s">
        <v>78</v>
      </c>
      <c r="D1719" s="5" t="s">
        <v>79</v>
      </c>
      <c r="E1719" s="5" t="s">
        <v>80</v>
      </c>
      <c r="F1719" s="5">
        <v>1826</v>
      </c>
      <c r="G1719" s="5" t="s">
        <v>5247</v>
      </c>
      <c r="H1719" s="5" t="s">
        <v>5248</v>
      </c>
      <c r="I1719" s="5" t="s">
        <v>212</v>
      </c>
      <c r="N1719" s="5" t="s">
        <v>5249</v>
      </c>
      <c r="O1719" s="5">
        <v>230</v>
      </c>
      <c r="P1719" s="5">
        <v>233</v>
      </c>
      <c r="Q1719" s="5">
        <v>223.94</v>
      </c>
      <c r="R1719" s="5">
        <v>226.46</v>
      </c>
      <c r="S1719" s="5">
        <v>227.95</v>
      </c>
      <c r="T1719" s="5">
        <v>232.18</v>
      </c>
      <c r="V1719" s="5">
        <v>226.45</v>
      </c>
      <c r="Y1719" s="5">
        <v>131332</v>
      </c>
      <c r="Z1719" s="5">
        <v>29944982.140000001</v>
      </c>
      <c r="AA1719" s="5">
        <v>2379</v>
      </c>
      <c r="AB1719" s="5" t="s">
        <v>85</v>
      </c>
      <c r="AC1719" s="5">
        <v>1</v>
      </c>
    </row>
    <row r="1720" spans="1:29" x14ac:dyDescent="0.3">
      <c r="A1720" s="34">
        <v>46274</v>
      </c>
      <c r="B1720" s="34">
        <v>46274</v>
      </c>
      <c r="C1720" s="5" t="s">
        <v>78</v>
      </c>
      <c r="D1720" s="5" t="s">
        <v>79</v>
      </c>
      <c r="E1720" s="5" t="s">
        <v>80</v>
      </c>
      <c r="F1720" s="5">
        <v>13461</v>
      </c>
      <c r="G1720" s="5" t="s">
        <v>5250</v>
      </c>
      <c r="H1720" s="5" t="s">
        <v>5251</v>
      </c>
      <c r="I1720" s="5" t="s">
        <v>234</v>
      </c>
      <c r="N1720" s="5" t="s">
        <v>5252</v>
      </c>
      <c r="O1720" s="5">
        <v>40.450000000000003</v>
      </c>
      <c r="P1720" s="5">
        <v>40.89</v>
      </c>
      <c r="Q1720" s="5">
        <v>39</v>
      </c>
      <c r="R1720" s="5">
        <v>39.380000000000003</v>
      </c>
      <c r="S1720" s="5">
        <v>39.799999999999997</v>
      </c>
      <c r="T1720" s="5">
        <v>40.25</v>
      </c>
      <c r="V1720" s="5">
        <v>39.39</v>
      </c>
      <c r="Y1720" s="5">
        <v>732140</v>
      </c>
      <c r="Z1720" s="5">
        <v>29198065.170000002</v>
      </c>
      <c r="AA1720" s="5">
        <v>2954</v>
      </c>
      <c r="AB1720" s="5" t="s">
        <v>85</v>
      </c>
      <c r="AC1720" s="5">
        <v>1</v>
      </c>
    </row>
    <row r="1721" spans="1:29" x14ac:dyDescent="0.3">
      <c r="A1721" s="34">
        <v>46274</v>
      </c>
      <c r="B1721" s="34">
        <v>46274</v>
      </c>
      <c r="C1721" s="5" t="s">
        <v>78</v>
      </c>
      <c r="D1721" s="5" t="s">
        <v>79</v>
      </c>
      <c r="E1721" s="5" t="s">
        <v>80</v>
      </c>
      <c r="F1721" s="5">
        <v>13814</v>
      </c>
      <c r="G1721" s="5" t="s">
        <v>5253</v>
      </c>
      <c r="H1721" s="5" t="s">
        <v>5254</v>
      </c>
      <c r="I1721" s="5" t="s">
        <v>212</v>
      </c>
      <c r="N1721" s="5" t="s">
        <v>5255</v>
      </c>
      <c r="O1721" s="5">
        <v>4.4000000000000004</v>
      </c>
      <c r="P1721" s="5">
        <v>4.54</v>
      </c>
      <c r="Q1721" s="5">
        <v>4.4000000000000004</v>
      </c>
      <c r="R1721" s="5">
        <v>4.49</v>
      </c>
      <c r="S1721" s="5">
        <v>4.4800000000000004</v>
      </c>
      <c r="T1721" s="5">
        <v>4.45</v>
      </c>
      <c r="V1721" s="5">
        <v>4.49</v>
      </c>
      <c r="Y1721" s="5">
        <v>180943</v>
      </c>
      <c r="Z1721" s="5">
        <v>810121.92</v>
      </c>
      <c r="AA1721" s="5">
        <v>429</v>
      </c>
      <c r="AB1721" s="5" t="s">
        <v>85</v>
      </c>
      <c r="AC1721" s="5">
        <v>1</v>
      </c>
    </row>
    <row r="1722" spans="1:29" x14ac:dyDescent="0.3">
      <c r="A1722" s="34">
        <v>46274</v>
      </c>
      <c r="B1722" s="34">
        <v>46274</v>
      </c>
      <c r="C1722" s="5" t="s">
        <v>78</v>
      </c>
      <c r="D1722" s="5" t="s">
        <v>79</v>
      </c>
      <c r="E1722" s="5" t="s">
        <v>80</v>
      </c>
      <c r="F1722" s="5">
        <v>25786</v>
      </c>
      <c r="G1722" s="5" t="s">
        <v>5256</v>
      </c>
      <c r="H1722" s="5" t="s">
        <v>5257</v>
      </c>
      <c r="I1722" s="5" t="s">
        <v>212</v>
      </c>
      <c r="N1722" s="5" t="s">
        <v>5258</v>
      </c>
      <c r="O1722" s="5">
        <v>1.54</v>
      </c>
      <c r="P1722" s="5">
        <v>1.54</v>
      </c>
      <c r="Q1722" s="5">
        <v>1.5</v>
      </c>
      <c r="R1722" s="5">
        <v>1.5</v>
      </c>
      <c r="S1722" s="5">
        <v>1.52</v>
      </c>
      <c r="T1722" s="5">
        <v>1.53</v>
      </c>
      <c r="V1722" s="5">
        <v>1.5</v>
      </c>
      <c r="Y1722" s="5">
        <v>135257</v>
      </c>
      <c r="Z1722" s="5">
        <v>205463.22</v>
      </c>
      <c r="AA1722" s="5">
        <v>192</v>
      </c>
      <c r="AB1722" s="5" t="s">
        <v>85</v>
      </c>
      <c r="AC1722" s="5">
        <v>1</v>
      </c>
    </row>
    <row r="1723" spans="1:29" x14ac:dyDescent="0.3">
      <c r="A1723" s="34">
        <v>46274</v>
      </c>
      <c r="B1723" s="34">
        <v>46274</v>
      </c>
      <c r="C1723" s="5" t="s">
        <v>78</v>
      </c>
      <c r="D1723" s="5" t="s">
        <v>79</v>
      </c>
      <c r="E1723" s="5" t="s">
        <v>80</v>
      </c>
      <c r="F1723" s="5">
        <v>762737</v>
      </c>
      <c r="G1723" s="5" t="s">
        <v>5259</v>
      </c>
      <c r="H1723" s="5" t="s">
        <v>5260</v>
      </c>
      <c r="I1723" s="5" t="s">
        <v>212</v>
      </c>
      <c r="N1723" s="5" t="s">
        <v>5261</v>
      </c>
      <c r="O1723" s="5">
        <v>404.9</v>
      </c>
      <c r="P1723" s="5">
        <v>415</v>
      </c>
      <c r="Q1723" s="5">
        <v>390.3</v>
      </c>
      <c r="R1723" s="5">
        <v>405.5</v>
      </c>
      <c r="S1723" s="5">
        <v>409.5</v>
      </c>
      <c r="T1723" s="5">
        <v>403.95</v>
      </c>
      <c r="V1723" s="5">
        <v>405.45</v>
      </c>
      <c r="Y1723" s="5">
        <v>2531</v>
      </c>
      <c r="Z1723" s="5">
        <v>1020368.75</v>
      </c>
      <c r="AA1723" s="5">
        <v>260</v>
      </c>
      <c r="AB1723" s="5" t="s">
        <v>85</v>
      </c>
      <c r="AC1723" s="5">
        <v>1</v>
      </c>
    </row>
    <row r="1724" spans="1:29" x14ac:dyDescent="0.3">
      <c r="A1724" s="34">
        <v>46274</v>
      </c>
      <c r="B1724" s="34">
        <v>46274</v>
      </c>
      <c r="C1724" s="5" t="s">
        <v>78</v>
      </c>
      <c r="D1724" s="5" t="s">
        <v>79</v>
      </c>
      <c r="E1724" s="5" t="s">
        <v>80</v>
      </c>
      <c r="F1724" s="5">
        <v>765090</v>
      </c>
      <c r="G1724" s="5" t="s">
        <v>5262</v>
      </c>
      <c r="H1724" s="5" t="s">
        <v>5263</v>
      </c>
      <c r="I1724" s="5" t="s">
        <v>212</v>
      </c>
      <c r="N1724" s="5" t="s">
        <v>5264</v>
      </c>
      <c r="O1724" s="5">
        <v>56</v>
      </c>
      <c r="P1724" s="5">
        <v>56</v>
      </c>
      <c r="Q1724" s="5">
        <v>55.95</v>
      </c>
      <c r="R1724" s="5">
        <v>55.95</v>
      </c>
      <c r="S1724" s="5">
        <v>55.95</v>
      </c>
      <c r="T1724" s="5">
        <v>55.89</v>
      </c>
      <c r="V1724" s="5">
        <v>55</v>
      </c>
      <c r="Y1724" s="5">
        <v>202</v>
      </c>
      <c r="Z1724" s="5">
        <v>11302</v>
      </c>
      <c r="AA1724" s="5">
        <v>4</v>
      </c>
      <c r="AB1724" s="5" t="s">
        <v>85</v>
      </c>
      <c r="AC1724" s="5">
        <v>1</v>
      </c>
    </row>
    <row r="1725" spans="1:29" x14ac:dyDescent="0.3">
      <c r="A1725" s="34">
        <v>46274</v>
      </c>
      <c r="B1725" s="34">
        <v>46274</v>
      </c>
      <c r="C1725" s="5" t="s">
        <v>78</v>
      </c>
      <c r="D1725" s="5" t="s">
        <v>79</v>
      </c>
      <c r="E1725" s="5" t="s">
        <v>80</v>
      </c>
      <c r="F1725" s="5">
        <v>11208</v>
      </c>
      <c r="G1725" s="5" t="s">
        <v>5265</v>
      </c>
      <c r="H1725" s="5" t="s">
        <v>5266</v>
      </c>
      <c r="I1725" s="5" t="s">
        <v>313</v>
      </c>
      <c r="N1725" s="5" t="s">
        <v>5267</v>
      </c>
      <c r="O1725" s="5">
        <v>80.099999999999994</v>
      </c>
      <c r="P1725" s="5">
        <v>82.95</v>
      </c>
      <c r="Q1725" s="5">
        <v>79.8</v>
      </c>
      <c r="R1725" s="5">
        <v>79.8</v>
      </c>
      <c r="S1725" s="5">
        <v>79.8</v>
      </c>
      <c r="T1725" s="5">
        <v>88.65</v>
      </c>
      <c r="V1725" s="5">
        <v>79.8</v>
      </c>
      <c r="Y1725" s="5">
        <v>18000</v>
      </c>
      <c r="Z1725" s="5">
        <v>1443950</v>
      </c>
      <c r="AA1725" s="5">
        <v>18</v>
      </c>
      <c r="AB1725" s="5" t="s">
        <v>85</v>
      </c>
      <c r="AC1725" s="5">
        <v>1000</v>
      </c>
    </row>
    <row r="1726" spans="1:29" x14ac:dyDescent="0.3">
      <c r="A1726" s="34">
        <v>46274</v>
      </c>
      <c r="B1726" s="34">
        <v>46274</v>
      </c>
      <c r="C1726" s="5" t="s">
        <v>78</v>
      </c>
      <c r="D1726" s="5" t="s">
        <v>79</v>
      </c>
      <c r="E1726" s="5" t="s">
        <v>80</v>
      </c>
      <c r="F1726" s="5">
        <v>9805</v>
      </c>
      <c r="G1726" s="5" t="s">
        <v>5268</v>
      </c>
      <c r="H1726" s="5" t="s">
        <v>5269</v>
      </c>
      <c r="I1726" s="5" t="s">
        <v>234</v>
      </c>
      <c r="N1726" s="5" t="s">
        <v>5270</v>
      </c>
      <c r="O1726" s="5">
        <v>162.08000000000001</v>
      </c>
      <c r="P1726" s="5">
        <v>166.84</v>
      </c>
      <c r="Q1726" s="5">
        <v>161.55000000000001</v>
      </c>
      <c r="R1726" s="5">
        <v>166.8</v>
      </c>
      <c r="S1726" s="5">
        <v>166.84</v>
      </c>
      <c r="T1726" s="5">
        <v>158.9</v>
      </c>
      <c r="V1726" s="5">
        <v>167.3</v>
      </c>
      <c r="Y1726" s="5">
        <v>94989</v>
      </c>
      <c r="Z1726" s="5">
        <v>15663523.060000001</v>
      </c>
      <c r="AA1726" s="5">
        <v>816</v>
      </c>
      <c r="AB1726" s="5" t="s">
        <v>85</v>
      </c>
      <c r="AC1726" s="5">
        <v>1</v>
      </c>
    </row>
    <row r="1727" spans="1:29" x14ac:dyDescent="0.3">
      <c r="A1727" s="34">
        <v>46274</v>
      </c>
      <c r="B1727" s="34">
        <v>46274</v>
      </c>
      <c r="C1727" s="5" t="s">
        <v>78</v>
      </c>
      <c r="D1727" s="5" t="s">
        <v>79</v>
      </c>
      <c r="E1727" s="5" t="s">
        <v>80</v>
      </c>
      <c r="F1727" s="5">
        <v>1782</v>
      </c>
      <c r="G1727" s="5" t="s">
        <v>5271</v>
      </c>
      <c r="H1727" s="5" t="s">
        <v>5272</v>
      </c>
      <c r="I1727" s="5" t="s">
        <v>212</v>
      </c>
      <c r="N1727" s="5" t="s">
        <v>5273</v>
      </c>
      <c r="O1727" s="5">
        <v>243</v>
      </c>
      <c r="P1727" s="5">
        <v>253.7</v>
      </c>
      <c r="Q1727" s="5">
        <v>239</v>
      </c>
      <c r="R1727" s="5">
        <v>251.4</v>
      </c>
      <c r="S1727" s="5">
        <v>253.5</v>
      </c>
      <c r="T1727" s="5">
        <v>242.1</v>
      </c>
      <c r="V1727" s="5">
        <v>251.41</v>
      </c>
      <c r="Y1727" s="5">
        <v>24441</v>
      </c>
      <c r="Z1727" s="5">
        <v>6031552.1500000004</v>
      </c>
      <c r="AA1727" s="5">
        <v>1420</v>
      </c>
      <c r="AB1727" s="5" t="s">
        <v>85</v>
      </c>
      <c r="AC1727" s="5">
        <v>1</v>
      </c>
    </row>
    <row r="1728" spans="1:29" x14ac:dyDescent="0.3">
      <c r="A1728" s="34">
        <v>46274</v>
      </c>
      <c r="B1728" s="34">
        <v>46274</v>
      </c>
      <c r="C1728" s="5" t="s">
        <v>78</v>
      </c>
      <c r="D1728" s="5" t="s">
        <v>79</v>
      </c>
      <c r="E1728" s="5" t="s">
        <v>80</v>
      </c>
      <c r="F1728" s="5">
        <v>1196</v>
      </c>
      <c r="G1728" s="5" t="s">
        <v>5274</v>
      </c>
      <c r="H1728" s="5" t="s">
        <v>5275</v>
      </c>
      <c r="I1728" s="5" t="s">
        <v>212</v>
      </c>
      <c r="N1728" s="5" t="s">
        <v>5276</v>
      </c>
      <c r="O1728" s="5">
        <v>191.26</v>
      </c>
      <c r="P1728" s="5">
        <v>192.56</v>
      </c>
      <c r="Q1728" s="5">
        <v>187.03</v>
      </c>
      <c r="R1728" s="5">
        <v>191.2</v>
      </c>
      <c r="S1728" s="5">
        <v>191.1</v>
      </c>
      <c r="T1728" s="5">
        <v>193.4</v>
      </c>
      <c r="V1728" s="5">
        <v>191.2</v>
      </c>
      <c r="Y1728" s="5">
        <v>343629</v>
      </c>
      <c r="Z1728" s="5">
        <v>65300159.890000001</v>
      </c>
      <c r="AA1728" s="5">
        <v>8926</v>
      </c>
      <c r="AB1728" s="5" t="s">
        <v>85</v>
      </c>
      <c r="AC1728" s="5">
        <v>1</v>
      </c>
    </row>
    <row r="1729" spans="1:29" x14ac:dyDescent="0.3">
      <c r="A1729" s="34">
        <v>46274</v>
      </c>
      <c r="B1729" s="34">
        <v>46274</v>
      </c>
      <c r="C1729" s="5" t="s">
        <v>78</v>
      </c>
      <c r="D1729" s="5" t="s">
        <v>79</v>
      </c>
      <c r="E1729" s="5" t="s">
        <v>80</v>
      </c>
      <c r="F1729" s="5">
        <v>18967</v>
      </c>
      <c r="G1729" s="5" t="s">
        <v>5277</v>
      </c>
      <c r="H1729" s="5" t="s">
        <v>5278</v>
      </c>
      <c r="I1729" s="5" t="s">
        <v>212</v>
      </c>
      <c r="N1729" s="5" t="s">
        <v>5279</v>
      </c>
      <c r="O1729" s="5">
        <v>570</v>
      </c>
      <c r="P1729" s="5">
        <v>572.70000000000005</v>
      </c>
      <c r="Q1729" s="5">
        <v>563</v>
      </c>
      <c r="R1729" s="5">
        <v>564.29999999999995</v>
      </c>
      <c r="S1729" s="5">
        <v>564.85</v>
      </c>
      <c r="T1729" s="5">
        <v>573.65</v>
      </c>
      <c r="V1729" s="5">
        <v>564.29999999999995</v>
      </c>
      <c r="Y1729" s="5">
        <v>22942</v>
      </c>
      <c r="Z1729" s="5">
        <v>12996914.5</v>
      </c>
      <c r="AA1729" s="5">
        <v>1566</v>
      </c>
      <c r="AB1729" s="5" t="s">
        <v>85</v>
      </c>
      <c r="AC1729" s="5">
        <v>1</v>
      </c>
    </row>
    <row r="1730" spans="1:29" x14ac:dyDescent="0.3">
      <c r="A1730" s="34">
        <v>46274</v>
      </c>
      <c r="B1730" s="34">
        <v>46274</v>
      </c>
      <c r="C1730" s="5" t="s">
        <v>78</v>
      </c>
      <c r="D1730" s="5" t="s">
        <v>79</v>
      </c>
      <c r="E1730" s="5" t="s">
        <v>80</v>
      </c>
      <c r="F1730" s="5">
        <v>24385</v>
      </c>
      <c r="G1730" s="5" t="s">
        <v>5280</v>
      </c>
      <c r="H1730" s="5" t="s">
        <v>5281</v>
      </c>
      <c r="I1730" s="5" t="s">
        <v>212</v>
      </c>
      <c r="N1730" s="5" t="s">
        <v>5282</v>
      </c>
      <c r="O1730" s="5">
        <v>37.18</v>
      </c>
      <c r="P1730" s="5">
        <v>37.89</v>
      </c>
      <c r="Q1730" s="5">
        <v>37.18</v>
      </c>
      <c r="R1730" s="5">
        <v>37.82</v>
      </c>
      <c r="S1730" s="5">
        <v>37.82</v>
      </c>
      <c r="T1730" s="5">
        <v>37.18</v>
      </c>
      <c r="V1730" s="5">
        <v>37.82</v>
      </c>
      <c r="Y1730" s="5">
        <v>713</v>
      </c>
      <c r="Z1730" s="5">
        <v>26943.200000000001</v>
      </c>
      <c r="AA1730" s="5">
        <v>27</v>
      </c>
      <c r="AB1730" s="5" t="s">
        <v>85</v>
      </c>
      <c r="AC1730" s="5">
        <v>1</v>
      </c>
    </row>
    <row r="1731" spans="1:29" x14ac:dyDescent="0.3">
      <c r="A1731" s="34">
        <v>46274</v>
      </c>
      <c r="B1731" s="34">
        <v>46274</v>
      </c>
      <c r="C1731" s="5" t="s">
        <v>78</v>
      </c>
      <c r="D1731" s="5" t="s">
        <v>79</v>
      </c>
      <c r="E1731" s="5" t="s">
        <v>80</v>
      </c>
      <c r="F1731" s="5">
        <v>8054</v>
      </c>
      <c r="G1731" s="5" t="s">
        <v>5283</v>
      </c>
      <c r="H1731" s="5" t="s">
        <v>5284</v>
      </c>
      <c r="I1731" s="5" t="s">
        <v>212</v>
      </c>
      <c r="N1731" s="5" t="s">
        <v>5285</v>
      </c>
      <c r="O1731" s="5">
        <v>334.2</v>
      </c>
      <c r="P1731" s="5">
        <v>335.7</v>
      </c>
      <c r="Q1731" s="5">
        <v>330</v>
      </c>
      <c r="R1731" s="5">
        <v>331.25</v>
      </c>
      <c r="S1731" s="5">
        <v>330.7</v>
      </c>
      <c r="T1731" s="5">
        <v>334.25</v>
      </c>
      <c r="V1731" s="5">
        <v>331.25</v>
      </c>
      <c r="Y1731" s="5">
        <v>1849893</v>
      </c>
      <c r="Z1731" s="5">
        <v>614992405.89999998</v>
      </c>
      <c r="AA1731" s="5">
        <v>16576</v>
      </c>
      <c r="AB1731" s="5" t="s">
        <v>85</v>
      </c>
      <c r="AC1731" s="5">
        <v>1</v>
      </c>
    </row>
    <row r="1732" spans="1:29" x14ac:dyDescent="0.3">
      <c r="A1732" s="34">
        <v>46274</v>
      </c>
      <c r="B1732" s="34">
        <v>46274</v>
      </c>
      <c r="C1732" s="5" t="s">
        <v>78</v>
      </c>
      <c r="D1732" s="5" t="s">
        <v>79</v>
      </c>
      <c r="E1732" s="5" t="s">
        <v>80</v>
      </c>
      <c r="F1732" s="5">
        <v>19465</v>
      </c>
      <c r="G1732" s="5" t="s">
        <v>5286</v>
      </c>
      <c r="H1732" s="5" t="s">
        <v>5287</v>
      </c>
      <c r="I1732" s="5" t="s">
        <v>313</v>
      </c>
      <c r="N1732" s="5" t="s">
        <v>5288</v>
      </c>
      <c r="O1732" s="5">
        <v>122.4</v>
      </c>
      <c r="P1732" s="5">
        <v>124</v>
      </c>
      <c r="Q1732" s="5">
        <v>119.7</v>
      </c>
      <c r="R1732" s="5">
        <v>120.95</v>
      </c>
      <c r="S1732" s="5">
        <v>123</v>
      </c>
      <c r="T1732" s="5">
        <v>121.55</v>
      </c>
      <c r="V1732" s="5">
        <v>120.95</v>
      </c>
      <c r="Y1732" s="5">
        <v>377000</v>
      </c>
      <c r="Z1732" s="5">
        <v>45530100</v>
      </c>
      <c r="AA1732" s="5">
        <v>139</v>
      </c>
      <c r="AB1732" s="5" t="s">
        <v>85</v>
      </c>
      <c r="AC1732" s="5">
        <v>1000</v>
      </c>
    </row>
    <row r="1733" spans="1:29" x14ac:dyDescent="0.3">
      <c r="A1733" s="34">
        <v>46274</v>
      </c>
      <c r="B1733" s="34">
        <v>46274</v>
      </c>
      <c r="C1733" s="5" t="s">
        <v>78</v>
      </c>
      <c r="D1733" s="5" t="s">
        <v>79</v>
      </c>
      <c r="E1733" s="5" t="s">
        <v>80</v>
      </c>
      <c r="F1733" s="5">
        <v>1838</v>
      </c>
      <c r="G1733" s="5" t="s">
        <v>5289</v>
      </c>
      <c r="H1733" s="5" t="s">
        <v>5290</v>
      </c>
      <c r="I1733" s="5" t="s">
        <v>212</v>
      </c>
      <c r="N1733" s="5" t="s">
        <v>5291</v>
      </c>
      <c r="O1733" s="5">
        <v>342.4</v>
      </c>
      <c r="P1733" s="5">
        <v>343.8</v>
      </c>
      <c r="Q1733" s="5">
        <v>337.8</v>
      </c>
      <c r="R1733" s="5">
        <v>340.6</v>
      </c>
      <c r="S1733" s="5">
        <v>340.45</v>
      </c>
      <c r="T1733" s="5">
        <v>341.15</v>
      </c>
      <c r="V1733" s="5">
        <v>340.6</v>
      </c>
      <c r="Y1733" s="5">
        <v>847197</v>
      </c>
      <c r="Z1733" s="5">
        <v>288812060.44999999</v>
      </c>
      <c r="AA1733" s="5">
        <v>19831</v>
      </c>
      <c r="AB1733" s="5" t="s">
        <v>85</v>
      </c>
      <c r="AC1733" s="5">
        <v>1</v>
      </c>
    </row>
    <row r="1734" spans="1:29" x14ac:dyDescent="0.3">
      <c r="A1734" s="34">
        <v>46274</v>
      </c>
      <c r="B1734" s="34">
        <v>46274</v>
      </c>
      <c r="C1734" s="5" t="s">
        <v>78</v>
      </c>
      <c r="D1734" s="5" t="s">
        <v>79</v>
      </c>
      <c r="E1734" s="5" t="s">
        <v>80</v>
      </c>
      <c r="F1734" s="5">
        <v>24528</v>
      </c>
      <c r="G1734" s="5" t="s">
        <v>5292</v>
      </c>
      <c r="H1734" s="5" t="s">
        <v>5293</v>
      </c>
      <c r="I1734" s="5" t="s">
        <v>313</v>
      </c>
      <c r="N1734" s="5" t="s">
        <v>5294</v>
      </c>
      <c r="O1734" s="5">
        <v>133.94999999999999</v>
      </c>
      <c r="P1734" s="5">
        <v>142</v>
      </c>
      <c r="Q1734" s="5">
        <v>132.05000000000001</v>
      </c>
      <c r="R1734" s="5">
        <v>139.80000000000001</v>
      </c>
      <c r="S1734" s="5">
        <v>140</v>
      </c>
      <c r="T1734" s="5">
        <v>134.6</v>
      </c>
      <c r="V1734" s="5">
        <v>139.80000000000001</v>
      </c>
      <c r="Y1734" s="5">
        <v>54600</v>
      </c>
      <c r="Z1734" s="5">
        <v>7451010</v>
      </c>
      <c r="AA1734" s="5">
        <v>82</v>
      </c>
      <c r="AB1734" s="5" t="s">
        <v>85</v>
      </c>
      <c r="AC1734" s="5">
        <v>600</v>
      </c>
    </row>
    <row r="1735" spans="1:29" x14ac:dyDescent="0.3">
      <c r="A1735" s="34">
        <v>46274</v>
      </c>
      <c r="B1735" s="34">
        <v>46274</v>
      </c>
      <c r="C1735" s="5" t="s">
        <v>78</v>
      </c>
      <c r="D1735" s="5" t="s">
        <v>79</v>
      </c>
      <c r="E1735" s="5" t="s">
        <v>80</v>
      </c>
      <c r="F1735" s="5">
        <v>15140</v>
      </c>
      <c r="G1735" s="5" t="s">
        <v>5295</v>
      </c>
      <c r="H1735" s="5" t="s">
        <v>5296</v>
      </c>
      <c r="I1735" s="5" t="s">
        <v>234</v>
      </c>
      <c r="N1735" s="5" t="s">
        <v>5297</v>
      </c>
      <c r="O1735" s="5">
        <v>851.3</v>
      </c>
      <c r="P1735" s="5">
        <v>872</v>
      </c>
      <c r="Q1735" s="5">
        <v>826.5</v>
      </c>
      <c r="R1735" s="5">
        <v>872</v>
      </c>
      <c r="S1735" s="5">
        <v>872</v>
      </c>
      <c r="T1735" s="5">
        <v>851.3</v>
      </c>
      <c r="V1735" s="5">
        <v>854.03</v>
      </c>
      <c r="Y1735" s="5">
        <v>151</v>
      </c>
      <c r="Z1735" s="5">
        <v>125763.5</v>
      </c>
      <c r="AA1735" s="5">
        <v>21</v>
      </c>
      <c r="AB1735" s="5" t="s">
        <v>85</v>
      </c>
      <c r="AC1735" s="5">
        <v>1</v>
      </c>
    </row>
    <row r="1736" spans="1:29" x14ac:dyDescent="0.3">
      <c r="A1736" s="34">
        <v>46274</v>
      </c>
      <c r="B1736" s="34">
        <v>46274</v>
      </c>
      <c r="C1736" s="5" t="s">
        <v>78</v>
      </c>
      <c r="D1736" s="5" t="s">
        <v>79</v>
      </c>
      <c r="E1736" s="5" t="s">
        <v>80</v>
      </c>
      <c r="F1736" s="5">
        <v>21186</v>
      </c>
      <c r="G1736" s="5" t="s">
        <v>5298</v>
      </c>
      <c r="H1736" s="5" t="s">
        <v>5299</v>
      </c>
      <c r="I1736" s="5" t="s">
        <v>313</v>
      </c>
      <c r="N1736" s="5" t="s">
        <v>5300</v>
      </c>
      <c r="O1736" s="5">
        <v>23.75</v>
      </c>
      <c r="P1736" s="5">
        <v>23.85</v>
      </c>
      <c r="Q1736" s="5">
        <v>22.65</v>
      </c>
      <c r="R1736" s="5">
        <v>22.85</v>
      </c>
      <c r="S1736" s="5">
        <v>22.65</v>
      </c>
      <c r="T1736" s="5">
        <v>24.05</v>
      </c>
      <c r="V1736" s="5">
        <v>22.85</v>
      </c>
      <c r="Y1736" s="5">
        <v>20800</v>
      </c>
      <c r="Z1736" s="5">
        <v>480200</v>
      </c>
      <c r="AA1736" s="5">
        <v>19</v>
      </c>
      <c r="AB1736" s="5" t="s">
        <v>85</v>
      </c>
      <c r="AC1736" s="5">
        <v>800</v>
      </c>
    </row>
    <row r="1737" spans="1:29" x14ac:dyDescent="0.3">
      <c r="A1737" s="34">
        <v>46274</v>
      </c>
      <c r="B1737" s="34">
        <v>46274</v>
      </c>
      <c r="C1737" s="5" t="s">
        <v>78</v>
      </c>
      <c r="D1737" s="5" t="s">
        <v>79</v>
      </c>
      <c r="E1737" s="5" t="s">
        <v>80</v>
      </c>
      <c r="F1737" s="5">
        <v>14972</v>
      </c>
      <c r="G1737" s="5" t="s">
        <v>5301</v>
      </c>
      <c r="H1737" s="5" t="s">
        <v>5302</v>
      </c>
      <c r="I1737" s="5" t="s">
        <v>212</v>
      </c>
      <c r="N1737" s="5" t="s">
        <v>5303</v>
      </c>
      <c r="O1737" s="5">
        <v>729</v>
      </c>
      <c r="P1737" s="5">
        <v>730.4</v>
      </c>
      <c r="Q1737" s="5">
        <v>720</v>
      </c>
      <c r="R1737" s="5">
        <v>722.05</v>
      </c>
      <c r="S1737" s="5">
        <v>723</v>
      </c>
      <c r="T1737" s="5">
        <v>728.5</v>
      </c>
      <c r="V1737" s="5">
        <v>722.07</v>
      </c>
      <c r="Y1737" s="5">
        <v>53257</v>
      </c>
      <c r="Z1737" s="5">
        <v>38599921.25</v>
      </c>
      <c r="AA1737" s="5">
        <v>2941</v>
      </c>
      <c r="AB1737" s="5" t="s">
        <v>85</v>
      </c>
      <c r="AC1737" s="5">
        <v>1</v>
      </c>
    </row>
    <row r="1738" spans="1:29" x14ac:dyDescent="0.3">
      <c r="A1738" s="34">
        <v>46274</v>
      </c>
      <c r="B1738" s="34">
        <v>46274</v>
      </c>
      <c r="C1738" s="5" t="s">
        <v>78</v>
      </c>
      <c r="D1738" s="5" t="s">
        <v>79</v>
      </c>
      <c r="E1738" s="5" t="s">
        <v>80</v>
      </c>
      <c r="F1738" s="5">
        <v>15244</v>
      </c>
      <c r="G1738" s="5" t="s">
        <v>5304</v>
      </c>
      <c r="H1738" s="5" t="s">
        <v>5305</v>
      </c>
      <c r="I1738" s="5" t="s">
        <v>212</v>
      </c>
      <c r="N1738" s="5" t="s">
        <v>5306</v>
      </c>
      <c r="O1738" s="5">
        <v>64.5</v>
      </c>
      <c r="P1738" s="5">
        <v>67.83</v>
      </c>
      <c r="Q1738" s="5">
        <v>62.2</v>
      </c>
      <c r="R1738" s="5">
        <v>63.19</v>
      </c>
      <c r="S1738" s="5">
        <v>62.5</v>
      </c>
      <c r="T1738" s="5">
        <v>64.62</v>
      </c>
      <c r="V1738" s="5">
        <v>63.21</v>
      </c>
      <c r="Y1738" s="5">
        <v>283464</v>
      </c>
      <c r="Z1738" s="5">
        <v>18183576.739999998</v>
      </c>
      <c r="AA1738" s="5">
        <v>3774</v>
      </c>
      <c r="AB1738" s="5" t="s">
        <v>85</v>
      </c>
      <c r="AC1738" s="5">
        <v>1</v>
      </c>
    </row>
    <row r="1739" spans="1:29" x14ac:dyDescent="0.3">
      <c r="A1739" s="34">
        <v>46274</v>
      </c>
      <c r="B1739" s="34">
        <v>46274</v>
      </c>
      <c r="C1739" s="5" t="s">
        <v>78</v>
      </c>
      <c r="D1739" s="5" t="s">
        <v>79</v>
      </c>
      <c r="E1739" s="5" t="s">
        <v>80</v>
      </c>
      <c r="F1739" s="5">
        <v>21173</v>
      </c>
      <c r="G1739" s="5" t="s">
        <v>5307</v>
      </c>
      <c r="H1739" s="5" t="s">
        <v>5308</v>
      </c>
      <c r="I1739" s="5" t="s">
        <v>313</v>
      </c>
      <c r="N1739" s="5" t="s">
        <v>5309</v>
      </c>
      <c r="O1739" s="5">
        <v>77.8</v>
      </c>
      <c r="P1739" s="5">
        <v>78</v>
      </c>
      <c r="Q1739" s="5">
        <v>76</v>
      </c>
      <c r="R1739" s="5">
        <v>76.25</v>
      </c>
      <c r="S1739" s="5">
        <v>76.25</v>
      </c>
      <c r="T1739" s="5">
        <v>77.099999999999994</v>
      </c>
      <c r="V1739" s="5">
        <v>76.25</v>
      </c>
      <c r="Y1739" s="5">
        <v>8500</v>
      </c>
      <c r="Z1739" s="5">
        <v>651500</v>
      </c>
      <c r="AA1739" s="5">
        <v>16</v>
      </c>
      <c r="AB1739" s="5" t="s">
        <v>85</v>
      </c>
      <c r="AC1739" s="5">
        <v>500</v>
      </c>
    </row>
    <row r="1740" spans="1:29" x14ac:dyDescent="0.3">
      <c r="A1740" s="34">
        <v>46274</v>
      </c>
      <c r="B1740" s="34">
        <v>46274</v>
      </c>
      <c r="C1740" s="5" t="s">
        <v>78</v>
      </c>
      <c r="D1740" s="5" t="s">
        <v>79</v>
      </c>
      <c r="E1740" s="5" t="s">
        <v>80</v>
      </c>
      <c r="F1740" s="5">
        <v>10282</v>
      </c>
      <c r="G1740" s="5" t="s">
        <v>5310</v>
      </c>
      <c r="H1740" s="5" t="s">
        <v>5311</v>
      </c>
      <c r="I1740" s="5" t="s">
        <v>234</v>
      </c>
      <c r="N1740" s="5" t="s">
        <v>5312</v>
      </c>
      <c r="O1740" s="5">
        <v>356</v>
      </c>
      <c r="P1740" s="5">
        <v>363</v>
      </c>
      <c r="Q1740" s="5">
        <v>349.1</v>
      </c>
      <c r="R1740" s="5">
        <v>350</v>
      </c>
      <c r="S1740" s="5">
        <v>350</v>
      </c>
      <c r="T1740" s="5">
        <v>356</v>
      </c>
      <c r="V1740" s="5">
        <v>350</v>
      </c>
      <c r="Y1740" s="5">
        <v>7689</v>
      </c>
      <c r="Z1740" s="5">
        <v>2718180.05</v>
      </c>
      <c r="AA1740" s="5">
        <v>152</v>
      </c>
      <c r="AB1740" s="5" t="s">
        <v>85</v>
      </c>
      <c r="AC1740" s="5">
        <v>1</v>
      </c>
    </row>
    <row r="1741" spans="1:29" x14ac:dyDescent="0.3">
      <c r="A1741" s="34">
        <v>46274</v>
      </c>
      <c r="B1741" s="34">
        <v>46274</v>
      </c>
      <c r="C1741" s="5" t="s">
        <v>78</v>
      </c>
      <c r="D1741" s="5" t="s">
        <v>79</v>
      </c>
      <c r="E1741" s="5" t="s">
        <v>80</v>
      </c>
      <c r="F1741" s="5">
        <v>12092</v>
      </c>
      <c r="G1741" s="5" t="s">
        <v>5313</v>
      </c>
      <c r="H1741" s="5" t="s">
        <v>5314</v>
      </c>
      <c r="I1741" s="5" t="s">
        <v>212</v>
      </c>
      <c r="N1741" s="5" t="s">
        <v>5315</v>
      </c>
      <c r="O1741" s="5">
        <v>3624</v>
      </c>
      <c r="P1741" s="5">
        <v>3650.7</v>
      </c>
      <c r="Q1741" s="5">
        <v>3587.5</v>
      </c>
      <c r="R1741" s="5">
        <v>3615</v>
      </c>
      <c r="S1741" s="5">
        <v>3615</v>
      </c>
      <c r="T1741" s="5">
        <v>3610</v>
      </c>
      <c r="V1741" s="5">
        <v>3612.6</v>
      </c>
      <c r="Y1741" s="5">
        <v>446465</v>
      </c>
      <c r="Z1741" s="5">
        <v>1613844760.4000001</v>
      </c>
      <c r="AA1741" s="5">
        <v>32511</v>
      </c>
      <c r="AB1741" s="5" t="s">
        <v>85</v>
      </c>
      <c r="AC1741" s="5">
        <v>1</v>
      </c>
    </row>
    <row r="1742" spans="1:29" x14ac:dyDescent="0.3">
      <c r="A1742" s="34">
        <v>46274</v>
      </c>
      <c r="B1742" s="34">
        <v>46274</v>
      </c>
      <c r="C1742" s="5" t="s">
        <v>78</v>
      </c>
      <c r="D1742" s="5" t="s">
        <v>79</v>
      </c>
      <c r="E1742" s="5" t="s">
        <v>80</v>
      </c>
      <c r="F1742" s="5">
        <v>758868</v>
      </c>
      <c r="G1742" s="5" t="s">
        <v>5316</v>
      </c>
      <c r="H1742" s="5" t="s">
        <v>5317</v>
      </c>
      <c r="I1742" s="5" t="s">
        <v>313</v>
      </c>
      <c r="N1742" s="5" t="s">
        <v>5318</v>
      </c>
      <c r="O1742" s="5">
        <v>56.05</v>
      </c>
      <c r="P1742" s="5">
        <v>56.8</v>
      </c>
      <c r="Q1742" s="5">
        <v>56.05</v>
      </c>
      <c r="R1742" s="5">
        <v>56.8</v>
      </c>
      <c r="S1742" s="5">
        <v>56.8</v>
      </c>
      <c r="T1742" s="5">
        <v>57.5</v>
      </c>
      <c r="V1742" s="5">
        <v>56.8</v>
      </c>
      <c r="Y1742" s="5">
        <v>2400</v>
      </c>
      <c r="Z1742" s="5">
        <v>135720</v>
      </c>
      <c r="AA1742" s="5">
        <v>3</v>
      </c>
      <c r="AB1742" s="5" t="s">
        <v>85</v>
      </c>
      <c r="AC1742" s="5">
        <v>800</v>
      </c>
    </row>
    <row r="1743" spans="1:29" x14ac:dyDescent="0.3">
      <c r="A1743" s="34">
        <v>46274</v>
      </c>
      <c r="B1743" s="34">
        <v>46274</v>
      </c>
      <c r="C1743" s="5" t="s">
        <v>78</v>
      </c>
      <c r="D1743" s="5" t="s">
        <v>79</v>
      </c>
      <c r="E1743" s="5" t="s">
        <v>80</v>
      </c>
      <c r="F1743" s="5">
        <v>10296</v>
      </c>
      <c r="G1743" s="5" t="s">
        <v>5319</v>
      </c>
      <c r="H1743" s="5" t="s">
        <v>5320</v>
      </c>
      <c r="I1743" s="5" t="s">
        <v>392</v>
      </c>
      <c r="N1743" s="5" t="s">
        <v>5321</v>
      </c>
      <c r="O1743" s="5">
        <v>14.5</v>
      </c>
      <c r="P1743" s="5">
        <v>14.9</v>
      </c>
      <c r="Q1743" s="5">
        <v>14.3</v>
      </c>
      <c r="R1743" s="5">
        <v>14.9</v>
      </c>
      <c r="S1743" s="5">
        <v>14.9</v>
      </c>
      <c r="T1743" s="5">
        <v>15.05</v>
      </c>
      <c r="V1743" s="5">
        <v>14.9</v>
      </c>
      <c r="Y1743" s="5">
        <v>45000</v>
      </c>
      <c r="Z1743" s="5">
        <v>649250</v>
      </c>
      <c r="AA1743" s="5">
        <v>13</v>
      </c>
      <c r="AB1743" s="5" t="s">
        <v>85</v>
      </c>
      <c r="AC1743" s="5">
        <v>2500</v>
      </c>
    </row>
    <row r="1744" spans="1:29" x14ac:dyDescent="0.3">
      <c r="A1744" s="34">
        <v>46274</v>
      </c>
      <c r="B1744" s="34">
        <v>46274</v>
      </c>
      <c r="C1744" s="5" t="s">
        <v>78</v>
      </c>
      <c r="D1744" s="5" t="s">
        <v>79</v>
      </c>
      <c r="E1744" s="5" t="s">
        <v>80</v>
      </c>
      <c r="F1744" s="5">
        <v>1841</v>
      </c>
      <c r="G1744" s="5" t="s">
        <v>5322</v>
      </c>
      <c r="H1744" s="5" t="s">
        <v>5323</v>
      </c>
      <c r="I1744" s="5" t="s">
        <v>212</v>
      </c>
      <c r="N1744" s="5" t="s">
        <v>5324</v>
      </c>
      <c r="O1744" s="5">
        <v>161.85</v>
      </c>
      <c r="P1744" s="5">
        <v>162.44</v>
      </c>
      <c r="Q1744" s="5">
        <v>160.52000000000001</v>
      </c>
      <c r="R1744" s="5">
        <v>161.91</v>
      </c>
      <c r="S1744" s="5">
        <v>161.91</v>
      </c>
      <c r="T1744" s="5">
        <v>162.11000000000001</v>
      </c>
      <c r="V1744" s="5">
        <v>161.91</v>
      </c>
      <c r="Y1744" s="5">
        <v>60961</v>
      </c>
      <c r="Z1744" s="5">
        <v>9851310.0899999999</v>
      </c>
      <c r="AA1744" s="5">
        <v>1305</v>
      </c>
      <c r="AB1744" s="5" t="s">
        <v>85</v>
      </c>
      <c r="AC1744" s="5">
        <v>1</v>
      </c>
    </row>
    <row r="1745" spans="1:29" x14ac:dyDescent="0.3">
      <c r="A1745" s="34">
        <v>46274</v>
      </c>
      <c r="B1745" s="34">
        <v>46274</v>
      </c>
      <c r="C1745" s="5" t="s">
        <v>78</v>
      </c>
      <c r="D1745" s="5" t="s">
        <v>79</v>
      </c>
      <c r="E1745" s="5" t="s">
        <v>80</v>
      </c>
      <c r="F1745" s="5">
        <v>8849</v>
      </c>
      <c r="G1745" s="5" t="s">
        <v>5325</v>
      </c>
      <c r="H1745" s="5" t="s">
        <v>5326</v>
      </c>
      <c r="I1745" s="5" t="s">
        <v>234</v>
      </c>
      <c r="N1745" s="5" t="s">
        <v>5327</v>
      </c>
      <c r="O1745" s="5">
        <v>31.51</v>
      </c>
      <c r="P1745" s="5">
        <v>32.380000000000003</v>
      </c>
      <c r="Q1745" s="5">
        <v>31.15</v>
      </c>
      <c r="R1745" s="5">
        <v>31.6</v>
      </c>
      <c r="S1745" s="5">
        <v>31.94</v>
      </c>
      <c r="T1745" s="5">
        <v>31.83</v>
      </c>
      <c r="V1745" s="5">
        <v>31.6</v>
      </c>
      <c r="Y1745" s="5">
        <v>70669</v>
      </c>
      <c r="Z1745" s="5">
        <v>2235787.71</v>
      </c>
      <c r="AA1745" s="5">
        <v>273</v>
      </c>
      <c r="AB1745" s="5" t="s">
        <v>85</v>
      </c>
      <c r="AC1745" s="5">
        <v>1</v>
      </c>
    </row>
    <row r="1746" spans="1:29" x14ac:dyDescent="0.3">
      <c r="A1746" s="34">
        <v>46274</v>
      </c>
      <c r="B1746" s="34">
        <v>46274</v>
      </c>
      <c r="C1746" s="5" t="s">
        <v>78</v>
      </c>
      <c r="D1746" s="5" t="s">
        <v>79</v>
      </c>
      <c r="E1746" s="5" t="s">
        <v>80</v>
      </c>
      <c r="F1746" s="5">
        <v>765105</v>
      </c>
      <c r="G1746" s="5" t="s">
        <v>5328</v>
      </c>
      <c r="H1746" s="5" t="s">
        <v>5329</v>
      </c>
      <c r="I1746" s="5" t="s">
        <v>212</v>
      </c>
      <c r="N1746" s="5" t="s">
        <v>5330</v>
      </c>
      <c r="O1746" s="5">
        <v>47</v>
      </c>
      <c r="P1746" s="5">
        <v>50.31</v>
      </c>
      <c r="Q1746" s="5">
        <v>46.37</v>
      </c>
      <c r="R1746" s="5">
        <v>50.01</v>
      </c>
      <c r="S1746" s="5">
        <v>50.07</v>
      </c>
      <c r="T1746" s="5">
        <v>47.36</v>
      </c>
      <c r="V1746" s="5">
        <v>50</v>
      </c>
      <c r="Y1746" s="5">
        <v>109479</v>
      </c>
      <c r="Z1746" s="5">
        <v>5316944.03</v>
      </c>
      <c r="AA1746" s="5">
        <v>883</v>
      </c>
      <c r="AB1746" s="5" t="s">
        <v>85</v>
      </c>
      <c r="AC1746" s="5">
        <v>1</v>
      </c>
    </row>
    <row r="1747" spans="1:29" x14ac:dyDescent="0.3">
      <c r="A1747" s="34">
        <v>46274</v>
      </c>
      <c r="B1747" s="34">
        <v>46274</v>
      </c>
      <c r="C1747" s="5" t="s">
        <v>78</v>
      </c>
      <c r="D1747" s="5" t="s">
        <v>79</v>
      </c>
      <c r="E1747" s="5" t="s">
        <v>80</v>
      </c>
      <c r="F1747" s="5">
        <v>14908</v>
      </c>
      <c r="G1747" s="5" t="s">
        <v>5331</v>
      </c>
      <c r="H1747" s="5" t="s">
        <v>5332</v>
      </c>
      <c r="I1747" s="5" t="s">
        <v>212</v>
      </c>
      <c r="N1747" s="5" t="s">
        <v>5333</v>
      </c>
      <c r="O1747" s="5">
        <v>3965</v>
      </c>
      <c r="P1747" s="5">
        <v>4000</v>
      </c>
      <c r="Q1747" s="5">
        <v>3875.5</v>
      </c>
      <c r="R1747" s="5">
        <v>3912.2</v>
      </c>
      <c r="S1747" s="5">
        <v>3875.5</v>
      </c>
      <c r="T1747" s="5">
        <v>3965.7</v>
      </c>
      <c r="V1747" s="5">
        <v>3912.47</v>
      </c>
      <c r="Y1747" s="5">
        <v>47930</v>
      </c>
      <c r="Z1747" s="5">
        <v>189707148.59999999</v>
      </c>
      <c r="AA1747" s="5">
        <v>8624</v>
      </c>
      <c r="AB1747" s="5" t="s">
        <v>85</v>
      </c>
      <c r="AC1747" s="5">
        <v>1</v>
      </c>
    </row>
    <row r="1748" spans="1:29" x14ac:dyDescent="0.3">
      <c r="A1748" s="34">
        <v>46274</v>
      </c>
      <c r="B1748" s="34">
        <v>46274</v>
      </c>
      <c r="C1748" s="5" t="s">
        <v>78</v>
      </c>
      <c r="D1748" s="5" t="s">
        <v>79</v>
      </c>
      <c r="E1748" s="5" t="s">
        <v>80</v>
      </c>
      <c r="F1748" s="5">
        <v>13260</v>
      </c>
      <c r="G1748" s="5" t="s">
        <v>5334</v>
      </c>
      <c r="H1748" s="5" t="s">
        <v>5335</v>
      </c>
      <c r="I1748" s="5" t="s">
        <v>212</v>
      </c>
      <c r="N1748" s="5" t="s">
        <v>5336</v>
      </c>
      <c r="O1748" s="5">
        <v>406</v>
      </c>
      <c r="P1748" s="5">
        <v>417.9</v>
      </c>
      <c r="Q1748" s="5">
        <v>389.15</v>
      </c>
      <c r="R1748" s="5">
        <v>393.2</v>
      </c>
      <c r="S1748" s="5">
        <v>393.5</v>
      </c>
      <c r="T1748" s="5">
        <v>405.7</v>
      </c>
      <c r="V1748" s="5">
        <v>393.15</v>
      </c>
      <c r="Y1748" s="5">
        <v>2065963</v>
      </c>
      <c r="Z1748" s="5">
        <v>832891584.35000002</v>
      </c>
      <c r="AA1748" s="5">
        <v>39428</v>
      </c>
      <c r="AB1748" s="5" t="s">
        <v>85</v>
      </c>
      <c r="AC1748" s="5">
        <v>1</v>
      </c>
    </row>
    <row r="1749" spans="1:29" x14ac:dyDescent="0.3">
      <c r="A1749" s="34">
        <v>46274</v>
      </c>
      <c r="B1749" s="34">
        <v>46274</v>
      </c>
      <c r="C1749" s="5" t="s">
        <v>78</v>
      </c>
      <c r="D1749" s="5" t="s">
        <v>79</v>
      </c>
      <c r="E1749" s="5" t="s">
        <v>80</v>
      </c>
      <c r="F1749" s="5">
        <v>13310</v>
      </c>
      <c r="G1749" s="5" t="s">
        <v>5337</v>
      </c>
      <c r="H1749" s="5" t="s">
        <v>5338</v>
      </c>
      <c r="I1749" s="5" t="s">
        <v>212</v>
      </c>
      <c r="N1749" s="5" t="s">
        <v>5339</v>
      </c>
      <c r="O1749" s="5">
        <v>4722</v>
      </c>
      <c r="P1749" s="5">
        <v>4738</v>
      </c>
      <c r="Q1749" s="5">
        <v>4610</v>
      </c>
      <c r="R1749" s="5">
        <v>4669.5</v>
      </c>
      <c r="S1749" s="5">
        <v>4669.5</v>
      </c>
      <c r="T1749" s="5">
        <v>4697.5</v>
      </c>
      <c r="V1749" s="5">
        <v>4669.3900000000003</v>
      </c>
      <c r="Y1749" s="5">
        <v>773204</v>
      </c>
      <c r="Z1749" s="5">
        <v>3598455252</v>
      </c>
      <c r="AA1749" s="5">
        <v>99356</v>
      </c>
      <c r="AB1749" s="5" t="s">
        <v>85</v>
      </c>
      <c r="AC1749" s="5">
        <v>1</v>
      </c>
    </row>
    <row r="1750" spans="1:29" x14ac:dyDescent="0.3">
      <c r="A1750" s="34">
        <v>46274</v>
      </c>
      <c r="B1750" s="34">
        <v>46274</v>
      </c>
      <c r="C1750" s="5" t="s">
        <v>78</v>
      </c>
      <c r="D1750" s="5" t="s">
        <v>79</v>
      </c>
      <c r="E1750" s="5" t="s">
        <v>80</v>
      </c>
      <c r="F1750" s="5">
        <v>13430</v>
      </c>
      <c r="G1750" s="5" t="s">
        <v>5340</v>
      </c>
      <c r="H1750" s="5" t="s">
        <v>5341</v>
      </c>
      <c r="I1750" s="5" t="s">
        <v>212</v>
      </c>
      <c r="N1750" s="5" t="s">
        <v>5342</v>
      </c>
      <c r="O1750" s="5">
        <v>13.78</v>
      </c>
      <c r="P1750" s="5">
        <v>13.84</v>
      </c>
      <c r="Q1750" s="5">
        <v>13.55</v>
      </c>
      <c r="R1750" s="5">
        <v>13.65</v>
      </c>
      <c r="S1750" s="5">
        <v>13.69</v>
      </c>
      <c r="T1750" s="5">
        <v>13.69</v>
      </c>
      <c r="V1750" s="5">
        <v>13.65</v>
      </c>
      <c r="Y1750" s="5">
        <v>1101373</v>
      </c>
      <c r="Z1750" s="5">
        <v>15067438.27</v>
      </c>
      <c r="AA1750" s="5">
        <v>2270</v>
      </c>
      <c r="AB1750" s="5" t="s">
        <v>85</v>
      </c>
      <c r="AC1750" s="5">
        <v>1</v>
      </c>
    </row>
    <row r="1751" spans="1:29" x14ac:dyDescent="0.3">
      <c r="A1751" s="34">
        <v>46274</v>
      </c>
      <c r="B1751" s="34">
        <v>46274</v>
      </c>
      <c r="C1751" s="5" t="s">
        <v>78</v>
      </c>
      <c r="D1751" s="5" t="s">
        <v>79</v>
      </c>
      <c r="E1751" s="5" t="s">
        <v>80</v>
      </c>
      <c r="F1751" s="5">
        <v>29547</v>
      </c>
      <c r="G1751" s="5" t="s">
        <v>5343</v>
      </c>
      <c r="H1751" s="5" t="s">
        <v>5344</v>
      </c>
      <c r="I1751" s="5" t="s">
        <v>313</v>
      </c>
      <c r="N1751" s="5" t="s">
        <v>5345</v>
      </c>
      <c r="O1751" s="5">
        <v>38.5</v>
      </c>
      <c r="P1751" s="5">
        <v>41.45</v>
      </c>
      <c r="Q1751" s="5">
        <v>38</v>
      </c>
      <c r="R1751" s="5">
        <v>40</v>
      </c>
      <c r="S1751" s="5">
        <v>40</v>
      </c>
      <c r="T1751" s="5">
        <v>38.5</v>
      </c>
      <c r="V1751" s="5">
        <v>40</v>
      </c>
      <c r="Y1751" s="5">
        <v>12000</v>
      </c>
      <c r="Z1751" s="5">
        <v>472080</v>
      </c>
      <c r="AA1751" s="5">
        <v>10</v>
      </c>
      <c r="AB1751" s="5" t="s">
        <v>85</v>
      </c>
      <c r="AC1751" s="5">
        <v>1200</v>
      </c>
    </row>
    <row r="1752" spans="1:29" x14ac:dyDescent="0.3">
      <c r="A1752" s="34">
        <v>46274</v>
      </c>
      <c r="B1752" s="34">
        <v>46274</v>
      </c>
      <c r="C1752" s="5" t="s">
        <v>78</v>
      </c>
      <c r="D1752" s="5" t="s">
        <v>79</v>
      </c>
      <c r="E1752" s="5" t="s">
        <v>80</v>
      </c>
      <c r="F1752" s="5">
        <v>11841</v>
      </c>
      <c r="G1752" s="5" t="s">
        <v>5346</v>
      </c>
      <c r="H1752" s="5" t="s">
        <v>5347</v>
      </c>
      <c r="I1752" s="5" t="s">
        <v>212</v>
      </c>
      <c r="N1752" s="5" t="s">
        <v>5348</v>
      </c>
      <c r="O1752" s="5">
        <v>4691.7</v>
      </c>
      <c r="P1752" s="5">
        <v>4880</v>
      </c>
      <c r="Q1752" s="5">
        <v>4544.8</v>
      </c>
      <c r="R1752" s="5">
        <v>4746.7</v>
      </c>
      <c r="S1752" s="5">
        <v>4740</v>
      </c>
      <c r="T1752" s="5">
        <v>4654.3999999999996</v>
      </c>
      <c r="V1752" s="5">
        <v>4746.16</v>
      </c>
      <c r="Y1752" s="5">
        <v>45818</v>
      </c>
      <c r="Z1752" s="5">
        <v>217538799.30000001</v>
      </c>
      <c r="AA1752" s="5">
        <v>7790</v>
      </c>
      <c r="AB1752" s="5" t="s">
        <v>85</v>
      </c>
      <c r="AC1752" s="5">
        <v>1</v>
      </c>
    </row>
    <row r="1753" spans="1:29" x14ac:dyDescent="0.3">
      <c r="A1753" s="34">
        <v>46274</v>
      </c>
      <c r="B1753" s="34">
        <v>46274</v>
      </c>
      <c r="C1753" s="5" t="s">
        <v>78</v>
      </c>
      <c r="D1753" s="5" t="s">
        <v>79</v>
      </c>
      <c r="E1753" s="5" t="s">
        <v>80</v>
      </c>
      <c r="F1753" s="5">
        <v>13121</v>
      </c>
      <c r="G1753" s="5" t="s">
        <v>5349</v>
      </c>
      <c r="H1753" s="5" t="s">
        <v>5350</v>
      </c>
      <c r="I1753" s="5" t="s">
        <v>212</v>
      </c>
      <c r="N1753" s="5" t="s">
        <v>5351</v>
      </c>
      <c r="O1753" s="5">
        <v>1730</v>
      </c>
      <c r="P1753" s="5">
        <v>1754.9</v>
      </c>
      <c r="Q1753" s="5">
        <v>1706</v>
      </c>
      <c r="R1753" s="5">
        <v>1716.2</v>
      </c>
      <c r="S1753" s="5">
        <v>1715</v>
      </c>
      <c r="T1753" s="5">
        <v>1732</v>
      </c>
      <c r="V1753" s="5">
        <v>1716.09</v>
      </c>
      <c r="Y1753" s="5">
        <v>200570</v>
      </c>
      <c r="Z1753" s="5">
        <v>345455975.10000002</v>
      </c>
      <c r="AA1753" s="5">
        <v>13520</v>
      </c>
      <c r="AB1753" s="5" t="s">
        <v>85</v>
      </c>
      <c r="AC1753" s="5">
        <v>1</v>
      </c>
    </row>
    <row r="1754" spans="1:29" x14ac:dyDescent="0.3">
      <c r="A1754" s="34">
        <v>46274</v>
      </c>
      <c r="B1754" s="34">
        <v>46274</v>
      </c>
      <c r="C1754" s="5" t="s">
        <v>78</v>
      </c>
      <c r="D1754" s="5" t="s">
        <v>79</v>
      </c>
      <c r="E1754" s="5" t="s">
        <v>80</v>
      </c>
      <c r="F1754" s="5">
        <v>4981</v>
      </c>
      <c r="G1754" s="5" t="s">
        <v>5352</v>
      </c>
      <c r="H1754" s="5" t="s">
        <v>5353</v>
      </c>
      <c r="I1754" s="5" t="s">
        <v>234</v>
      </c>
      <c r="N1754" s="5" t="s">
        <v>5354</v>
      </c>
      <c r="O1754" s="5">
        <v>11.55</v>
      </c>
      <c r="P1754" s="5">
        <v>11.55</v>
      </c>
      <c r="Q1754" s="5">
        <v>11.55</v>
      </c>
      <c r="R1754" s="5">
        <v>11.55</v>
      </c>
      <c r="S1754" s="5">
        <v>11.55</v>
      </c>
      <c r="T1754" s="5">
        <v>11.33</v>
      </c>
      <c r="V1754" s="5">
        <v>11.48</v>
      </c>
      <c r="Y1754" s="5">
        <v>246526</v>
      </c>
      <c r="Z1754" s="5">
        <v>2847375.3</v>
      </c>
      <c r="AA1754" s="5">
        <v>132</v>
      </c>
      <c r="AB1754" s="5" t="s">
        <v>85</v>
      </c>
      <c r="AC1754" s="5">
        <v>1</v>
      </c>
    </row>
    <row r="1755" spans="1:29" x14ac:dyDescent="0.3">
      <c r="A1755" s="34">
        <v>46274</v>
      </c>
      <c r="B1755" s="34">
        <v>46274</v>
      </c>
      <c r="C1755" s="5" t="s">
        <v>78</v>
      </c>
      <c r="D1755" s="5" t="s">
        <v>79</v>
      </c>
      <c r="E1755" s="5" t="s">
        <v>80</v>
      </c>
      <c r="F1755" s="5">
        <v>13381</v>
      </c>
      <c r="G1755" s="5" t="s">
        <v>5355</v>
      </c>
      <c r="H1755" s="5" t="s">
        <v>5356</v>
      </c>
      <c r="I1755" s="5" t="s">
        <v>212</v>
      </c>
      <c r="N1755" s="5" t="s">
        <v>5357</v>
      </c>
      <c r="O1755" s="5">
        <v>496.9</v>
      </c>
      <c r="P1755" s="5">
        <v>516</v>
      </c>
      <c r="Q1755" s="5">
        <v>496.9</v>
      </c>
      <c r="R1755" s="5">
        <v>513.54999999999995</v>
      </c>
      <c r="S1755" s="5">
        <v>505</v>
      </c>
      <c r="T1755" s="5">
        <v>501.5</v>
      </c>
      <c r="V1755" s="5">
        <v>513.54999999999995</v>
      </c>
      <c r="Y1755" s="5">
        <v>35975</v>
      </c>
      <c r="Z1755" s="5">
        <v>18411328.050000001</v>
      </c>
      <c r="AA1755" s="5">
        <v>1807</v>
      </c>
      <c r="AB1755" s="5" t="s">
        <v>85</v>
      </c>
      <c r="AC1755" s="5">
        <v>1</v>
      </c>
    </row>
    <row r="1756" spans="1:29" x14ac:dyDescent="0.3">
      <c r="A1756" s="34">
        <v>46274</v>
      </c>
      <c r="B1756" s="34">
        <v>46274</v>
      </c>
      <c r="C1756" s="5" t="s">
        <v>78</v>
      </c>
      <c r="D1756" s="5" t="s">
        <v>79</v>
      </c>
      <c r="E1756" s="5" t="s">
        <v>80</v>
      </c>
      <c r="F1756" s="5">
        <v>4157</v>
      </c>
      <c r="G1756" s="5" t="s">
        <v>5358</v>
      </c>
      <c r="H1756" s="5" t="s">
        <v>5359</v>
      </c>
      <c r="I1756" s="5" t="s">
        <v>212</v>
      </c>
      <c r="N1756" s="5" t="s">
        <v>5360</v>
      </c>
      <c r="O1756" s="5">
        <v>252</v>
      </c>
      <c r="P1756" s="5">
        <v>256.39999999999998</v>
      </c>
      <c r="Q1756" s="5">
        <v>245.25</v>
      </c>
      <c r="R1756" s="5">
        <v>247.4</v>
      </c>
      <c r="S1756" s="5">
        <v>245.25</v>
      </c>
      <c r="T1756" s="5">
        <v>250.25</v>
      </c>
      <c r="V1756" s="5">
        <v>247.4</v>
      </c>
      <c r="Y1756" s="5">
        <v>421</v>
      </c>
      <c r="Z1756" s="5">
        <v>105516.75</v>
      </c>
      <c r="AA1756" s="5">
        <v>33</v>
      </c>
      <c r="AB1756" s="5" t="s">
        <v>85</v>
      </c>
      <c r="AC1756" s="5">
        <v>1</v>
      </c>
    </row>
    <row r="1757" spans="1:29" x14ac:dyDescent="0.3">
      <c r="A1757" s="34">
        <v>46274</v>
      </c>
      <c r="B1757" s="34">
        <v>46274</v>
      </c>
      <c r="C1757" s="5" t="s">
        <v>78</v>
      </c>
      <c r="D1757" s="5" t="s">
        <v>79</v>
      </c>
      <c r="E1757" s="5" t="s">
        <v>80</v>
      </c>
      <c r="F1757" s="5">
        <v>12219</v>
      </c>
      <c r="G1757" s="5" t="s">
        <v>5361</v>
      </c>
      <c r="H1757" s="5" t="s">
        <v>5362</v>
      </c>
      <c r="I1757" s="5" t="s">
        <v>212</v>
      </c>
      <c r="N1757" s="5" t="s">
        <v>5363</v>
      </c>
      <c r="O1757" s="5">
        <v>356.3</v>
      </c>
      <c r="P1757" s="5">
        <v>358.95</v>
      </c>
      <c r="Q1757" s="5">
        <v>351</v>
      </c>
      <c r="R1757" s="5">
        <v>352.35</v>
      </c>
      <c r="S1757" s="5">
        <v>351</v>
      </c>
      <c r="T1757" s="5">
        <v>357.55</v>
      </c>
      <c r="V1757" s="5">
        <v>352.36</v>
      </c>
      <c r="Y1757" s="5">
        <v>29197</v>
      </c>
      <c r="Z1757" s="5">
        <v>10337348.300000001</v>
      </c>
      <c r="AA1757" s="5">
        <v>1106</v>
      </c>
      <c r="AB1757" s="5" t="s">
        <v>85</v>
      </c>
      <c r="AC1757" s="5">
        <v>1</v>
      </c>
    </row>
    <row r="1758" spans="1:29" x14ac:dyDescent="0.3">
      <c r="A1758" s="34">
        <v>46274</v>
      </c>
      <c r="B1758" s="34">
        <v>46274</v>
      </c>
      <c r="C1758" s="5" t="s">
        <v>78</v>
      </c>
      <c r="D1758" s="5" t="s">
        <v>79</v>
      </c>
      <c r="E1758" s="5" t="s">
        <v>80</v>
      </c>
      <c r="F1758" s="5">
        <v>13359</v>
      </c>
      <c r="G1758" s="5" t="s">
        <v>5364</v>
      </c>
      <c r="H1758" s="5" t="s">
        <v>5365</v>
      </c>
      <c r="I1758" s="5" t="s">
        <v>212</v>
      </c>
      <c r="N1758" s="5" t="s">
        <v>5366</v>
      </c>
      <c r="O1758" s="5">
        <v>920.5</v>
      </c>
      <c r="P1758" s="5">
        <v>921.85</v>
      </c>
      <c r="Q1758" s="5">
        <v>907.7</v>
      </c>
      <c r="R1758" s="5">
        <v>908</v>
      </c>
      <c r="S1758" s="5">
        <v>908</v>
      </c>
      <c r="T1758" s="5">
        <v>925.1</v>
      </c>
      <c r="V1758" s="5">
        <v>908</v>
      </c>
      <c r="Y1758" s="5">
        <v>539427</v>
      </c>
      <c r="Z1758" s="5">
        <v>492640225.60000002</v>
      </c>
      <c r="AA1758" s="5">
        <v>19723</v>
      </c>
      <c r="AB1758" s="5" t="s">
        <v>85</v>
      </c>
      <c r="AC1758" s="5">
        <v>1</v>
      </c>
    </row>
    <row r="1759" spans="1:29" x14ac:dyDescent="0.3">
      <c r="A1759" s="34">
        <v>46274</v>
      </c>
      <c r="B1759" s="34">
        <v>46274</v>
      </c>
      <c r="C1759" s="5" t="s">
        <v>78</v>
      </c>
      <c r="D1759" s="5" t="s">
        <v>79</v>
      </c>
      <c r="E1759" s="5" t="s">
        <v>80</v>
      </c>
      <c r="F1759" s="5">
        <v>433</v>
      </c>
      <c r="G1759" s="5" t="s">
        <v>5367</v>
      </c>
      <c r="H1759" s="5" t="s">
        <v>5368</v>
      </c>
      <c r="I1759" s="5" t="s">
        <v>234</v>
      </c>
      <c r="N1759" s="5" t="s">
        <v>5369</v>
      </c>
      <c r="O1759" s="5">
        <v>116.1</v>
      </c>
      <c r="P1759" s="5">
        <v>120.68</v>
      </c>
      <c r="Q1759" s="5">
        <v>115.96</v>
      </c>
      <c r="R1759" s="5">
        <v>120.68</v>
      </c>
      <c r="S1759" s="5">
        <v>120.68</v>
      </c>
      <c r="T1759" s="5">
        <v>118.32</v>
      </c>
      <c r="V1759" s="5">
        <v>119.35</v>
      </c>
      <c r="Y1759" s="5">
        <v>519530</v>
      </c>
      <c r="Z1759" s="5">
        <v>60344033.25</v>
      </c>
      <c r="AA1759" s="5">
        <v>162</v>
      </c>
      <c r="AB1759" s="5" t="s">
        <v>85</v>
      </c>
      <c r="AC1759" s="5">
        <v>1</v>
      </c>
    </row>
    <row r="1760" spans="1:29" x14ac:dyDescent="0.3">
      <c r="A1760" s="34">
        <v>46274</v>
      </c>
      <c r="B1760" s="34">
        <v>46274</v>
      </c>
      <c r="C1760" s="5" t="s">
        <v>78</v>
      </c>
      <c r="D1760" s="5" t="s">
        <v>79</v>
      </c>
      <c r="E1760" s="5" t="s">
        <v>80</v>
      </c>
      <c r="F1760" s="5">
        <v>3912</v>
      </c>
      <c r="G1760" s="5" t="s">
        <v>5370</v>
      </c>
      <c r="H1760" s="5" t="s">
        <v>5371</v>
      </c>
      <c r="I1760" s="5" t="s">
        <v>212</v>
      </c>
      <c r="N1760" s="5" t="s">
        <v>5372</v>
      </c>
      <c r="O1760" s="5">
        <v>161</v>
      </c>
      <c r="P1760" s="5">
        <v>163.9</v>
      </c>
      <c r="Q1760" s="5">
        <v>158</v>
      </c>
      <c r="R1760" s="5">
        <v>162.87</v>
      </c>
      <c r="S1760" s="5">
        <v>163.1</v>
      </c>
      <c r="T1760" s="5">
        <v>160.99</v>
      </c>
      <c r="V1760" s="5">
        <v>162.87</v>
      </c>
      <c r="Y1760" s="5">
        <v>3223</v>
      </c>
      <c r="Z1760" s="5">
        <v>521601.17</v>
      </c>
      <c r="AA1760" s="5">
        <v>170</v>
      </c>
      <c r="AB1760" s="5" t="s">
        <v>85</v>
      </c>
      <c r="AC1760" s="5">
        <v>1</v>
      </c>
    </row>
    <row r="1761" spans="1:29" x14ac:dyDescent="0.3">
      <c r="A1761" s="34">
        <v>46274</v>
      </c>
      <c r="B1761" s="34">
        <v>46274</v>
      </c>
      <c r="C1761" s="5" t="s">
        <v>78</v>
      </c>
      <c r="D1761" s="5" t="s">
        <v>79</v>
      </c>
      <c r="E1761" s="5" t="s">
        <v>80</v>
      </c>
      <c r="F1761" s="5">
        <v>896</v>
      </c>
      <c r="G1761" s="5" t="s">
        <v>5373</v>
      </c>
      <c r="H1761" s="5" t="s">
        <v>5374</v>
      </c>
      <c r="I1761" s="5" t="s">
        <v>212</v>
      </c>
      <c r="N1761" s="5" t="s">
        <v>5375</v>
      </c>
      <c r="O1761" s="5">
        <v>52.3</v>
      </c>
      <c r="P1761" s="5">
        <v>53.48</v>
      </c>
      <c r="Q1761" s="5">
        <v>52.28</v>
      </c>
      <c r="R1761" s="5">
        <v>52.97</v>
      </c>
      <c r="S1761" s="5">
        <v>53.2</v>
      </c>
      <c r="T1761" s="5">
        <v>52.83</v>
      </c>
      <c r="V1761" s="5">
        <v>52.97</v>
      </c>
      <c r="Y1761" s="5">
        <v>110462</v>
      </c>
      <c r="Z1761" s="5">
        <v>5831758.6200000001</v>
      </c>
      <c r="AA1761" s="5">
        <v>805</v>
      </c>
      <c r="AB1761" s="5" t="s">
        <v>85</v>
      </c>
      <c r="AC1761" s="5">
        <v>1</v>
      </c>
    </row>
    <row r="1762" spans="1:29" x14ac:dyDescent="0.3">
      <c r="A1762" s="34">
        <v>46274</v>
      </c>
      <c r="B1762" s="34">
        <v>46274</v>
      </c>
      <c r="C1762" s="5" t="s">
        <v>78</v>
      </c>
      <c r="D1762" s="5" t="s">
        <v>79</v>
      </c>
      <c r="E1762" s="5" t="s">
        <v>80</v>
      </c>
      <c r="F1762" s="5">
        <v>9641</v>
      </c>
      <c r="G1762" s="5" t="s">
        <v>5376</v>
      </c>
      <c r="H1762" s="5" t="s">
        <v>5377</v>
      </c>
      <c r="I1762" s="5" t="s">
        <v>212</v>
      </c>
      <c r="N1762" s="5" t="s">
        <v>5378</v>
      </c>
      <c r="O1762" s="5">
        <v>18.399999999999999</v>
      </c>
      <c r="P1762" s="5">
        <v>18.399999999999999</v>
      </c>
      <c r="Q1762" s="5">
        <v>17.010000000000002</v>
      </c>
      <c r="R1762" s="5">
        <v>17.7</v>
      </c>
      <c r="S1762" s="5">
        <v>17.11</v>
      </c>
      <c r="T1762" s="5">
        <v>18.2</v>
      </c>
      <c r="V1762" s="5">
        <v>17.7</v>
      </c>
      <c r="Y1762" s="5">
        <v>1179</v>
      </c>
      <c r="Z1762" s="5">
        <v>20955.05</v>
      </c>
      <c r="AA1762" s="5">
        <v>66</v>
      </c>
      <c r="AB1762" s="5" t="s">
        <v>85</v>
      </c>
      <c r="AC1762" s="5">
        <v>1</v>
      </c>
    </row>
    <row r="1763" spans="1:29" x14ac:dyDescent="0.3">
      <c r="A1763" s="34">
        <v>46274</v>
      </c>
      <c r="B1763" s="34">
        <v>46274</v>
      </c>
      <c r="C1763" s="5" t="s">
        <v>78</v>
      </c>
      <c r="D1763" s="5" t="s">
        <v>79</v>
      </c>
      <c r="E1763" s="5" t="s">
        <v>80</v>
      </c>
      <c r="F1763" s="5">
        <v>9570</v>
      </c>
      <c r="G1763" s="5" t="s">
        <v>5379</v>
      </c>
      <c r="H1763" s="5" t="s">
        <v>5380</v>
      </c>
      <c r="I1763" s="5" t="s">
        <v>313</v>
      </c>
      <c r="N1763" s="5" t="s">
        <v>5381</v>
      </c>
      <c r="O1763" s="5">
        <v>42.1</v>
      </c>
      <c r="P1763" s="5">
        <v>42.6</v>
      </c>
      <c r="Q1763" s="5">
        <v>42.1</v>
      </c>
      <c r="R1763" s="5">
        <v>42.25</v>
      </c>
      <c r="S1763" s="5">
        <v>42.6</v>
      </c>
      <c r="T1763" s="5">
        <v>46.9</v>
      </c>
      <c r="V1763" s="5">
        <v>42.25</v>
      </c>
      <c r="Y1763" s="5">
        <v>4650</v>
      </c>
      <c r="Z1763" s="5">
        <v>196540</v>
      </c>
      <c r="AA1763" s="5">
        <v>3</v>
      </c>
      <c r="AB1763" s="5" t="s">
        <v>85</v>
      </c>
      <c r="AC1763" s="5">
        <v>1550</v>
      </c>
    </row>
    <row r="1764" spans="1:29" x14ac:dyDescent="0.3">
      <c r="A1764" s="34">
        <v>46274</v>
      </c>
      <c r="B1764" s="34">
        <v>46274</v>
      </c>
      <c r="C1764" s="5" t="s">
        <v>78</v>
      </c>
      <c r="D1764" s="5" t="s">
        <v>79</v>
      </c>
      <c r="E1764" s="5" t="s">
        <v>80</v>
      </c>
      <c r="F1764" s="5">
        <v>762747</v>
      </c>
      <c r="G1764" s="5" t="s">
        <v>5382</v>
      </c>
      <c r="H1764" s="5" t="s">
        <v>5383</v>
      </c>
      <c r="I1764" s="5" t="s">
        <v>212</v>
      </c>
      <c r="N1764" s="5" t="s">
        <v>5384</v>
      </c>
      <c r="O1764" s="5">
        <v>459</v>
      </c>
      <c r="P1764" s="5">
        <v>479</v>
      </c>
      <c r="Q1764" s="5">
        <v>450.25</v>
      </c>
      <c r="R1764" s="5">
        <v>466.4</v>
      </c>
      <c r="S1764" s="5">
        <v>465</v>
      </c>
      <c r="T1764" s="5">
        <v>459.7</v>
      </c>
      <c r="V1764" s="5">
        <v>466.38</v>
      </c>
      <c r="Y1764" s="5">
        <v>326009</v>
      </c>
      <c r="Z1764" s="5">
        <v>152273043.5</v>
      </c>
      <c r="AA1764" s="5">
        <v>10056</v>
      </c>
      <c r="AB1764" s="5" t="s">
        <v>85</v>
      </c>
      <c r="AC1764" s="5">
        <v>1</v>
      </c>
    </row>
    <row r="1765" spans="1:29" x14ac:dyDescent="0.3">
      <c r="A1765" s="34">
        <v>46274</v>
      </c>
      <c r="B1765" s="34">
        <v>46274</v>
      </c>
      <c r="C1765" s="5" t="s">
        <v>78</v>
      </c>
      <c r="D1765" s="5" t="s">
        <v>79</v>
      </c>
      <c r="E1765" s="5" t="s">
        <v>80</v>
      </c>
      <c r="F1765" s="5">
        <v>19941</v>
      </c>
      <c r="G1765" s="5" t="s">
        <v>5385</v>
      </c>
      <c r="H1765" s="5" t="s">
        <v>5386</v>
      </c>
      <c r="I1765" s="5" t="s">
        <v>234</v>
      </c>
      <c r="N1765" s="5" t="s">
        <v>5387</v>
      </c>
      <c r="O1765" s="5">
        <v>185.02</v>
      </c>
      <c r="P1765" s="5">
        <v>190.01</v>
      </c>
      <c r="Q1765" s="5">
        <v>182.5</v>
      </c>
      <c r="R1765" s="5">
        <v>188.45</v>
      </c>
      <c r="S1765" s="5">
        <v>187</v>
      </c>
      <c r="T1765" s="5">
        <v>187.88</v>
      </c>
      <c r="V1765" s="5">
        <v>188.45</v>
      </c>
      <c r="Y1765" s="5">
        <v>16972</v>
      </c>
      <c r="Z1765" s="5">
        <v>3193957.54</v>
      </c>
      <c r="AA1765" s="5">
        <v>117</v>
      </c>
      <c r="AB1765" s="5" t="s">
        <v>85</v>
      </c>
      <c r="AC1765" s="5">
        <v>1</v>
      </c>
    </row>
    <row r="1766" spans="1:29" x14ac:dyDescent="0.3">
      <c r="A1766" s="34">
        <v>46274</v>
      </c>
      <c r="B1766" s="34">
        <v>46274</v>
      </c>
      <c r="C1766" s="5" t="s">
        <v>78</v>
      </c>
      <c r="D1766" s="5" t="s">
        <v>79</v>
      </c>
      <c r="E1766" s="5" t="s">
        <v>80</v>
      </c>
      <c r="F1766" s="5">
        <v>18944</v>
      </c>
      <c r="G1766" s="5" t="s">
        <v>5388</v>
      </c>
      <c r="H1766" s="5" t="s">
        <v>5389</v>
      </c>
      <c r="I1766" s="5" t="s">
        <v>212</v>
      </c>
      <c r="N1766" s="5" t="s">
        <v>5390</v>
      </c>
      <c r="O1766" s="5">
        <v>6070.5</v>
      </c>
      <c r="P1766" s="5">
        <v>6187</v>
      </c>
      <c r="Q1766" s="5">
        <v>5975</v>
      </c>
      <c r="R1766" s="5">
        <v>6157.5</v>
      </c>
      <c r="S1766" s="5">
        <v>6184</v>
      </c>
      <c r="T1766" s="5">
        <v>6037</v>
      </c>
      <c r="V1766" s="5">
        <v>6157.57</v>
      </c>
      <c r="Y1766" s="5">
        <v>23001</v>
      </c>
      <c r="Z1766" s="5">
        <v>140173213</v>
      </c>
      <c r="AA1766" s="5">
        <v>6763</v>
      </c>
      <c r="AB1766" s="5" t="s">
        <v>85</v>
      </c>
      <c r="AC1766" s="5">
        <v>1</v>
      </c>
    </row>
    <row r="1767" spans="1:29" x14ac:dyDescent="0.3">
      <c r="A1767" s="34">
        <v>46274</v>
      </c>
      <c r="B1767" s="34">
        <v>46274</v>
      </c>
      <c r="C1767" s="5" t="s">
        <v>78</v>
      </c>
      <c r="D1767" s="5" t="s">
        <v>79</v>
      </c>
      <c r="E1767" s="5" t="s">
        <v>80</v>
      </c>
      <c r="F1767" s="5">
        <v>19126</v>
      </c>
      <c r="G1767" s="5" t="s">
        <v>5391</v>
      </c>
      <c r="H1767" s="5" t="s">
        <v>5392</v>
      </c>
      <c r="I1767" s="5" t="s">
        <v>212</v>
      </c>
      <c r="N1767" s="5" t="s">
        <v>5393</v>
      </c>
      <c r="O1767" s="5">
        <v>376.5</v>
      </c>
      <c r="P1767" s="5">
        <v>378.45</v>
      </c>
      <c r="Q1767" s="5">
        <v>372.35</v>
      </c>
      <c r="R1767" s="5">
        <v>373.75</v>
      </c>
      <c r="S1767" s="5">
        <v>373.05</v>
      </c>
      <c r="T1767" s="5">
        <v>377.1</v>
      </c>
      <c r="V1767" s="5">
        <v>373.75</v>
      </c>
      <c r="Y1767" s="5">
        <v>54759</v>
      </c>
      <c r="Z1767" s="5">
        <v>20535266.649999999</v>
      </c>
      <c r="AA1767" s="5">
        <v>2442</v>
      </c>
      <c r="AB1767" s="5" t="s">
        <v>85</v>
      </c>
      <c r="AC1767" s="5">
        <v>1</v>
      </c>
    </row>
    <row r="1768" spans="1:29" x14ac:dyDescent="0.3">
      <c r="A1768" s="34">
        <v>46274</v>
      </c>
      <c r="B1768" s="34">
        <v>46274</v>
      </c>
      <c r="C1768" s="5" t="s">
        <v>78</v>
      </c>
      <c r="D1768" s="5" t="s">
        <v>79</v>
      </c>
      <c r="E1768" s="5" t="s">
        <v>80</v>
      </c>
      <c r="F1768" s="5">
        <v>762742</v>
      </c>
      <c r="G1768" s="5" t="s">
        <v>5394</v>
      </c>
      <c r="H1768" s="5" t="s">
        <v>5395</v>
      </c>
      <c r="I1768" s="5" t="s">
        <v>212</v>
      </c>
      <c r="N1768" s="5" t="s">
        <v>5396</v>
      </c>
      <c r="O1768" s="5">
        <v>200</v>
      </c>
      <c r="P1768" s="5">
        <v>206</v>
      </c>
      <c r="Q1768" s="5">
        <v>194</v>
      </c>
      <c r="R1768" s="5">
        <v>204.87</v>
      </c>
      <c r="S1768" s="5">
        <v>205.6</v>
      </c>
      <c r="T1768" s="5">
        <v>203.33</v>
      </c>
      <c r="V1768" s="5">
        <v>204.88</v>
      </c>
      <c r="Y1768" s="5">
        <v>5835</v>
      </c>
      <c r="Z1768" s="5">
        <v>1198070.58</v>
      </c>
      <c r="AA1768" s="5">
        <v>127</v>
      </c>
      <c r="AB1768" s="5" t="s">
        <v>85</v>
      </c>
      <c r="AC1768" s="5">
        <v>1</v>
      </c>
    </row>
    <row r="1769" spans="1:29" x14ac:dyDescent="0.3">
      <c r="A1769" s="34">
        <v>46274</v>
      </c>
      <c r="B1769" s="34">
        <v>46274</v>
      </c>
      <c r="C1769" s="5" t="s">
        <v>78</v>
      </c>
      <c r="D1769" s="5" t="s">
        <v>79</v>
      </c>
      <c r="E1769" s="5" t="s">
        <v>80</v>
      </c>
      <c r="F1769" s="5">
        <v>16639</v>
      </c>
      <c r="G1769" s="5" t="s">
        <v>5397</v>
      </c>
      <c r="H1769" s="5" t="s">
        <v>5398</v>
      </c>
      <c r="I1769" s="5" t="s">
        <v>212</v>
      </c>
      <c r="N1769" s="5" t="s">
        <v>5399</v>
      </c>
      <c r="O1769" s="5">
        <v>596.04999999999995</v>
      </c>
      <c r="P1769" s="5">
        <v>600.5</v>
      </c>
      <c r="Q1769" s="5">
        <v>546.6</v>
      </c>
      <c r="R1769" s="5">
        <v>550.75</v>
      </c>
      <c r="S1769" s="5">
        <v>550.70000000000005</v>
      </c>
      <c r="T1769" s="5">
        <v>588.1</v>
      </c>
      <c r="V1769" s="5">
        <v>550.66999999999996</v>
      </c>
      <c r="Y1769" s="5">
        <v>2378104</v>
      </c>
      <c r="Z1769" s="5">
        <v>1362533665.3499999</v>
      </c>
      <c r="AA1769" s="5">
        <v>39784</v>
      </c>
      <c r="AB1769" s="5" t="s">
        <v>85</v>
      </c>
      <c r="AC1769" s="5">
        <v>1</v>
      </c>
    </row>
    <row r="1770" spans="1:29" x14ac:dyDescent="0.3">
      <c r="A1770" s="34">
        <v>46274</v>
      </c>
      <c r="B1770" s="34">
        <v>46274</v>
      </c>
      <c r="C1770" s="5" t="s">
        <v>78</v>
      </c>
      <c r="D1770" s="5" t="s">
        <v>79</v>
      </c>
      <c r="E1770" s="5" t="s">
        <v>80</v>
      </c>
      <c r="F1770" s="5">
        <v>18581</v>
      </c>
      <c r="G1770" s="5" t="s">
        <v>5400</v>
      </c>
      <c r="H1770" s="5" t="s">
        <v>5401</v>
      </c>
      <c r="I1770" s="5" t="s">
        <v>212</v>
      </c>
      <c r="N1770" s="5" t="s">
        <v>5402</v>
      </c>
      <c r="O1770" s="5">
        <v>1853.3</v>
      </c>
      <c r="P1770" s="5">
        <v>1862.5</v>
      </c>
      <c r="Q1770" s="5">
        <v>1836.6</v>
      </c>
      <c r="R1770" s="5">
        <v>1850.2</v>
      </c>
      <c r="S1770" s="5">
        <v>1850</v>
      </c>
      <c r="T1770" s="5">
        <v>1853.3</v>
      </c>
      <c r="V1770" s="5">
        <v>1850.15</v>
      </c>
      <c r="Y1770" s="5">
        <v>18090</v>
      </c>
      <c r="Z1770" s="5">
        <v>33477307.800000001</v>
      </c>
      <c r="AA1770" s="5">
        <v>3344</v>
      </c>
      <c r="AB1770" s="5" t="s">
        <v>85</v>
      </c>
      <c r="AC1770" s="5">
        <v>1</v>
      </c>
    </row>
    <row r="1771" spans="1:29" x14ac:dyDescent="0.3">
      <c r="A1771" s="34">
        <v>46274</v>
      </c>
      <c r="B1771" s="34">
        <v>46274</v>
      </c>
      <c r="C1771" s="5" t="s">
        <v>78</v>
      </c>
      <c r="D1771" s="5" t="s">
        <v>79</v>
      </c>
      <c r="E1771" s="5" t="s">
        <v>80</v>
      </c>
      <c r="F1771" s="5">
        <v>18220</v>
      </c>
      <c r="G1771" s="5" t="s">
        <v>5403</v>
      </c>
      <c r="H1771" s="5" t="s">
        <v>5404</v>
      </c>
      <c r="I1771" s="5" t="s">
        <v>212</v>
      </c>
      <c r="N1771" s="5" t="s">
        <v>5405</v>
      </c>
      <c r="O1771" s="5">
        <v>120.95</v>
      </c>
      <c r="P1771" s="5">
        <v>125.53</v>
      </c>
      <c r="Q1771" s="5">
        <v>120.6</v>
      </c>
      <c r="R1771" s="5">
        <v>122.64</v>
      </c>
      <c r="S1771" s="5">
        <v>122</v>
      </c>
      <c r="T1771" s="5">
        <v>121.14</v>
      </c>
      <c r="V1771" s="5">
        <v>122.63</v>
      </c>
      <c r="Y1771" s="5">
        <v>87809</v>
      </c>
      <c r="Z1771" s="5">
        <v>10732311.93</v>
      </c>
      <c r="AA1771" s="5">
        <v>2132</v>
      </c>
      <c r="AB1771" s="5" t="s">
        <v>85</v>
      </c>
      <c r="AC1771" s="5">
        <v>1</v>
      </c>
    </row>
    <row r="1772" spans="1:29" x14ac:dyDescent="0.3">
      <c r="A1772" s="34">
        <v>46274</v>
      </c>
      <c r="B1772" s="34">
        <v>46274</v>
      </c>
      <c r="C1772" s="5" t="s">
        <v>78</v>
      </c>
      <c r="D1772" s="5" t="s">
        <v>79</v>
      </c>
      <c r="E1772" s="5" t="s">
        <v>80</v>
      </c>
      <c r="F1772" s="5">
        <v>14466</v>
      </c>
      <c r="G1772" s="5" t="s">
        <v>5406</v>
      </c>
      <c r="H1772" s="5" t="s">
        <v>5407</v>
      </c>
      <c r="I1772" s="5" t="s">
        <v>212</v>
      </c>
      <c r="N1772" s="5" t="s">
        <v>5408</v>
      </c>
      <c r="O1772" s="5">
        <v>464.15</v>
      </c>
      <c r="P1772" s="5">
        <v>475.7</v>
      </c>
      <c r="Q1772" s="5">
        <v>455.1</v>
      </c>
      <c r="R1772" s="5">
        <v>467.25</v>
      </c>
      <c r="S1772" s="5">
        <v>471.3</v>
      </c>
      <c r="T1772" s="5">
        <v>459.9</v>
      </c>
      <c r="V1772" s="5">
        <v>467.12</v>
      </c>
      <c r="Y1772" s="5">
        <v>690407</v>
      </c>
      <c r="Z1772" s="5">
        <v>322098964.35000002</v>
      </c>
      <c r="AA1772" s="5">
        <v>12110</v>
      </c>
      <c r="AB1772" s="5" t="s">
        <v>85</v>
      </c>
      <c r="AC1772" s="5">
        <v>1</v>
      </c>
    </row>
    <row r="1773" spans="1:29" x14ac:dyDescent="0.3">
      <c r="A1773" s="34">
        <v>46274</v>
      </c>
      <c r="B1773" s="34">
        <v>46274</v>
      </c>
      <c r="C1773" s="5" t="s">
        <v>78</v>
      </c>
      <c r="D1773" s="5" t="s">
        <v>79</v>
      </c>
      <c r="E1773" s="5" t="s">
        <v>80</v>
      </c>
      <c r="F1773" s="5">
        <v>19025</v>
      </c>
      <c r="G1773" s="5" t="s">
        <v>5409</v>
      </c>
      <c r="H1773" s="5" t="s">
        <v>5410</v>
      </c>
      <c r="I1773" s="5" t="s">
        <v>212</v>
      </c>
      <c r="N1773" s="5" t="s">
        <v>5411</v>
      </c>
      <c r="O1773" s="5">
        <v>3670.2</v>
      </c>
      <c r="P1773" s="5">
        <v>3671.8</v>
      </c>
      <c r="Q1773" s="5">
        <v>3606.3</v>
      </c>
      <c r="R1773" s="5">
        <v>3634.1</v>
      </c>
      <c r="S1773" s="5">
        <v>3630.6</v>
      </c>
      <c r="T1773" s="5">
        <v>3677.6</v>
      </c>
      <c r="V1773" s="5">
        <v>3634.26</v>
      </c>
      <c r="Y1773" s="5">
        <v>3267</v>
      </c>
      <c r="Z1773" s="5">
        <v>11893865.199999999</v>
      </c>
      <c r="AA1773" s="5">
        <v>710</v>
      </c>
      <c r="AB1773" s="5" t="s">
        <v>85</v>
      </c>
      <c r="AC1773" s="5">
        <v>1</v>
      </c>
    </row>
    <row r="1774" spans="1:29" x14ac:dyDescent="0.3">
      <c r="A1774" s="34">
        <v>46274</v>
      </c>
      <c r="B1774" s="34">
        <v>46274</v>
      </c>
      <c r="C1774" s="5" t="s">
        <v>78</v>
      </c>
      <c r="D1774" s="5" t="s">
        <v>79</v>
      </c>
      <c r="E1774" s="5" t="s">
        <v>80</v>
      </c>
      <c r="F1774" s="5">
        <v>20936</v>
      </c>
      <c r="G1774" s="5" t="s">
        <v>5412</v>
      </c>
      <c r="H1774" s="5" t="s">
        <v>5413</v>
      </c>
      <c r="I1774" s="5" t="s">
        <v>212</v>
      </c>
      <c r="N1774" s="5" t="s">
        <v>5414</v>
      </c>
      <c r="O1774" s="5">
        <v>2281</v>
      </c>
      <c r="P1774" s="5">
        <v>2317.1</v>
      </c>
      <c r="Q1774" s="5">
        <v>2198</v>
      </c>
      <c r="R1774" s="5">
        <v>2219.9</v>
      </c>
      <c r="S1774" s="5">
        <v>2207</v>
      </c>
      <c r="T1774" s="5">
        <v>2272.8000000000002</v>
      </c>
      <c r="V1774" s="5">
        <v>2220.1999999999998</v>
      </c>
      <c r="Y1774" s="5">
        <v>438855</v>
      </c>
      <c r="Z1774" s="5">
        <v>988909906.39999998</v>
      </c>
      <c r="AA1774" s="5">
        <v>31323</v>
      </c>
      <c r="AB1774" s="5" t="s">
        <v>85</v>
      </c>
      <c r="AC1774" s="5">
        <v>1</v>
      </c>
    </row>
    <row r="1775" spans="1:29" x14ac:dyDescent="0.3">
      <c r="A1775" s="34">
        <v>46274</v>
      </c>
      <c r="B1775" s="34">
        <v>46274</v>
      </c>
      <c r="C1775" s="5" t="s">
        <v>78</v>
      </c>
      <c r="D1775" s="5" t="s">
        <v>79</v>
      </c>
      <c r="E1775" s="5" t="s">
        <v>80</v>
      </c>
      <c r="F1775" s="5">
        <v>15180</v>
      </c>
      <c r="G1775" s="5" t="s">
        <v>5415</v>
      </c>
      <c r="H1775" s="5" t="s">
        <v>5416</v>
      </c>
      <c r="I1775" s="5" t="s">
        <v>212</v>
      </c>
      <c r="N1775" s="5" t="s">
        <v>5417</v>
      </c>
      <c r="O1775" s="5">
        <v>741.8</v>
      </c>
      <c r="P1775" s="5">
        <v>749.85</v>
      </c>
      <c r="Q1775" s="5">
        <v>724</v>
      </c>
      <c r="R1775" s="5">
        <v>724.85</v>
      </c>
      <c r="S1775" s="5">
        <v>724</v>
      </c>
      <c r="T1775" s="5">
        <v>745</v>
      </c>
      <c r="V1775" s="5">
        <v>724.81</v>
      </c>
      <c r="Y1775" s="5">
        <v>133312</v>
      </c>
      <c r="Z1775" s="5">
        <v>97583401.5</v>
      </c>
      <c r="AA1775" s="5">
        <v>10737</v>
      </c>
      <c r="AB1775" s="5" t="s">
        <v>85</v>
      </c>
      <c r="AC1775" s="5">
        <v>1</v>
      </c>
    </row>
    <row r="1776" spans="1:29" x14ac:dyDescent="0.3">
      <c r="A1776" s="34">
        <v>46274</v>
      </c>
      <c r="B1776" s="34">
        <v>46274</v>
      </c>
      <c r="C1776" s="5" t="s">
        <v>78</v>
      </c>
      <c r="D1776" s="5" t="s">
        <v>79</v>
      </c>
      <c r="E1776" s="5" t="s">
        <v>80</v>
      </c>
      <c r="F1776" s="5">
        <v>28899</v>
      </c>
      <c r="G1776" s="5" t="s">
        <v>5418</v>
      </c>
      <c r="H1776" s="5" t="s">
        <v>5419</v>
      </c>
      <c r="I1776" s="5" t="s">
        <v>212</v>
      </c>
      <c r="N1776" s="5" t="s">
        <v>5420</v>
      </c>
      <c r="O1776" s="5">
        <v>127.1</v>
      </c>
      <c r="P1776" s="5">
        <v>127.37</v>
      </c>
      <c r="Q1776" s="5">
        <v>125.2</v>
      </c>
      <c r="R1776" s="5">
        <v>126.68</v>
      </c>
      <c r="S1776" s="5">
        <v>127</v>
      </c>
      <c r="T1776" s="5">
        <v>127.1</v>
      </c>
      <c r="V1776" s="5">
        <v>126.69</v>
      </c>
      <c r="Y1776" s="5">
        <v>262578</v>
      </c>
      <c r="Z1776" s="5">
        <v>33156913.039999999</v>
      </c>
      <c r="AA1776" s="5">
        <v>2806</v>
      </c>
      <c r="AB1776" s="5" t="s">
        <v>85</v>
      </c>
      <c r="AC1776" s="5">
        <v>1</v>
      </c>
    </row>
    <row r="1777" spans="1:29" x14ac:dyDescent="0.3">
      <c r="A1777" s="34">
        <v>46274</v>
      </c>
      <c r="B1777" s="34">
        <v>46274</v>
      </c>
      <c r="C1777" s="5" t="s">
        <v>78</v>
      </c>
      <c r="D1777" s="5" t="s">
        <v>79</v>
      </c>
      <c r="E1777" s="5" t="s">
        <v>80</v>
      </c>
      <c r="F1777" s="5">
        <v>760923</v>
      </c>
      <c r="G1777" s="5" t="s">
        <v>5421</v>
      </c>
      <c r="H1777" s="5" t="s">
        <v>5422</v>
      </c>
      <c r="I1777" s="5" t="s">
        <v>212</v>
      </c>
      <c r="N1777" s="5" t="s">
        <v>5423</v>
      </c>
      <c r="O1777" s="5">
        <v>202</v>
      </c>
      <c r="P1777" s="5">
        <v>204.2</v>
      </c>
      <c r="Q1777" s="5">
        <v>195.1</v>
      </c>
      <c r="R1777" s="5">
        <v>198.21</v>
      </c>
      <c r="S1777" s="5">
        <v>196.9</v>
      </c>
      <c r="T1777" s="5">
        <v>202.25</v>
      </c>
      <c r="V1777" s="5">
        <v>198.21</v>
      </c>
      <c r="Y1777" s="5">
        <v>5602</v>
      </c>
      <c r="Z1777" s="5">
        <v>1116558.95</v>
      </c>
      <c r="AA1777" s="5">
        <v>321</v>
      </c>
      <c r="AB1777" s="5" t="s">
        <v>85</v>
      </c>
      <c r="AC1777" s="5">
        <v>1</v>
      </c>
    </row>
    <row r="1778" spans="1:29" x14ac:dyDescent="0.3">
      <c r="A1778" s="34">
        <v>46274</v>
      </c>
      <c r="B1778" s="34">
        <v>46274</v>
      </c>
      <c r="C1778" s="5" t="s">
        <v>78</v>
      </c>
      <c r="D1778" s="5" t="s">
        <v>79</v>
      </c>
      <c r="E1778" s="5" t="s">
        <v>80</v>
      </c>
      <c r="F1778" s="5">
        <v>763839</v>
      </c>
      <c r="G1778" s="5" t="s">
        <v>5424</v>
      </c>
      <c r="H1778" s="5" t="s">
        <v>5425</v>
      </c>
      <c r="I1778" s="5" t="s">
        <v>212</v>
      </c>
      <c r="N1778" s="5" t="s">
        <v>5426</v>
      </c>
      <c r="O1778" s="5">
        <v>183.91</v>
      </c>
      <c r="P1778" s="5">
        <v>186.04</v>
      </c>
      <c r="Q1778" s="5">
        <v>180.8</v>
      </c>
      <c r="R1778" s="5">
        <v>182.1</v>
      </c>
      <c r="S1778" s="5">
        <v>183.9</v>
      </c>
      <c r="T1778" s="5">
        <v>183.91</v>
      </c>
      <c r="V1778" s="5">
        <v>182.1</v>
      </c>
      <c r="Y1778" s="5">
        <v>778843</v>
      </c>
      <c r="Z1778" s="5">
        <v>142363770.94999999</v>
      </c>
      <c r="AA1778" s="5">
        <v>6453</v>
      </c>
      <c r="AB1778" s="5" t="s">
        <v>85</v>
      </c>
      <c r="AC1778" s="5">
        <v>1</v>
      </c>
    </row>
    <row r="1779" spans="1:29" x14ac:dyDescent="0.3">
      <c r="A1779" s="34">
        <v>46274</v>
      </c>
      <c r="B1779" s="34">
        <v>46274</v>
      </c>
      <c r="C1779" s="5" t="s">
        <v>78</v>
      </c>
      <c r="D1779" s="5" t="s">
        <v>79</v>
      </c>
      <c r="E1779" s="5" t="s">
        <v>80</v>
      </c>
      <c r="F1779" s="5">
        <v>27084</v>
      </c>
      <c r="G1779" s="5" t="s">
        <v>5427</v>
      </c>
      <c r="H1779" s="5" t="s">
        <v>5428</v>
      </c>
      <c r="I1779" s="5" t="s">
        <v>212</v>
      </c>
      <c r="N1779" s="5" t="s">
        <v>5429</v>
      </c>
      <c r="O1779" s="5">
        <v>2986</v>
      </c>
      <c r="P1779" s="5">
        <v>3037.7</v>
      </c>
      <c r="Q1779" s="5">
        <v>2930</v>
      </c>
      <c r="R1779" s="5">
        <v>2964</v>
      </c>
      <c r="S1779" s="5">
        <v>2950</v>
      </c>
      <c r="T1779" s="5">
        <v>2985.6</v>
      </c>
      <c r="V1779" s="5">
        <v>2963.62</v>
      </c>
      <c r="Y1779" s="5">
        <v>67251</v>
      </c>
      <c r="Z1779" s="5">
        <v>201106106.30000001</v>
      </c>
      <c r="AA1779" s="5">
        <v>11828</v>
      </c>
      <c r="AB1779" s="5" t="s">
        <v>85</v>
      </c>
      <c r="AC1779" s="5">
        <v>1</v>
      </c>
    </row>
    <row r="1780" spans="1:29" x14ac:dyDescent="0.3">
      <c r="A1780" s="34">
        <v>46274</v>
      </c>
      <c r="B1780" s="34">
        <v>46274</v>
      </c>
      <c r="C1780" s="5" t="s">
        <v>78</v>
      </c>
      <c r="D1780" s="5" t="s">
        <v>79</v>
      </c>
      <c r="E1780" s="5" t="s">
        <v>80</v>
      </c>
      <c r="F1780" s="5">
        <v>758431</v>
      </c>
      <c r="G1780" s="5" t="s">
        <v>5430</v>
      </c>
      <c r="H1780" s="5" t="s">
        <v>5431</v>
      </c>
      <c r="I1780" s="5" t="s">
        <v>1362</v>
      </c>
      <c r="N1780" s="5" t="s">
        <v>5432</v>
      </c>
      <c r="O1780" s="5">
        <v>113.59</v>
      </c>
      <c r="P1780" s="5">
        <v>113.88</v>
      </c>
      <c r="Q1780" s="5">
        <v>112.99</v>
      </c>
      <c r="R1780" s="5">
        <v>113.21</v>
      </c>
      <c r="S1780" s="5">
        <v>113.24</v>
      </c>
      <c r="T1780" s="5">
        <v>113.59</v>
      </c>
      <c r="V1780" s="5">
        <v>113.21</v>
      </c>
      <c r="Y1780" s="5">
        <v>1385267</v>
      </c>
      <c r="Z1780" s="5">
        <v>157072772.72999999</v>
      </c>
      <c r="AA1780" s="5">
        <v>2827</v>
      </c>
      <c r="AB1780" s="5" t="s">
        <v>85</v>
      </c>
      <c r="AC1780" s="5">
        <v>1</v>
      </c>
    </row>
    <row r="1781" spans="1:29" x14ac:dyDescent="0.3">
      <c r="A1781" s="34">
        <v>46274</v>
      </c>
      <c r="B1781" s="34">
        <v>46274</v>
      </c>
      <c r="C1781" s="5" t="s">
        <v>78</v>
      </c>
      <c r="D1781" s="5" t="s">
        <v>79</v>
      </c>
      <c r="E1781" s="5" t="s">
        <v>80</v>
      </c>
      <c r="F1781" s="5">
        <v>15283</v>
      </c>
      <c r="G1781" s="5" t="s">
        <v>5433</v>
      </c>
      <c r="H1781" s="5" t="s">
        <v>5434</v>
      </c>
      <c r="I1781" s="5" t="s">
        <v>212</v>
      </c>
      <c r="N1781" s="5" t="s">
        <v>5435</v>
      </c>
      <c r="O1781" s="5">
        <v>119.6</v>
      </c>
      <c r="P1781" s="5">
        <v>124.5</v>
      </c>
      <c r="Q1781" s="5">
        <v>118.51</v>
      </c>
      <c r="R1781" s="5">
        <v>122.9</v>
      </c>
      <c r="S1781" s="5">
        <v>122.9</v>
      </c>
      <c r="T1781" s="5">
        <v>119.72</v>
      </c>
      <c r="V1781" s="5">
        <v>122.89</v>
      </c>
      <c r="Y1781" s="5">
        <v>1894420</v>
      </c>
      <c r="Z1781" s="5">
        <v>231497825.28</v>
      </c>
      <c r="AA1781" s="5">
        <v>18692</v>
      </c>
      <c r="AB1781" s="5" t="s">
        <v>85</v>
      </c>
      <c r="AC1781" s="5">
        <v>1</v>
      </c>
    </row>
    <row r="1782" spans="1:29" x14ac:dyDescent="0.3">
      <c r="A1782" s="34">
        <v>46274</v>
      </c>
      <c r="B1782" s="34">
        <v>46274</v>
      </c>
      <c r="C1782" s="5" t="s">
        <v>78</v>
      </c>
      <c r="D1782" s="5" t="s">
        <v>79</v>
      </c>
      <c r="E1782" s="5" t="s">
        <v>80</v>
      </c>
      <c r="F1782" s="5">
        <v>18754</v>
      </c>
      <c r="G1782" s="5" t="s">
        <v>5436</v>
      </c>
      <c r="H1782" s="5" t="s">
        <v>5437</v>
      </c>
      <c r="I1782" s="5" t="s">
        <v>392</v>
      </c>
      <c r="N1782" s="5" t="s">
        <v>5438</v>
      </c>
      <c r="O1782" s="5">
        <v>1527.6</v>
      </c>
      <c r="P1782" s="5">
        <v>1527.6</v>
      </c>
      <c r="Q1782" s="5">
        <v>1480</v>
      </c>
      <c r="R1782" s="5">
        <v>1506</v>
      </c>
      <c r="S1782" s="5">
        <v>1510</v>
      </c>
      <c r="T1782" s="5">
        <v>1534</v>
      </c>
      <c r="V1782" s="5">
        <v>1506</v>
      </c>
      <c r="Y1782" s="5">
        <v>4200</v>
      </c>
      <c r="Z1782" s="5">
        <v>6292385</v>
      </c>
      <c r="AA1782" s="5">
        <v>38</v>
      </c>
      <c r="AB1782" s="5" t="s">
        <v>85</v>
      </c>
      <c r="AC1782" s="5">
        <v>100</v>
      </c>
    </row>
    <row r="1783" spans="1:29" x14ac:dyDescent="0.3">
      <c r="A1783" s="34">
        <v>46274</v>
      </c>
      <c r="B1783" s="34">
        <v>46274</v>
      </c>
      <c r="C1783" s="5" t="s">
        <v>78</v>
      </c>
      <c r="D1783" s="5" t="s">
        <v>79</v>
      </c>
      <c r="E1783" s="5" t="s">
        <v>80</v>
      </c>
      <c r="F1783" s="5">
        <v>3009</v>
      </c>
      <c r="G1783" s="5" t="s">
        <v>5439</v>
      </c>
      <c r="H1783" s="5" t="s">
        <v>5440</v>
      </c>
      <c r="I1783" s="5" t="s">
        <v>212</v>
      </c>
      <c r="N1783" s="5" t="s">
        <v>5441</v>
      </c>
      <c r="O1783" s="5">
        <v>31.5</v>
      </c>
      <c r="P1783" s="5">
        <v>31.74</v>
      </c>
      <c r="Q1783" s="5">
        <v>30.5</v>
      </c>
      <c r="R1783" s="5">
        <v>30.87</v>
      </c>
      <c r="S1783" s="5">
        <v>30.8</v>
      </c>
      <c r="T1783" s="5">
        <v>31.41</v>
      </c>
      <c r="V1783" s="5">
        <v>30.81</v>
      </c>
      <c r="Y1783" s="5">
        <v>204820</v>
      </c>
      <c r="Z1783" s="5">
        <v>6325418.6100000003</v>
      </c>
      <c r="AA1783" s="5">
        <v>2632</v>
      </c>
      <c r="AB1783" s="5" t="s">
        <v>85</v>
      </c>
      <c r="AC1783" s="5">
        <v>1</v>
      </c>
    </row>
    <row r="1784" spans="1:29" x14ac:dyDescent="0.3">
      <c r="A1784" s="34">
        <v>46274</v>
      </c>
      <c r="B1784" s="34">
        <v>46274</v>
      </c>
      <c r="C1784" s="5" t="s">
        <v>78</v>
      </c>
      <c r="D1784" s="5" t="s">
        <v>79</v>
      </c>
      <c r="E1784" s="5" t="s">
        <v>80</v>
      </c>
      <c r="F1784" s="5">
        <v>16827</v>
      </c>
      <c r="G1784" s="5" t="s">
        <v>5442</v>
      </c>
      <c r="H1784" s="5" t="s">
        <v>5443</v>
      </c>
      <c r="I1784" s="5" t="s">
        <v>212</v>
      </c>
      <c r="N1784" s="5" t="s">
        <v>5444</v>
      </c>
      <c r="O1784" s="5">
        <v>78.400000000000006</v>
      </c>
      <c r="P1784" s="5">
        <v>79.95</v>
      </c>
      <c r="Q1784" s="5">
        <v>78.2</v>
      </c>
      <c r="R1784" s="5">
        <v>78.900000000000006</v>
      </c>
      <c r="S1784" s="5">
        <v>79.48</v>
      </c>
      <c r="T1784" s="5">
        <v>79.040000000000006</v>
      </c>
      <c r="V1784" s="5">
        <v>78.95</v>
      </c>
      <c r="Y1784" s="5">
        <v>19650</v>
      </c>
      <c r="Z1784" s="5">
        <v>1546246.35</v>
      </c>
      <c r="AA1784" s="5">
        <v>386</v>
      </c>
      <c r="AB1784" s="5" t="s">
        <v>85</v>
      </c>
      <c r="AC1784" s="5">
        <v>1</v>
      </c>
    </row>
    <row r="1785" spans="1:29" x14ac:dyDescent="0.3">
      <c r="A1785" s="34">
        <v>46274</v>
      </c>
      <c r="B1785" s="34">
        <v>46274</v>
      </c>
      <c r="C1785" s="5" t="s">
        <v>78</v>
      </c>
      <c r="D1785" s="5" t="s">
        <v>79</v>
      </c>
      <c r="E1785" s="5" t="s">
        <v>80</v>
      </c>
      <c r="F1785" s="5">
        <v>15124</v>
      </c>
      <c r="G1785" s="5" t="s">
        <v>5445</v>
      </c>
      <c r="H1785" s="5" t="s">
        <v>5446</v>
      </c>
      <c r="I1785" s="5" t="s">
        <v>212</v>
      </c>
      <c r="N1785" s="5" t="s">
        <v>5447</v>
      </c>
      <c r="O1785" s="5">
        <v>441.95</v>
      </c>
      <c r="P1785" s="5">
        <v>451.9</v>
      </c>
      <c r="Q1785" s="5">
        <v>431.15</v>
      </c>
      <c r="R1785" s="5">
        <v>442.8</v>
      </c>
      <c r="S1785" s="5">
        <v>445</v>
      </c>
      <c r="T1785" s="5">
        <v>441.95</v>
      </c>
      <c r="V1785" s="5">
        <v>442.83</v>
      </c>
      <c r="Y1785" s="5">
        <v>92288</v>
      </c>
      <c r="Z1785" s="5">
        <v>40596197.649999999</v>
      </c>
      <c r="AA1785" s="5">
        <v>3335</v>
      </c>
      <c r="AB1785" s="5" t="s">
        <v>85</v>
      </c>
      <c r="AC1785" s="5">
        <v>1</v>
      </c>
    </row>
    <row r="1786" spans="1:29" x14ac:dyDescent="0.3">
      <c r="A1786" s="34">
        <v>46274</v>
      </c>
      <c r="B1786" s="34">
        <v>46274</v>
      </c>
      <c r="C1786" s="5" t="s">
        <v>78</v>
      </c>
      <c r="D1786" s="5" t="s">
        <v>79</v>
      </c>
      <c r="E1786" s="5" t="s">
        <v>80</v>
      </c>
      <c r="F1786" s="5">
        <v>22475</v>
      </c>
      <c r="G1786" s="5" t="s">
        <v>5448</v>
      </c>
      <c r="H1786" s="5" t="s">
        <v>5449</v>
      </c>
      <c r="I1786" s="5" t="s">
        <v>392</v>
      </c>
      <c r="N1786" s="5" t="s">
        <v>5450</v>
      </c>
      <c r="O1786" s="5">
        <v>64.349999999999994</v>
      </c>
      <c r="P1786" s="5">
        <v>65</v>
      </c>
      <c r="Q1786" s="5">
        <v>62.15</v>
      </c>
      <c r="R1786" s="5">
        <v>62.15</v>
      </c>
      <c r="S1786" s="5">
        <v>62.15</v>
      </c>
      <c r="T1786" s="5">
        <v>62</v>
      </c>
      <c r="V1786" s="5">
        <v>62.15</v>
      </c>
      <c r="Y1786" s="5">
        <v>34000</v>
      </c>
      <c r="Z1786" s="5">
        <v>2197900</v>
      </c>
      <c r="AA1786" s="5">
        <v>13</v>
      </c>
      <c r="AB1786" s="5" t="s">
        <v>85</v>
      </c>
      <c r="AC1786" s="5">
        <v>1000</v>
      </c>
    </row>
    <row r="1787" spans="1:29" x14ac:dyDescent="0.3">
      <c r="A1787" s="34">
        <v>46274</v>
      </c>
      <c r="B1787" s="34">
        <v>46274</v>
      </c>
      <c r="C1787" s="5" t="s">
        <v>78</v>
      </c>
      <c r="D1787" s="5" t="s">
        <v>79</v>
      </c>
      <c r="E1787" s="5" t="s">
        <v>80</v>
      </c>
      <c r="F1787" s="5">
        <v>19287</v>
      </c>
      <c r="G1787" s="5" t="s">
        <v>5451</v>
      </c>
      <c r="H1787" s="5" t="s">
        <v>5452</v>
      </c>
      <c r="I1787" s="5" t="s">
        <v>313</v>
      </c>
      <c r="N1787" s="5" t="s">
        <v>5453</v>
      </c>
      <c r="O1787" s="5">
        <v>51</v>
      </c>
      <c r="P1787" s="5">
        <v>51</v>
      </c>
      <c r="Q1787" s="5">
        <v>49.5</v>
      </c>
      <c r="R1787" s="5">
        <v>50.1</v>
      </c>
      <c r="S1787" s="5">
        <v>50</v>
      </c>
      <c r="T1787" s="5">
        <v>52</v>
      </c>
      <c r="V1787" s="5">
        <v>50.1</v>
      </c>
      <c r="Y1787" s="5">
        <v>4800</v>
      </c>
      <c r="Z1787" s="5">
        <v>242160</v>
      </c>
      <c r="AA1787" s="5">
        <v>8</v>
      </c>
      <c r="AB1787" s="5" t="s">
        <v>85</v>
      </c>
      <c r="AC1787" s="5">
        <v>600</v>
      </c>
    </row>
    <row r="1788" spans="1:29" x14ac:dyDescent="0.3">
      <c r="A1788" s="34">
        <v>46274</v>
      </c>
      <c r="B1788" s="34">
        <v>46274</v>
      </c>
      <c r="C1788" s="5" t="s">
        <v>78</v>
      </c>
      <c r="D1788" s="5" t="s">
        <v>79</v>
      </c>
      <c r="E1788" s="5" t="s">
        <v>80</v>
      </c>
      <c r="F1788" s="5">
        <v>1919</v>
      </c>
      <c r="G1788" s="5" t="s">
        <v>5454</v>
      </c>
      <c r="H1788" s="5" t="s">
        <v>5455</v>
      </c>
      <c r="I1788" s="5" t="s">
        <v>212</v>
      </c>
      <c r="N1788" s="5" t="s">
        <v>5456</v>
      </c>
      <c r="O1788" s="5">
        <v>237.41</v>
      </c>
      <c r="P1788" s="5">
        <v>238.9</v>
      </c>
      <c r="Q1788" s="5">
        <v>231.39</v>
      </c>
      <c r="R1788" s="5">
        <v>234.37</v>
      </c>
      <c r="S1788" s="5">
        <v>235.5</v>
      </c>
      <c r="T1788" s="5">
        <v>239.51</v>
      </c>
      <c r="V1788" s="5">
        <v>234.37</v>
      </c>
      <c r="Y1788" s="5">
        <v>363944</v>
      </c>
      <c r="Z1788" s="5">
        <v>85512739.599999994</v>
      </c>
      <c r="AA1788" s="5">
        <v>6248</v>
      </c>
      <c r="AB1788" s="5" t="s">
        <v>85</v>
      </c>
      <c r="AC1788" s="5">
        <v>1</v>
      </c>
    </row>
    <row r="1789" spans="1:29" x14ac:dyDescent="0.3">
      <c r="A1789" s="34">
        <v>46274</v>
      </c>
      <c r="B1789" s="34">
        <v>46274</v>
      </c>
      <c r="C1789" s="5" t="s">
        <v>78</v>
      </c>
      <c r="D1789" s="5" t="s">
        <v>79</v>
      </c>
      <c r="E1789" s="5" t="s">
        <v>80</v>
      </c>
      <c r="F1789" s="5">
        <v>16758</v>
      </c>
      <c r="G1789" s="5" t="s">
        <v>5457</v>
      </c>
      <c r="H1789" s="5" t="s">
        <v>5458</v>
      </c>
      <c r="I1789" s="5" t="s">
        <v>313</v>
      </c>
      <c r="N1789" s="5" t="s">
        <v>5459</v>
      </c>
      <c r="O1789" s="5">
        <v>87</v>
      </c>
      <c r="P1789" s="5">
        <v>91.85</v>
      </c>
      <c r="Q1789" s="5">
        <v>85.25</v>
      </c>
      <c r="R1789" s="5">
        <v>88.15</v>
      </c>
      <c r="S1789" s="5">
        <v>88.2</v>
      </c>
      <c r="T1789" s="5">
        <v>90.75</v>
      </c>
      <c r="V1789" s="5">
        <v>88.15</v>
      </c>
      <c r="Y1789" s="5">
        <v>24750</v>
      </c>
      <c r="Z1789" s="5">
        <v>2187975</v>
      </c>
      <c r="AA1789" s="5">
        <v>123</v>
      </c>
      <c r="AB1789" s="5" t="s">
        <v>85</v>
      </c>
      <c r="AC1789" s="5">
        <v>150</v>
      </c>
    </row>
    <row r="1790" spans="1:29" x14ac:dyDescent="0.3">
      <c r="A1790" s="34">
        <v>46274</v>
      </c>
      <c r="B1790" s="34">
        <v>46274</v>
      </c>
      <c r="C1790" s="5" t="s">
        <v>78</v>
      </c>
      <c r="D1790" s="5" t="s">
        <v>79</v>
      </c>
      <c r="E1790" s="5" t="s">
        <v>80</v>
      </c>
      <c r="F1790" s="5">
        <v>14858</v>
      </c>
      <c r="G1790" s="5" t="s">
        <v>5460</v>
      </c>
      <c r="H1790" s="5" t="s">
        <v>5461</v>
      </c>
      <c r="I1790" s="5" t="s">
        <v>212</v>
      </c>
      <c r="N1790" s="5" t="s">
        <v>5462</v>
      </c>
      <c r="O1790" s="5">
        <v>127</v>
      </c>
      <c r="P1790" s="5">
        <v>127.54</v>
      </c>
      <c r="Q1790" s="5">
        <v>126.36</v>
      </c>
      <c r="R1790" s="5">
        <v>126.95</v>
      </c>
      <c r="S1790" s="5">
        <v>126.93</v>
      </c>
      <c r="T1790" s="5">
        <v>127.09</v>
      </c>
      <c r="V1790" s="5">
        <v>126.95</v>
      </c>
      <c r="Y1790" s="5">
        <v>1836693</v>
      </c>
      <c r="Z1790" s="5">
        <v>233124453.61000001</v>
      </c>
      <c r="AA1790" s="5">
        <v>6915</v>
      </c>
      <c r="AB1790" s="5" t="s">
        <v>85</v>
      </c>
      <c r="AC1790" s="5">
        <v>1</v>
      </c>
    </row>
    <row r="1791" spans="1:29" x14ac:dyDescent="0.3">
      <c r="A1791" s="34">
        <v>46274</v>
      </c>
      <c r="B1791" s="34">
        <v>46274</v>
      </c>
      <c r="C1791" s="5" t="s">
        <v>78</v>
      </c>
      <c r="D1791" s="5" t="s">
        <v>79</v>
      </c>
      <c r="E1791" s="5" t="s">
        <v>80</v>
      </c>
      <c r="F1791" s="5">
        <v>1922</v>
      </c>
      <c r="G1791" s="5" t="s">
        <v>5463</v>
      </c>
      <c r="H1791" s="5" t="s">
        <v>5464</v>
      </c>
      <c r="I1791" s="5" t="s">
        <v>212</v>
      </c>
      <c r="N1791" s="5" t="s">
        <v>5465</v>
      </c>
      <c r="O1791" s="5">
        <v>418.2</v>
      </c>
      <c r="P1791" s="5">
        <v>420.65</v>
      </c>
      <c r="Q1791" s="5">
        <v>413.95</v>
      </c>
      <c r="R1791" s="5">
        <v>414</v>
      </c>
      <c r="S1791" s="5">
        <v>414</v>
      </c>
      <c r="T1791" s="5">
        <v>419.25</v>
      </c>
      <c r="V1791" s="5">
        <v>414</v>
      </c>
      <c r="Y1791" s="5">
        <v>10886349</v>
      </c>
      <c r="Z1791" s="5">
        <v>4522621126.1499996</v>
      </c>
      <c r="AA1791" s="5">
        <v>109701</v>
      </c>
      <c r="AB1791" s="5" t="s">
        <v>85</v>
      </c>
      <c r="AC1791" s="5">
        <v>1</v>
      </c>
    </row>
    <row r="1792" spans="1:29" x14ac:dyDescent="0.3">
      <c r="A1792" s="34">
        <v>46274</v>
      </c>
      <c r="B1792" s="34">
        <v>46274</v>
      </c>
      <c r="C1792" s="5" t="s">
        <v>78</v>
      </c>
      <c r="D1792" s="5" t="s">
        <v>79</v>
      </c>
      <c r="E1792" s="5" t="s">
        <v>80</v>
      </c>
      <c r="F1792" s="5">
        <v>18102</v>
      </c>
      <c r="G1792" s="5" t="s">
        <v>5466</v>
      </c>
      <c r="H1792" s="5" t="s">
        <v>5467</v>
      </c>
      <c r="I1792" s="5" t="s">
        <v>212</v>
      </c>
      <c r="N1792" s="5" t="s">
        <v>5468</v>
      </c>
      <c r="O1792" s="5">
        <v>263</v>
      </c>
      <c r="P1792" s="5">
        <v>263</v>
      </c>
      <c r="Q1792" s="5">
        <v>260.89999999999998</v>
      </c>
      <c r="R1792" s="5">
        <v>261.13</v>
      </c>
      <c r="S1792" s="5">
        <v>261.41000000000003</v>
      </c>
      <c r="T1792" s="5">
        <v>263.3</v>
      </c>
      <c r="V1792" s="5">
        <v>261.13</v>
      </c>
      <c r="Y1792" s="5">
        <v>147677</v>
      </c>
      <c r="Z1792" s="5">
        <v>38630004.719999999</v>
      </c>
      <c r="AA1792" s="5">
        <v>1718</v>
      </c>
      <c r="AB1792" s="5" t="s">
        <v>85</v>
      </c>
      <c r="AC1792" s="5">
        <v>1</v>
      </c>
    </row>
    <row r="1793" spans="1:29" x14ac:dyDescent="0.3">
      <c r="A1793" s="34">
        <v>46274</v>
      </c>
      <c r="B1793" s="34">
        <v>46274</v>
      </c>
      <c r="C1793" s="5" t="s">
        <v>78</v>
      </c>
      <c r="D1793" s="5" t="s">
        <v>79</v>
      </c>
      <c r="E1793" s="5" t="s">
        <v>80</v>
      </c>
      <c r="F1793" s="5">
        <v>15061</v>
      </c>
      <c r="G1793" s="5" t="s">
        <v>5469</v>
      </c>
      <c r="H1793" s="5" t="s">
        <v>5470</v>
      </c>
      <c r="I1793" s="5" t="s">
        <v>212</v>
      </c>
      <c r="N1793" s="5" t="s">
        <v>5471</v>
      </c>
      <c r="O1793" s="5">
        <v>83.5</v>
      </c>
      <c r="P1793" s="5">
        <v>84.93</v>
      </c>
      <c r="Q1793" s="5">
        <v>83.5</v>
      </c>
      <c r="R1793" s="5">
        <v>83.96</v>
      </c>
      <c r="S1793" s="5">
        <v>83.99</v>
      </c>
      <c r="T1793" s="5">
        <v>84.22</v>
      </c>
      <c r="V1793" s="5">
        <v>83.96</v>
      </c>
      <c r="Y1793" s="5">
        <v>579398</v>
      </c>
      <c r="Z1793" s="5">
        <v>48670243.310000002</v>
      </c>
      <c r="AA1793" s="5">
        <v>651</v>
      </c>
      <c r="AB1793" s="5" t="s">
        <v>85</v>
      </c>
      <c r="AC1793" s="5">
        <v>1</v>
      </c>
    </row>
    <row r="1794" spans="1:29" x14ac:dyDescent="0.3">
      <c r="A1794" s="34">
        <v>46274</v>
      </c>
      <c r="B1794" s="34">
        <v>46274</v>
      </c>
      <c r="C1794" s="5" t="s">
        <v>78</v>
      </c>
      <c r="D1794" s="5" t="s">
        <v>79</v>
      </c>
      <c r="E1794" s="5" t="s">
        <v>80</v>
      </c>
      <c r="F1794" s="5">
        <v>759885</v>
      </c>
      <c r="G1794" s="5" t="s">
        <v>5472</v>
      </c>
      <c r="H1794" s="5" t="s">
        <v>5473</v>
      </c>
      <c r="I1794" s="5" t="s">
        <v>212</v>
      </c>
      <c r="N1794" s="5" t="s">
        <v>5474</v>
      </c>
      <c r="O1794" s="5">
        <v>30.32</v>
      </c>
      <c r="P1794" s="5">
        <v>30.32</v>
      </c>
      <c r="Q1794" s="5">
        <v>30.02</v>
      </c>
      <c r="R1794" s="5">
        <v>30.12</v>
      </c>
      <c r="S1794" s="5">
        <v>30.25</v>
      </c>
      <c r="T1794" s="5">
        <v>30.13</v>
      </c>
      <c r="V1794" s="5">
        <v>30.12</v>
      </c>
      <c r="Y1794" s="5">
        <v>274580</v>
      </c>
      <c r="Z1794" s="5">
        <v>8282027.8700000001</v>
      </c>
      <c r="AA1794" s="5">
        <v>930</v>
      </c>
      <c r="AB1794" s="5" t="s">
        <v>85</v>
      </c>
      <c r="AC1794" s="5">
        <v>1</v>
      </c>
    </row>
    <row r="1795" spans="1:29" x14ac:dyDescent="0.3">
      <c r="A1795" s="34">
        <v>46274</v>
      </c>
      <c r="B1795" s="34">
        <v>46274</v>
      </c>
      <c r="C1795" s="5" t="s">
        <v>78</v>
      </c>
      <c r="D1795" s="5" t="s">
        <v>79</v>
      </c>
      <c r="E1795" s="5" t="s">
        <v>80</v>
      </c>
      <c r="F1795" s="5">
        <v>7412</v>
      </c>
      <c r="G1795" s="5" t="s">
        <v>5475</v>
      </c>
      <c r="H1795" s="5" t="s">
        <v>5476</v>
      </c>
      <c r="I1795" s="5" t="s">
        <v>212</v>
      </c>
      <c r="N1795" s="5" t="s">
        <v>5477</v>
      </c>
      <c r="O1795" s="5">
        <v>54.13</v>
      </c>
      <c r="P1795" s="5">
        <v>54.49</v>
      </c>
      <c r="Q1795" s="5">
        <v>54.1</v>
      </c>
      <c r="R1795" s="5">
        <v>54.22</v>
      </c>
      <c r="S1795" s="5">
        <v>54.28</v>
      </c>
      <c r="T1795" s="5">
        <v>54.14</v>
      </c>
      <c r="V1795" s="5">
        <v>54.22</v>
      </c>
      <c r="Y1795" s="5">
        <v>635652</v>
      </c>
      <c r="Z1795" s="5">
        <v>34517255.859999999</v>
      </c>
      <c r="AA1795" s="5">
        <v>2295</v>
      </c>
      <c r="AB1795" s="5" t="s">
        <v>85</v>
      </c>
      <c r="AC1795" s="5">
        <v>1</v>
      </c>
    </row>
    <row r="1796" spans="1:29" x14ac:dyDescent="0.3">
      <c r="A1796" s="34">
        <v>46274</v>
      </c>
      <c r="B1796" s="34">
        <v>46274</v>
      </c>
      <c r="C1796" s="5" t="s">
        <v>78</v>
      </c>
      <c r="D1796" s="5" t="s">
        <v>79</v>
      </c>
      <c r="E1796" s="5" t="s">
        <v>80</v>
      </c>
      <c r="F1796" s="5">
        <v>10512</v>
      </c>
      <c r="G1796" s="5" t="s">
        <v>5478</v>
      </c>
      <c r="H1796" s="5" t="s">
        <v>5479</v>
      </c>
      <c r="I1796" s="5" t="s">
        <v>212</v>
      </c>
      <c r="N1796" s="5" t="s">
        <v>5480</v>
      </c>
      <c r="O1796" s="5">
        <v>11.88</v>
      </c>
      <c r="P1796" s="5">
        <v>11.94</v>
      </c>
      <c r="Q1796" s="5">
        <v>11.85</v>
      </c>
      <c r="R1796" s="5">
        <v>11.9</v>
      </c>
      <c r="S1796" s="5">
        <v>11.92</v>
      </c>
      <c r="T1796" s="5">
        <v>11.88</v>
      </c>
      <c r="V1796" s="5">
        <v>11.9</v>
      </c>
      <c r="Y1796" s="5">
        <v>31578</v>
      </c>
      <c r="Z1796" s="5">
        <v>375930.78</v>
      </c>
      <c r="AA1796" s="5">
        <v>112</v>
      </c>
      <c r="AB1796" s="5" t="s">
        <v>85</v>
      </c>
      <c r="AC1796" s="5">
        <v>1</v>
      </c>
    </row>
    <row r="1797" spans="1:29" x14ac:dyDescent="0.3">
      <c r="A1797" s="34">
        <v>46274</v>
      </c>
      <c r="B1797" s="34">
        <v>46274</v>
      </c>
      <c r="C1797" s="5" t="s">
        <v>78</v>
      </c>
      <c r="D1797" s="5" t="s">
        <v>79</v>
      </c>
      <c r="E1797" s="5" t="s">
        <v>80</v>
      </c>
      <c r="F1797" s="5">
        <v>2627</v>
      </c>
      <c r="G1797" s="5" t="s">
        <v>5481</v>
      </c>
      <c r="H1797" s="5" t="s">
        <v>5482</v>
      </c>
      <c r="I1797" s="5" t="s">
        <v>212</v>
      </c>
      <c r="N1797" s="5" t="s">
        <v>5483</v>
      </c>
      <c r="O1797" s="5">
        <v>33.19</v>
      </c>
      <c r="P1797" s="5">
        <v>33.19</v>
      </c>
      <c r="Q1797" s="5">
        <v>32.01</v>
      </c>
      <c r="R1797" s="5">
        <v>32.130000000000003</v>
      </c>
      <c r="S1797" s="5">
        <v>32.25</v>
      </c>
      <c r="T1797" s="5">
        <v>33.270000000000003</v>
      </c>
      <c r="V1797" s="5">
        <v>32.130000000000003</v>
      </c>
      <c r="Y1797" s="5">
        <v>1033397</v>
      </c>
      <c r="Z1797" s="5">
        <v>33314461.559999999</v>
      </c>
      <c r="AA1797" s="5">
        <v>2195</v>
      </c>
      <c r="AB1797" s="5" t="s">
        <v>85</v>
      </c>
      <c r="AC1797" s="5">
        <v>1</v>
      </c>
    </row>
    <row r="1798" spans="1:29" x14ac:dyDescent="0.3">
      <c r="A1798" s="34">
        <v>46274</v>
      </c>
      <c r="B1798" s="34">
        <v>46274</v>
      </c>
      <c r="C1798" s="5" t="s">
        <v>78</v>
      </c>
      <c r="D1798" s="5" t="s">
        <v>79</v>
      </c>
      <c r="E1798" s="5" t="s">
        <v>80</v>
      </c>
      <c r="F1798" s="5">
        <v>13950</v>
      </c>
      <c r="G1798" s="5" t="s">
        <v>5484</v>
      </c>
      <c r="H1798" s="5" t="s">
        <v>5485</v>
      </c>
      <c r="I1798" s="5" t="s">
        <v>212</v>
      </c>
      <c r="N1798" s="5" t="s">
        <v>5486</v>
      </c>
      <c r="O1798" s="5">
        <v>1121.8599999999999</v>
      </c>
      <c r="P1798" s="5">
        <v>1121.8599999999999</v>
      </c>
      <c r="Q1798" s="5">
        <v>1121.7</v>
      </c>
      <c r="R1798" s="5">
        <v>1121.8399999999999</v>
      </c>
      <c r="S1798" s="5">
        <v>1121.8399999999999</v>
      </c>
      <c r="T1798" s="5">
        <v>1121.7</v>
      </c>
      <c r="V1798" s="5">
        <v>1121.8399999999999</v>
      </c>
      <c r="Y1798" s="5">
        <v>1252433</v>
      </c>
      <c r="Z1798" s="5">
        <v>1405028727.1300001</v>
      </c>
      <c r="AA1798" s="5">
        <v>730</v>
      </c>
      <c r="AB1798" s="5" t="s">
        <v>85</v>
      </c>
      <c r="AC1798" s="5">
        <v>1</v>
      </c>
    </row>
    <row r="1799" spans="1:29" x14ac:dyDescent="0.3">
      <c r="A1799" s="34">
        <v>46274</v>
      </c>
      <c r="B1799" s="34">
        <v>46274</v>
      </c>
      <c r="C1799" s="5" t="s">
        <v>78</v>
      </c>
      <c r="D1799" s="5" t="s">
        <v>79</v>
      </c>
      <c r="E1799" s="5" t="s">
        <v>80</v>
      </c>
      <c r="F1799" s="5">
        <v>8632</v>
      </c>
      <c r="G1799" s="5" t="s">
        <v>5487</v>
      </c>
      <c r="H1799" s="5" t="s">
        <v>5488</v>
      </c>
      <c r="I1799" s="5" t="s">
        <v>212</v>
      </c>
      <c r="N1799" s="5" t="s">
        <v>5489</v>
      </c>
      <c r="O1799" s="5">
        <v>20.85</v>
      </c>
      <c r="P1799" s="5">
        <v>20.85</v>
      </c>
      <c r="Q1799" s="5">
        <v>20.5</v>
      </c>
      <c r="R1799" s="5">
        <v>20.58</v>
      </c>
      <c r="S1799" s="5">
        <v>20.64</v>
      </c>
      <c r="T1799" s="5">
        <v>20.85</v>
      </c>
      <c r="V1799" s="5">
        <v>20.58</v>
      </c>
      <c r="Y1799" s="5">
        <v>415351</v>
      </c>
      <c r="Z1799" s="5">
        <v>8538334.1400000006</v>
      </c>
      <c r="AA1799" s="5">
        <v>272</v>
      </c>
      <c r="AB1799" s="5" t="s">
        <v>85</v>
      </c>
      <c r="AC1799" s="5">
        <v>1</v>
      </c>
    </row>
    <row r="1800" spans="1:29" x14ac:dyDescent="0.3">
      <c r="A1800" s="34">
        <v>46274</v>
      </c>
      <c r="B1800" s="34">
        <v>46274</v>
      </c>
      <c r="C1800" s="5" t="s">
        <v>78</v>
      </c>
      <c r="D1800" s="5" t="s">
        <v>79</v>
      </c>
      <c r="E1800" s="5" t="s">
        <v>80</v>
      </c>
      <c r="F1800" s="5">
        <v>8077</v>
      </c>
      <c r="G1800" s="5" t="s">
        <v>5490</v>
      </c>
      <c r="H1800" s="5" t="s">
        <v>5491</v>
      </c>
      <c r="I1800" s="5" t="s">
        <v>212</v>
      </c>
      <c r="N1800" s="5" t="s">
        <v>5492</v>
      </c>
      <c r="O1800" s="5">
        <v>18.600000000000001</v>
      </c>
      <c r="P1800" s="5">
        <v>18.68</v>
      </c>
      <c r="Q1800" s="5">
        <v>18.34</v>
      </c>
      <c r="R1800" s="5">
        <v>18.41</v>
      </c>
      <c r="S1800" s="5">
        <v>18.46</v>
      </c>
      <c r="T1800" s="5">
        <v>18.5</v>
      </c>
      <c r="V1800" s="5">
        <v>18.41</v>
      </c>
      <c r="Y1800" s="5">
        <v>266667</v>
      </c>
      <c r="Z1800" s="5">
        <v>4911845.53</v>
      </c>
      <c r="AA1800" s="5">
        <v>1026</v>
      </c>
      <c r="AB1800" s="5" t="s">
        <v>85</v>
      </c>
      <c r="AC1800" s="5">
        <v>1</v>
      </c>
    </row>
    <row r="1801" spans="1:29" x14ac:dyDescent="0.3">
      <c r="A1801" s="34">
        <v>46274</v>
      </c>
      <c r="B1801" s="34">
        <v>46274</v>
      </c>
      <c r="C1801" s="5" t="s">
        <v>78</v>
      </c>
      <c r="D1801" s="5" t="s">
        <v>79</v>
      </c>
      <c r="E1801" s="5" t="s">
        <v>80</v>
      </c>
      <c r="F1801" s="5">
        <v>10676</v>
      </c>
      <c r="G1801" s="5" t="s">
        <v>5493</v>
      </c>
      <c r="H1801" s="5" t="s">
        <v>5494</v>
      </c>
      <c r="I1801" s="5" t="s">
        <v>212</v>
      </c>
      <c r="N1801" s="5" t="s">
        <v>5495</v>
      </c>
      <c r="O1801" s="5">
        <v>33.18</v>
      </c>
      <c r="P1801" s="5">
        <v>33.18</v>
      </c>
      <c r="Q1801" s="5">
        <v>32.81</v>
      </c>
      <c r="R1801" s="5">
        <v>32.89</v>
      </c>
      <c r="S1801" s="5">
        <v>33.1</v>
      </c>
      <c r="T1801" s="5">
        <v>33.11</v>
      </c>
      <c r="V1801" s="5">
        <v>32.89</v>
      </c>
      <c r="Y1801" s="5">
        <v>75533</v>
      </c>
      <c r="Z1801" s="5">
        <v>2491936.13</v>
      </c>
      <c r="AA1801" s="5">
        <v>368</v>
      </c>
      <c r="AB1801" s="5" t="s">
        <v>85</v>
      </c>
      <c r="AC1801" s="5">
        <v>1</v>
      </c>
    </row>
    <row r="1802" spans="1:29" x14ac:dyDescent="0.3">
      <c r="A1802" s="34">
        <v>46274</v>
      </c>
      <c r="B1802" s="34">
        <v>46274</v>
      </c>
      <c r="C1802" s="5" t="s">
        <v>78</v>
      </c>
      <c r="D1802" s="5" t="s">
        <v>79</v>
      </c>
      <c r="E1802" s="5" t="s">
        <v>80</v>
      </c>
      <c r="F1802" s="5">
        <v>13082</v>
      </c>
      <c r="G1802" s="5" t="s">
        <v>5496</v>
      </c>
      <c r="H1802" s="5" t="s">
        <v>5497</v>
      </c>
      <c r="I1802" s="5" t="s">
        <v>212</v>
      </c>
      <c r="N1802" s="5" t="s">
        <v>5498</v>
      </c>
      <c r="O1802" s="5">
        <v>22.55</v>
      </c>
      <c r="P1802" s="5">
        <v>22.7</v>
      </c>
      <c r="Q1802" s="5">
        <v>22.48</v>
      </c>
      <c r="R1802" s="5">
        <v>22.61</v>
      </c>
      <c r="S1802" s="5">
        <v>22.57</v>
      </c>
      <c r="T1802" s="5">
        <v>22.46</v>
      </c>
      <c r="V1802" s="5">
        <v>22.61</v>
      </c>
      <c r="Y1802" s="5">
        <v>7579686</v>
      </c>
      <c r="Z1802" s="5">
        <v>171437785.30000001</v>
      </c>
      <c r="AA1802" s="5">
        <v>4347</v>
      </c>
      <c r="AB1802" s="5" t="s">
        <v>85</v>
      </c>
      <c r="AC1802" s="5">
        <v>1</v>
      </c>
    </row>
    <row r="1803" spans="1:29" x14ac:dyDescent="0.3">
      <c r="A1803" s="34">
        <v>46274</v>
      </c>
      <c r="B1803" s="34">
        <v>46274</v>
      </c>
      <c r="C1803" s="5" t="s">
        <v>78</v>
      </c>
      <c r="D1803" s="5" t="s">
        <v>79</v>
      </c>
      <c r="E1803" s="5" t="s">
        <v>80</v>
      </c>
      <c r="F1803" s="5">
        <v>11457</v>
      </c>
      <c r="G1803" s="5" t="s">
        <v>5499</v>
      </c>
      <c r="H1803" s="5" t="s">
        <v>5500</v>
      </c>
      <c r="I1803" s="5" t="s">
        <v>212</v>
      </c>
      <c r="N1803" s="5" t="s">
        <v>5501</v>
      </c>
      <c r="O1803" s="5">
        <v>13.77</v>
      </c>
      <c r="P1803" s="5">
        <v>13.77</v>
      </c>
      <c r="Q1803" s="5">
        <v>13.6</v>
      </c>
      <c r="R1803" s="5">
        <v>13.62</v>
      </c>
      <c r="S1803" s="5">
        <v>13.65</v>
      </c>
      <c r="T1803" s="5">
        <v>13.75</v>
      </c>
      <c r="V1803" s="5">
        <v>13.62</v>
      </c>
      <c r="Y1803" s="5">
        <v>205240</v>
      </c>
      <c r="Z1803" s="5">
        <v>2800982.26</v>
      </c>
      <c r="AA1803" s="5">
        <v>289</v>
      </c>
      <c r="AB1803" s="5" t="s">
        <v>85</v>
      </c>
      <c r="AC1803" s="5">
        <v>1</v>
      </c>
    </row>
    <row r="1804" spans="1:29" x14ac:dyDescent="0.3">
      <c r="A1804" s="34">
        <v>46274</v>
      </c>
      <c r="B1804" s="34">
        <v>46274</v>
      </c>
      <c r="C1804" s="5" t="s">
        <v>78</v>
      </c>
      <c r="D1804" s="5" t="s">
        <v>79</v>
      </c>
      <c r="E1804" s="5" t="s">
        <v>80</v>
      </c>
      <c r="F1804" s="5">
        <v>30469</v>
      </c>
      <c r="G1804" s="5" t="s">
        <v>5502</v>
      </c>
      <c r="H1804" s="5" t="s">
        <v>5503</v>
      </c>
      <c r="I1804" s="5" t="s">
        <v>212</v>
      </c>
      <c r="N1804" s="5" t="s">
        <v>5504</v>
      </c>
      <c r="O1804" s="5">
        <v>22.89</v>
      </c>
      <c r="P1804" s="5">
        <v>23.9</v>
      </c>
      <c r="Q1804" s="5">
        <v>22.89</v>
      </c>
      <c r="R1804" s="5">
        <v>23.4</v>
      </c>
      <c r="S1804" s="5">
        <v>23.43</v>
      </c>
      <c r="T1804" s="5">
        <v>23.48</v>
      </c>
      <c r="V1804" s="5">
        <v>23.4</v>
      </c>
      <c r="Y1804" s="5">
        <v>15755</v>
      </c>
      <c r="Z1804" s="5">
        <v>369034.83</v>
      </c>
      <c r="AA1804" s="5">
        <v>165</v>
      </c>
      <c r="AB1804" s="5" t="s">
        <v>85</v>
      </c>
      <c r="AC1804" s="5">
        <v>1</v>
      </c>
    </row>
    <row r="1805" spans="1:29" x14ac:dyDescent="0.3">
      <c r="A1805" s="34">
        <v>46274</v>
      </c>
      <c r="B1805" s="34">
        <v>46274</v>
      </c>
      <c r="C1805" s="5" t="s">
        <v>78</v>
      </c>
      <c r="D1805" s="5" t="s">
        <v>79</v>
      </c>
      <c r="E1805" s="5" t="s">
        <v>80</v>
      </c>
      <c r="F1805" s="5">
        <v>759488</v>
      </c>
      <c r="G1805" s="5" t="s">
        <v>5505</v>
      </c>
      <c r="H1805" s="5" t="s">
        <v>5506</v>
      </c>
      <c r="I1805" s="5" t="s">
        <v>212</v>
      </c>
      <c r="N1805" s="5" t="s">
        <v>5507</v>
      </c>
      <c r="O1805" s="5">
        <v>31.2</v>
      </c>
      <c r="P1805" s="5">
        <v>31.2</v>
      </c>
      <c r="Q1805" s="5">
        <v>30.91</v>
      </c>
      <c r="R1805" s="5">
        <v>31.15</v>
      </c>
      <c r="S1805" s="5">
        <v>31</v>
      </c>
      <c r="T1805" s="5">
        <v>30.98</v>
      </c>
      <c r="V1805" s="5">
        <v>31.15</v>
      </c>
      <c r="Y1805" s="5">
        <v>676856</v>
      </c>
      <c r="Z1805" s="5">
        <v>21070279.98</v>
      </c>
      <c r="AA1805" s="5">
        <v>100</v>
      </c>
      <c r="AB1805" s="5" t="s">
        <v>85</v>
      </c>
      <c r="AC1805" s="5">
        <v>1</v>
      </c>
    </row>
    <row r="1806" spans="1:29" x14ac:dyDescent="0.3">
      <c r="A1806" s="34">
        <v>46274</v>
      </c>
      <c r="B1806" s="34">
        <v>46274</v>
      </c>
      <c r="C1806" s="5" t="s">
        <v>78</v>
      </c>
      <c r="D1806" s="5" t="s">
        <v>79</v>
      </c>
      <c r="E1806" s="5" t="s">
        <v>80</v>
      </c>
      <c r="F1806" s="5">
        <v>29758</v>
      </c>
      <c r="G1806" s="5" t="s">
        <v>5508</v>
      </c>
      <c r="H1806" s="5" t="s">
        <v>5509</v>
      </c>
      <c r="I1806" s="5" t="s">
        <v>212</v>
      </c>
      <c r="N1806" s="5" t="s">
        <v>5510</v>
      </c>
      <c r="O1806" s="5">
        <v>29.44</v>
      </c>
      <c r="P1806" s="5">
        <v>29.5</v>
      </c>
      <c r="Q1806" s="5">
        <v>29.26</v>
      </c>
      <c r="R1806" s="5">
        <v>29.31</v>
      </c>
      <c r="S1806" s="5">
        <v>29.31</v>
      </c>
      <c r="T1806" s="5">
        <v>29.47</v>
      </c>
      <c r="V1806" s="5">
        <v>29.31</v>
      </c>
      <c r="Y1806" s="5">
        <v>7010</v>
      </c>
      <c r="Z1806" s="5">
        <v>205888.4</v>
      </c>
      <c r="AA1806" s="5">
        <v>112</v>
      </c>
      <c r="AB1806" s="5" t="s">
        <v>85</v>
      </c>
      <c r="AC1806" s="5">
        <v>1</v>
      </c>
    </row>
    <row r="1807" spans="1:29" x14ac:dyDescent="0.3">
      <c r="A1807" s="34">
        <v>46274</v>
      </c>
      <c r="B1807" s="34">
        <v>46274</v>
      </c>
      <c r="C1807" s="5" t="s">
        <v>78</v>
      </c>
      <c r="D1807" s="5" t="s">
        <v>79</v>
      </c>
      <c r="E1807" s="5" t="s">
        <v>80</v>
      </c>
      <c r="F1807" s="5">
        <v>760709</v>
      </c>
      <c r="G1807" s="5" t="s">
        <v>5511</v>
      </c>
      <c r="H1807" s="5" t="s">
        <v>5512</v>
      </c>
      <c r="I1807" s="5" t="s">
        <v>212</v>
      </c>
      <c r="N1807" s="5" t="s">
        <v>5513</v>
      </c>
      <c r="O1807" s="5">
        <v>71.989999999999995</v>
      </c>
      <c r="P1807" s="5">
        <v>74.2</v>
      </c>
      <c r="Q1807" s="5">
        <v>71.989999999999995</v>
      </c>
      <c r="R1807" s="5">
        <v>73.89</v>
      </c>
      <c r="S1807" s="5">
        <v>73.72</v>
      </c>
      <c r="T1807" s="5">
        <v>73.459999999999994</v>
      </c>
      <c r="V1807" s="5">
        <v>73.89</v>
      </c>
      <c r="Y1807" s="5">
        <v>9452</v>
      </c>
      <c r="Z1807" s="5">
        <v>695317.1</v>
      </c>
      <c r="AA1807" s="5">
        <v>79</v>
      </c>
      <c r="AB1807" s="5" t="s">
        <v>85</v>
      </c>
      <c r="AC1807" s="5">
        <v>1</v>
      </c>
    </row>
    <row r="1808" spans="1:29" x14ac:dyDescent="0.3">
      <c r="A1808" s="34">
        <v>46274</v>
      </c>
      <c r="B1808" s="34">
        <v>46274</v>
      </c>
      <c r="C1808" s="5" t="s">
        <v>78</v>
      </c>
      <c r="D1808" s="5" t="s">
        <v>79</v>
      </c>
      <c r="E1808" s="5" t="s">
        <v>80</v>
      </c>
      <c r="F1808" s="5">
        <v>29944</v>
      </c>
      <c r="G1808" s="5" t="s">
        <v>5514</v>
      </c>
      <c r="H1808" s="5" t="s">
        <v>5515</v>
      </c>
      <c r="I1808" s="5" t="s">
        <v>212</v>
      </c>
      <c r="N1808" s="5" t="s">
        <v>5516</v>
      </c>
      <c r="O1808" s="5">
        <v>34.729999999999997</v>
      </c>
      <c r="P1808" s="5">
        <v>35.840000000000003</v>
      </c>
      <c r="Q1808" s="5">
        <v>34.64</v>
      </c>
      <c r="R1808" s="5">
        <v>35</v>
      </c>
      <c r="S1808" s="5">
        <v>34.840000000000003</v>
      </c>
      <c r="T1808" s="5">
        <v>34.770000000000003</v>
      </c>
      <c r="V1808" s="5">
        <v>35</v>
      </c>
      <c r="Y1808" s="5">
        <v>38017</v>
      </c>
      <c r="Z1808" s="5">
        <v>1323304.6399999999</v>
      </c>
      <c r="AA1808" s="5">
        <v>230</v>
      </c>
      <c r="AB1808" s="5" t="s">
        <v>85</v>
      </c>
      <c r="AC1808" s="5">
        <v>1</v>
      </c>
    </row>
    <row r="1809" spans="1:29" x14ac:dyDescent="0.3">
      <c r="A1809" s="34">
        <v>46274</v>
      </c>
      <c r="B1809" s="34">
        <v>46274</v>
      </c>
      <c r="C1809" s="5" t="s">
        <v>78</v>
      </c>
      <c r="D1809" s="5" t="s">
        <v>79</v>
      </c>
      <c r="E1809" s="5" t="s">
        <v>80</v>
      </c>
      <c r="F1809" s="5">
        <v>764195</v>
      </c>
      <c r="G1809" s="5" t="s">
        <v>5517</v>
      </c>
      <c r="H1809" s="5" t="s">
        <v>5518</v>
      </c>
      <c r="I1809" s="5" t="s">
        <v>212</v>
      </c>
      <c r="N1809" s="5" t="s">
        <v>5519</v>
      </c>
      <c r="O1809" s="5">
        <v>27.48</v>
      </c>
      <c r="P1809" s="5">
        <v>27.56</v>
      </c>
      <c r="Q1809" s="5">
        <v>27.33</v>
      </c>
      <c r="R1809" s="5">
        <v>27.4</v>
      </c>
      <c r="S1809" s="5">
        <v>27.4</v>
      </c>
      <c r="T1809" s="5">
        <v>27.62</v>
      </c>
      <c r="V1809" s="5">
        <v>27.4</v>
      </c>
      <c r="Y1809" s="5">
        <v>4949</v>
      </c>
      <c r="Z1809" s="5">
        <v>135861.23000000001</v>
      </c>
      <c r="AA1809" s="5">
        <v>21</v>
      </c>
      <c r="AB1809" s="5" t="s">
        <v>85</v>
      </c>
      <c r="AC1809" s="5">
        <v>1</v>
      </c>
    </row>
    <row r="1810" spans="1:29" x14ac:dyDescent="0.3">
      <c r="A1810" s="34">
        <v>46274</v>
      </c>
      <c r="B1810" s="34">
        <v>46274</v>
      </c>
      <c r="C1810" s="5" t="s">
        <v>78</v>
      </c>
      <c r="D1810" s="5" t="s">
        <v>79</v>
      </c>
      <c r="E1810" s="5" t="s">
        <v>80</v>
      </c>
      <c r="F1810" s="5">
        <v>757946</v>
      </c>
      <c r="G1810" s="5" t="s">
        <v>5520</v>
      </c>
      <c r="H1810" s="5" t="s">
        <v>5521</v>
      </c>
      <c r="I1810" s="5" t="s">
        <v>212</v>
      </c>
      <c r="N1810" s="5" t="s">
        <v>5522</v>
      </c>
      <c r="O1810" s="5">
        <v>20.39</v>
      </c>
      <c r="P1810" s="5">
        <v>20.41</v>
      </c>
      <c r="Q1810" s="5">
        <v>20.3</v>
      </c>
      <c r="R1810" s="5">
        <v>20.34</v>
      </c>
      <c r="S1810" s="5">
        <v>20.38</v>
      </c>
      <c r="T1810" s="5">
        <v>20.47</v>
      </c>
      <c r="V1810" s="5">
        <v>20.34</v>
      </c>
      <c r="Y1810" s="5">
        <v>2039</v>
      </c>
      <c r="Z1810" s="5">
        <v>41491.1</v>
      </c>
      <c r="AA1810" s="5">
        <v>54</v>
      </c>
      <c r="AB1810" s="5" t="s">
        <v>85</v>
      </c>
      <c r="AC1810" s="5">
        <v>1</v>
      </c>
    </row>
    <row r="1811" spans="1:29" x14ac:dyDescent="0.3">
      <c r="A1811" s="34">
        <v>46274</v>
      </c>
      <c r="B1811" s="34">
        <v>46274</v>
      </c>
      <c r="C1811" s="5" t="s">
        <v>78</v>
      </c>
      <c r="D1811" s="5" t="s">
        <v>79</v>
      </c>
      <c r="E1811" s="5" t="s">
        <v>80</v>
      </c>
      <c r="F1811" s="5">
        <v>5851</v>
      </c>
      <c r="G1811" s="5" t="s">
        <v>5523</v>
      </c>
      <c r="H1811" s="5" t="s">
        <v>5524</v>
      </c>
      <c r="I1811" s="5" t="s">
        <v>212</v>
      </c>
      <c r="N1811" s="5" t="s">
        <v>5525</v>
      </c>
      <c r="O1811" s="5">
        <v>59.06</v>
      </c>
      <c r="P1811" s="5">
        <v>59.06</v>
      </c>
      <c r="Q1811" s="5">
        <v>58.6</v>
      </c>
      <c r="R1811" s="5">
        <v>58.66</v>
      </c>
      <c r="S1811" s="5">
        <v>58.67</v>
      </c>
      <c r="T1811" s="5">
        <v>59.06</v>
      </c>
      <c r="V1811" s="5">
        <v>58.67</v>
      </c>
      <c r="Y1811" s="5">
        <v>216941</v>
      </c>
      <c r="Z1811" s="5">
        <v>12762541.51</v>
      </c>
      <c r="AA1811" s="5">
        <v>895</v>
      </c>
      <c r="AB1811" s="5" t="s">
        <v>85</v>
      </c>
      <c r="AC1811" s="5">
        <v>1</v>
      </c>
    </row>
    <row r="1812" spans="1:29" x14ac:dyDescent="0.3">
      <c r="A1812" s="34">
        <v>46274</v>
      </c>
      <c r="B1812" s="34">
        <v>46274</v>
      </c>
      <c r="C1812" s="5" t="s">
        <v>78</v>
      </c>
      <c r="D1812" s="5" t="s">
        <v>79</v>
      </c>
      <c r="E1812" s="5" t="s">
        <v>80</v>
      </c>
      <c r="F1812" s="5">
        <v>762752</v>
      </c>
      <c r="G1812" s="5" t="s">
        <v>5526</v>
      </c>
      <c r="H1812" s="5" t="s">
        <v>5527</v>
      </c>
      <c r="I1812" s="5" t="s">
        <v>212</v>
      </c>
      <c r="N1812" s="5" t="s">
        <v>5528</v>
      </c>
      <c r="O1812" s="5">
        <v>139.9</v>
      </c>
      <c r="P1812" s="5">
        <v>141</v>
      </c>
      <c r="Q1812" s="5">
        <v>134.19999999999999</v>
      </c>
      <c r="R1812" s="5">
        <v>135.54</v>
      </c>
      <c r="S1812" s="5">
        <v>135.44999999999999</v>
      </c>
      <c r="T1812" s="5">
        <v>136.63</v>
      </c>
      <c r="V1812" s="5">
        <v>135.68</v>
      </c>
      <c r="Y1812" s="5">
        <v>5193</v>
      </c>
      <c r="Z1812" s="5">
        <v>715597.33</v>
      </c>
      <c r="AA1812" s="5">
        <v>168</v>
      </c>
      <c r="AB1812" s="5" t="s">
        <v>85</v>
      </c>
      <c r="AC1812" s="5">
        <v>1</v>
      </c>
    </row>
    <row r="1813" spans="1:29" x14ac:dyDescent="0.3">
      <c r="A1813" s="34">
        <v>46274</v>
      </c>
      <c r="B1813" s="34">
        <v>46274</v>
      </c>
      <c r="C1813" s="5" t="s">
        <v>78</v>
      </c>
      <c r="D1813" s="5" t="s">
        <v>79</v>
      </c>
      <c r="E1813" s="5" t="s">
        <v>80</v>
      </c>
      <c r="F1813" s="5">
        <v>4594</v>
      </c>
      <c r="G1813" s="5" t="s">
        <v>5529</v>
      </c>
      <c r="H1813" s="5" t="s">
        <v>5530</v>
      </c>
      <c r="I1813" s="5" t="s">
        <v>212</v>
      </c>
      <c r="N1813" s="5" t="s">
        <v>5531</v>
      </c>
      <c r="O1813" s="5">
        <v>142.69999999999999</v>
      </c>
      <c r="P1813" s="5">
        <v>150.75</v>
      </c>
      <c r="Q1813" s="5">
        <v>141.76</v>
      </c>
      <c r="R1813" s="5">
        <v>148.9</v>
      </c>
      <c r="S1813" s="5">
        <v>148.19999999999999</v>
      </c>
      <c r="T1813" s="5">
        <v>144.29</v>
      </c>
      <c r="V1813" s="5">
        <v>148.9</v>
      </c>
      <c r="Y1813" s="5">
        <v>251482</v>
      </c>
      <c r="Z1813" s="5">
        <v>37125401.43</v>
      </c>
      <c r="AA1813" s="5">
        <v>3229</v>
      </c>
      <c r="AB1813" s="5" t="s">
        <v>85</v>
      </c>
      <c r="AC1813" s="5">
        <v>1</v>
      </c>
    </row>
    <row r="1814" spans="1:29" x14ac:dyDescent="0.3">
      <c r="A1814" s="34">
        <v>46274</v>
      </c>
      <c r="B1814" s="34">
        <v>46274</v>
      </c>
      <c r="C1814" s="5" t="s">
        <v>78</v>
      </c>
      <c r="D1814" s="5" t="s">
        <v>79</v>
      </c>
      <c r="E1814" s="5" t="s">
        <v>80</v>
      </c>
      <c r="F1814" s="5">
        <v>5528</v>
      </c>
      <c r="G1814" s="5" t="s">
        <v>5532</v>
      </c>
      <c r="H1814" s="5" t="s">
        <v>5533</v>
      </c>
      <c r="I1814" s="5" t="s">
        <v>212</v>
      </c>
      <c r="N1814" s="5" t="s">
        <v>5534</v>
      </c>
      <c r="O1814" s="5">
        <v>67.400000000000006</v>
      </c>
      <c r="P1814" s="5">
        <v>68.19</v>
      </c>
      <c r="Q1814" s="5">
        <v>66</v>
      </c>
      <c r="R1814" s="5">
        <v>66.5</v>
      </c>
      <c r="S1814" s="5">
        <v>66.31</v>
      </c>
      <c r="T1814" s="5">
        <v>66.430000000000007</v>
      </c>
      <c r="V1814" s="5">
        <v>66.81</v>
      </c>
      <c r="Y1814" s="5">
        <v>5918</v>
      </c>
      <c r="Z1814" s="5">
        <v>395894.7</v>
      </c>
      <c r="AA1814" s="5">
        <v>121</v>
      </c>
      <c r="AB1814" s="5" t="s">
        <v>85</v>
      </c>
      <c r="AC1814" s="5">
        <v>1</v>
      </c>
    </row>
    <row r="1815" spans="1:29" x14ac:dyDescent="0.3">
      <c r="A1815" s="34">
        <v>46274</v>
      </c>
      <c r="B1815" s="34">
        <v>46274</v>
      </c>
      <c r="C1815" s="5" t="s">
        <v>78</v>
      </c>
      <c r="D1815" s="5" t="s">
        <v>79</v>
      </c>
      <c r="E1815" s="5" t="s">
        <v>80</v>
      </c>
      <c r="F1815" s="5">
        <v>11648</v>
      </c>
      <c r="G1815" s="5" t="s">
        <v>5535</v>
      </c>
      <c r="H1815" s="5" t="s">
        <v>5536</v>
      </c>
      <c r="I1815" s="5" t="s">
        <v>234</v>
      </c>
      <c r="N1815" s="5" t="s">
        <v>5537</v>
      </c>
      <c r="O1815" s="5">
        <v>29.13</v>
      </c>
      <c r="P1815" s="5">
        <v>29.13</v>
      </c>
      <c r="Q1815" s="5">
        <v>28.1</v>
      </c>
      <c r="R1815" s="5">
        <v>28.36</v>
      </c>
      <c r="S1815" s="5">
        <v>28.58</v>
      </c>
      <c r="T1815" s="5">
        <v>29.24</v>
      </c>
      <c r="V1815" s="5">
        <v>28.36</v>
      </c>
      <c r="Y1815" s="5">
        <v>38596</v>
      </c>
      <c r="Z1815" s="5">
        <v>1098900.4099999999</v>
      </c>
      <c r="AA1815" s="5">
        <v>249</v>
      </c>
      <c r="AB1815" s="5" t="s">
        <v>85</v>
      </c>
      <c r="AC1815" s="5">
        <v>1</v>
      </c>
    </row>
    <row r="1816" spans="1:29" x14ac:dyDescent="0.3">
      <c r="A1816" s="34">
        <v>46274</v>
      </c>
      <c r="B1816" s="34">
        <v>46274</v>
      </c>
      <c r="C1816" s="5" t="s">
        <v>78</v>
      </c>
      <c r="D1816" s="5" t="s">
        <v>79</v>
      </c>
      <c r="E1816" s="5" t="s">
        <v>80</v>
      </c>
      <c r="F1816" s="5">
        <v>761337</v>
      </c>
      <c r="G1816" s="5" t="s">
        <v>5538</v>
      </c>
      <c r="H1816" s="5" t="s">
        <v>5539</v>
      </c>
      <c r="I1816" s="5" t="s">
        <v>234</v>
      </c>
      <c r="N1816" s="5" t="s">
        <v>5540</v>
      </c>
      <c r="O1816" s="5">
        <v>32</v>
      </c>
      <c r="P1816" s="5">
        <v>32.44</v>
      </c>
      <c r="Q1816" s="5">
        <v>31.4</v>
      </c>
      <c r="R1816" s="5">
        <v>31.77</v>
      </c>
      <c r="S1816" s="5">
        <v>31.9</v>
      </c>
      <c r="T1816" s="5">
        <v>32</v>
      </c>
      <c r="V1816" s="5">
        <v>31.5</v>
      </c>
      <c r="Y1816" s="5">
        <v>124336</v>
      </c>
      <c r="Z1816" s="5">
        <v>3943858.19</v>
      </c>
      <c r="AA1816" s="5">
        <v>326</v>
      </c>
      <c r="AB1816" s="5" t="s">
        <v>85</v>
      </c>
      <c r="AC1816" s="5">
        <v>1</v>
      </c>
    </row>
    <row r="1817" spans="1:29" x14ac:dyDescent="0.3">
      <c r="A1817" s="34">
        <v>46274</v>
      </c>
      <c r="B1817" s="34">
        <v>46274</v>
      </c>
      <c r="C1817" s="5" t="s">
        <v>78</v>
      </c>
      <c r="D1817" s="5" t="s">
        <v>79</v>
      </c>
      <c r="E1817" s="5" t="s">
        <v>80</v>
      </c>
      <c r="F1817" s="5">
        <v>5192</v>
      </c>
      <c r="G1817" s="5" t="s">
        <v>5541</v>
      </c>
      <c r="H1817" s="5" t="s">
        <v>5542</v>
      </c>
      <c r="I1817" s="5" t="s">
        <v>212</v>
      </c>
      <c r="N1817" s="5" t="s">
        <v>5543</v>
      </c>
      <c r="O1817" s="5">
        <v>6108</v>
      </c>
      <c r="P1817" s="5">
        <v>6188</v>
      </c>
      <c r="Q1817" s="5">
        <v>6099</v>
      </c>
      <c r="R1817" s="5">
        <v>6149.5</v>
      </c>
      <c r="S1817" s="5">
        <v>6180</v>
      </c>
      <c r="T1817" s="5">
        <v>6107</v>
      </c>
      <c r="V1817" s="5">
        <v>6149.53</v>
      </c>
      <c r="Y1817" s="5">
        <v>6798</v>
      </c>
      <c r="Z1817" s="5">
        <v>41808958</v>
      </c>
      <c r="AA1817" s="5">
        <v>1717</v>
      </c>
      <c r="AB1817" s="5" t="s">
        <v>85</v>
      </c>
      <c r="AC1817" s="5">
        <v>1</v>
      </c>
    </row>
    <row r="1818" spans="1:29" x14ac:dyDescent="0.3">
      <c r="A1818" s="34">
        <v>46274</v>
      </c>
      <c r="B1818" s="34">
        <v>46274</v>
      </c>
      <c r="C1818" s="5" t="s">
        <v>78</v>
      </c>
      <c r="D1818" s="5" t="s">
        <v>79</v>
      </c>
      <c r="E1818" s="5" t="s">
        <v>80</v>
      </c>
      <c r="F1818" s="5">
        <v>5108</v>
      </c>
      <c r="G1818" s="5" t="s">
        <v>5544</v>
      </c>
      <c r="H1818" s="5" t="s">
        <v>5545</v>
      </c>
      <c r="I1818" s="5" t="s">
        <v>212</v>
      </c>
      <c r="N1818" s="5" t="s">
        <v>5546</v>
      </c>
      <c r="O1818" s="5">
        <v>294.05</v>
      </c>
      <c r="P1818" s="5">
        <v>300.35000000000002</v>
      </c>
      <c r="Q1818" s="5">
        <v>291</v>
      </c>
      <c r="R1818" s="5">
        <v>291.55</v>
      </c>
      <c r="S1818" s="5">
        <v>291.8</v>
      </c>
      <c r="T1818" s="5">
        <v>292.05</v>
      </c>
      <c r="V1818" s="5">
        <v>291.58</v>
      </c>
      <c r="Y1818" s="5">
        <v>808169</v>
      </c>
      <c r="Z1818" s="5">
        <v>238726411.55000001</v>
      </c>
      <c r="AA1818" s="5">
        <v>20388</v>
      </c>
      <c r="AB1818" s="5" t="s">
        <v>85</v>
      </c>
      <c r="AC1818" s="5">
        <v>1</v>
      </c>
    </row>
    <row r="1819" spans="1:29" x14ac:dyDescent="0.3">
      <c r="A1819" s="34">
        <v>46274</v>
      </c>
      <c r="B1819" s="34">
        <v>46274</v>
      </c>
      <c r="C1819" s="5" t="s">
        <v>78</v>
      </c>
      <c r="D1819" s="5" t="s">
        <v>79</v>
      </c>
      <c r="E1819" s="5" t="s">
        <v>80</v>
      </c>
      <c r="F1819" s="5">
        <v>9683</v>
      </c>
      <c r="G1819" s="5" t="s">
        <v>5547</v>
      </c>
      <c r="H1819" s="5" t="s">
        <v>5548</v>
      </c>
      <c r="I1819" s="5" t="s">
        <v>212</v>
      </c>
      <c r="N1819" s="5" t="s">
        <v>5549</v>
      </c>
      <c r="O1819" s="5">
        <v>558.29999999999995</v>
      </c>
      <c r="P1819" s="5">
        <v>559.25</v>
      </c>
      <c r="Q1819" s="5">
        <v>551.25</v>
      </c>
      <c r="R1819" s="5">
        <v>553.1</v>
      </c>
      <c r="S1819" s="5">
        <v>553.1</v>
      </c>
      <c r="T1819" s="5">
        <v>562</v>
      </c>
      <c r="V1819" s="5">
        <v>553.01</v>
      </c>
      <c r="Y1819" s="5">
        <v>1160555</v>
      </c>
      <c r="Z1819" s="5">
        <v>643515929.79999995</v>
      </c>
      <c r="AA1819" s="5">
        <v>29299</v>
      </c>
      <c r="AB1819" s="5" t="s">
        <v>85</v>
      </c>
      <c r="AC1819" s="5">
        <v>1</v>
      </c>
    </row>
    <row r="1820" spans="1:29" x14ac:dyDescent="0.3">
      <c r="A1820" s="34">
        <v>46274</v>
      </c>
      <c r="B1820" s="34">
        <v>46274</v>
      </c>
      <c r="C1820" s="5" t="s">
        <v>78</v>
      </c>
      <c r="D1820" s="5" t="s">
        <v>79</v>
      </c>
      <c r="E1820" s="5" t="s">
        <v>80</v>
      </c>
      <c r="F1820" s="5">
        <v>14912</v>
      </c>
      <c r="G1820" s="5" t="s">
        <v>5550</v>
      </c>
      <c r="H1820" s="5" t="s">
        <v>5551</v>
      </c>
      <c r="I1820" s="5" t="s">
        <v>212</v>
      </c>
      <c r="N1820" s="5" t="s">
        <v>5552</v>
      </c>
      <c r="O1820" s="5">
        <v>1148.9000000000001</v>
      </c>
      <c r="P1820" s="5">
        <v>1158.8</v>
      </c>
      <c r="Q1820" s="5">
        <v>1128.3</v>
      </c>
      <c r="R1820" s="5">
        <v>1140.3</v>
      </c>
      <c r="S1820" s="5">
        <v>1143</v>
      </c>
      <c r="T1820" s="5">
        <v>1135</v>
      </c>
      <c r="V1820" s="5">
        <v>1140.29</v>
      </c>
      <c r="Y1820" s="5">
        <v>239559</v>
      </c>
      <c r="Z1820" s="5">
        <v>272913837.10000002</v>
      </c>
      <c r="AA1820" s="5">
        <v>22636</v>
      </c>
      <c r="AB1820" s="5" t="s">
        <v>85</v>
      </c>
      <c r="AC1820" s="5">
        <v>1</v>
      </c>
    </row>
    <row r="1821" spans="1:29" x14ac:dyDescent="0.3">
      <c r="A1821" s="34">
        <v>46274</v>
      </c>
      <c r="B1821" s="34">
        <v>46274</v>
      </c>
      <c r="C1821" s="5" t="s">
        <v>78</v>
      </c>
      <c r="D1821" s="5" t="s">
        <v>79</v>
      </c>
      <c r="E1821" s="5" t="s">
        <v>80</v>
      </c>
      <c r="F1821" s="5">
        <v>10577</v>
      </c>
      <c r="G1821" s="5" t="s">
        <v>5553</v>
      </c>
      <c r="H1821" s="5" t="s">
        <v>5554</v>
      </c>
      <c r="I1821" s="5" t="s">
        <v>212</v>
      </c>
      <c r="N1821" s="5" t="s">
        <v>5555</v>
      </c>
      <c r="O1821" s="5">
        <v>434.45</v>
      </c>
      <c r="P1821" s="5">
        <v>444.6</v>
      </c>
      <c r="Q1821" s="5">
        <v>428.15</v>
      </c>
      <c r="R1821" s="5">
        <v>434.45</v>
      </c>
      <c r="S1821" s="5">
        <v>433.3</v>
      </c>
      <c r="T1821" s="5">
        <v>431.05</v>
      </c>
      <c r="V1821" s="5">
        <v>434.44</v>
      </c>
      <c r="Y1821" s="5">
        <v>688251</v>
      </c>
      <c r="Z1821" s="5">
        <v>300333386.19999999</v>
      </c>
      <c r="AA1821" s="5">
        <v>18314</v>
      </c>
      <c r="AB1821" s="5" t="s">
        <v>85</v>
      </c>
      <c r="AC1821" s="5">
        <v>1</v>
      </c>
    </row>
    <row r="1822" spans="1:29" x14ac:dyDescent="0.3">
      <c r="A1822" s="34">
        <v>46274</v>
      </c>
      <c r="B1822" s="34">
        <v>46274</v>
      </c>
      <c r="C1822" s="5" t="s">
        <v>78</v>
      </c>
      <c r="D1822" s="5" t="s">
        <v>79</v>
      </c>
      <c r="E1822" s="5" t="s">
        <v>80</v>
      </c>
      <c r="F1822" s="5">
        <v>1937</v>
      </c>
      <c r="G1822" s="5" t="s">
        <v>5556</v>
      </c>
      <c r="H1822" s="5" t="s">
        <v>5557</v>
      </c>
      <c r="I1822" s="5" t="s">
        <v>212</v>
      </c>
      <c r="N1822" s="5" t="s">
        <v>5558</v>
      </c>
      <c r="O1822" s="5">
        <v>57.4</v>
      </c>
      <c r="P1822" s="5">
        <v>66.66</v>
      </c>
      <c r="Q1822" s="5">
        <v>57.4</v>
      </c>
      <c r="R1822" s="5">
        <v>60.14</v>
      </c>
      <c r="S1822" s="5">
        <v>59.53</v>
      </c>
      <c r="T1822" s="5">
        <v>56.73</v>
      </c>
      <c r="V1822" s="5">
        <v>60.14</v>
      </c>
      <c r="Y1822" s="5">
        <v>133291</v>
      </c>
      <c r="Z1822" s="5">
        <v>8305528.8600000003</v>
      </c>
      <c r="AA1822" s="5">
        <v>1780</v>
      </c>
      <c r="AB1822" s="5" t="s">
        <v>85</v>
      </c>
      <c r="AC1822" s="5">
        <v>1</v>
      </c>
    </row>
    <row r="1823" spans="1:29" x14ac:dyDescent="0.3">
      <c r="A1823" s="34">
        <v>46274</v>
      </c>
      <c r="B1823" s="34">
        <v>46274</v>
      </c>
      <c r="C1823" s="5" t="s">
        <v>78</v>
      </c>
      <c r="D1823" s="5" t="s">
        <v>79</v>
      </c>
      <c r="E1823" s="5" t="s">
        <v>80</v>
      </c>
      <c r="F1823" s="5">
        <v>11480</v>
      </c>
      <c r="G1823" s="5" t="s">
        <v>5559</v>
      </c>
      <c r="H1823" s="5" t="s">
        <v>5560</v>
      </c>
      <c r="I1823" s="5" t="s">
        <v>212</v>
      </c>
      <c r="N1823" s="5" t="s">
        <v>5561</v>
      </c>
      <c r="O1823" s="5">
        <v>2.0099999999999998</v>
      </c>
      <c r="P1823" s="5">
        <v>2.0499999999999998</v>
      </c>
      <c r="Q1823" s="5">
        <v>1.96</v>
      </c>
      <c r="R1823" s="5">
        <v>2</v>
      </c>
      <c r="S1823" s="5">
        <v>2</v>
      </c>
      <c r="T1823" s="5">
        <v>1.97</v>
      </c>
      <c r="V1823" s="5">
        <v>2</v>
      </c>
      <c r="Y1823" s="5">
        <v>76574</v>
      </c>
      <c r="Z1823" s="5">
        <v>153175.72</v>
      </c>
      <c r="AA1823" s="5">
        <v>75</v>
      </c>
      <c r="AB1823" s="5" t="s">
        <v>85</v>
      </c>
      <c r="AC1823" s="5">
        <v>1</v>
      </c>
    </row>
    <row r="1824" spans="1:29" x14ac:dyDescent="0.3">
      <c r="A1824" s="34">
        <v>46274</v>
      </c>
      <c r="B1824" s="34">
        <v>46274</v>
      </c>
      <c r="C1824" s="5" t="s">
        <v>78</v>
      </c>
      <c r="D1824" s="5" t="s">
        <v>79</v>
      </c>
      <c r="E1824" s="5" t="s">
        <v>80</v>
      </c>
      <c r="F1824" s="5">
        <v>12847</v>
      </c>
      <c r="G1824" s="5" t="s">
        <v>5562</v>
      </c>
      <c r="H1824" s="5" t="s">
        <v>5563</v>
      </c>
      <c r="I1824" s="5" t="s">
        <v>212</v>
      </c>
      <c r="N1824" s="5" t="s">
        <v>5564</v>
      </c>
      <c r="O1824" s="5">
        <v>182.99</v>
      </c>
      <c r="P1824" s="5">
        <v>184.5</v>
      </c>
      <c r="Q1824" s="5">
        <v>174.28</v>
      </c>
      <c r="R1824" s="5">
        <v>181.93</v>
      </c>
      <c r="S1824" s="5">
        <v>182.94</v>
      </c>
      <c r="T1824" s="5">
        <v>183.03</v>
      </c>
      <c r="V1824" s="5">
        <v>181.93</v>
      </c>
      <c r="Y1824" s="5">
        <v>1650580</v>
      </c>
      <c r="Z1824" s="5">
        <v>295756426.02999997</v>
      </c>
      <c r="AA1824" s="5">
        <v>18211</v>
      </c>
      <c r="AB1824" s="5" t="s">
        <v>85</v>
      </c>
      <c r="AC1824" s="5">
        <v>1</v>
      </c>
    </row>
    <row r="1825" spans="1:29" x14ac:dyDescent="0.3">
      <c r="A1825" s="34">
        <v>46274</v>
      </c>
      <c r="B1825" s="34">
        <v>46274</v>
      </c>
      <c r="C1825" s="5" t="s">
        <v>78</v>
      </c>
      <c r="D1825" s="5" t="s">
        <v>79</v>
      </c>
      <c r="E1825" s="5" t="s">
        <v>80</v>
      </c>
      <c r="F1825" s="5">
        <v>16133</v>
      </c>
      <c r="G1825" s="5" t="s">
        <v>5565</v>
      </c>
      <c r="H1825" s="5" t="s">
        <v>5566</v>
      </c>
      <c r="I1825" s="5" t="s">
        <v>313</v>
      </c>
      <c r="N1825" s="5" t="s">
        <v>5567</v>
      </c>
      <c r="O1825" s="5">
        <v>160</v>
      </c>
      <c r="P1825" s="5">
        <v>160</v>
      </c>
      <c r="Q1825" s="5">
        <v>157</v>
      </c>
      <c r="R1825" s="5">
        <v>157.44999999999999</v>
      </c>
      <c r="S1825" s="5">
        <v>157.5</v>
      </c>
      <c r="T1825" s="5">
        <v>160</v>
      </c>
      <c r="V1825" s="5">
        <v>157.44999999999999</v>
      </c>
      <c r="Y1825" s="5">
        <v>13000</v>
      </c>
      <c r="Z1825" s="5">
        <v>2048700</v>
      </c>
      <c r="AA1825" s="5">
        <v>21</v>
      </c>
      <c r="AB1825" s="5" t="s">
        <v>85</v>
      </c>
      <c r="AC1825" s="5">
        <v>500</v>
      </c>
    </row>
    <row r="1826" spans="1:29" x14ac:dyDescent="0.3">
      <c r="A1826" s="34">
        <v>46274</v>
      </c>
      <c r="B1826" s="34">
        <v>46274</v>
      </c>
      <c r="C1826" s="5" t="s">
        <v>78</v>
      </c>
      <c r="D1826" s="5" t="s">
        <v>79</v>
      </c>
      <c r="E1826" s="5" t="s">
        <v>80</v>
      </c>
      <c r="F1826" s="5">
        <v>756782</v>
      </c>
      <c r="G1826" s="5" t="s">
        <v>5568</v>
      </c>
      <c r="H1826" s="5" t="s">
        <v>5569</v>
      </c>
      <c r="I1826" s="5" t="s">
        <v>212</v>
      </c>
      <c r="N1826" s="5" t="s">
        <v>5570</v>
      </c>
      <c r="O1826" s="5">
        <v>419.05</v>
      </c>
      <c r="P1826" s="5">
        <v>419.05</v>
      </c>
      <c r="Q1826" s="5">
        <v>414.5</v>
      </c>
      <c r="R1826" s="5">
        <v>417.65</v>
      </c>
      <c r="S1826" s="5">
        <v>417</v>
      </c>
      <c r="T1826" s="5">
        <v>418</v>
      </c>
      <c r="V1826" s="5">
        <v>417.65</v>
      </c>
      <c r="Y1826" s="5">
        <v>38015</v>
      </c>
      <c r="Z1826" s="5">
        <v>15801576.699999999</v>
      </c>
      <c r="AA1826" s="5">
        <v>684</v>
      </c>
      <c r="AB1826" s="5" t="s">
        <v>85</v>
      </c>
      <c r="AC1826" s="5">
        <v>1</v>
      </c>
    </row>
    <row r="1827" spans="1:29" x14ac:dyDescent="0.3">
      <c r="A1827" s="34">
        <v>46274</v>
      </c>
      <c r="B1827" s="34">
        <v>46274</v>
      </c>
      <c r="C1827" s="5" t="s">
        <v>78</v>
      </c>
      <c r="D1827" s="5" t="s">
        <v>79</v>
      </c>
      <c r="E1827" s="5" t="s">
        <v>80</v>
      </c>
      <c r="F1827" s="5">
        <v>761192</v>
      </c>
      <c r="G1827" s="5" t="s">
        <v>5571</v>
      </c>
      <c r="H1827" s="5" t="s">
        <v>5572</v>
      </c>
      <c r="I1827" s="5" t="s">
        <v>212</v>
      </c>
      <c r="N1827" s="5" t="s">
        <v>5573</v>
      </c>
      <c r="O1827" s="5">
        <v>1120.2</v>
      </c>
      <c r="P1827" s="5">
        <v>1136.3</v>
      </c>
      <c r="Q1827" s="5">
        <v>1080</v>
      </c>
      <c r="R1827" s="5">
        <v>1087.2</v>
      </c>
      <c r="S1827" s="5">
        <v>1080</v>
      </c>
      <c r="T1827" s="5">
        <v>1111.5999999999999</v>
      </c>
      <c r="V1827" s="5">
        <v>1087.2</v>
      </c>
      <c r="Y1827" s="5">
        <v>79580</v>
      </c>
      <c r="Z1827" s="5">
        <v>87808531.599999994</v>
      </c>
      <c r="AA1827" s="5">
        <v>7403</v>
      </c>
      <c r="AB1827" s="5" t="s">
        <v>85</v>
      </c>
      <c r="AC1827" s="5">
        <v>1</v>
      </c>
    </row>
    <row r="1828" spans="1:29" x14ac:dyDescent="0.3">
      <c r="A1828" s="34">
        <v>46274</v>
      </c>
      <c r="B1828" s="34">
        <v>46274</v>
      </c>
      <c r="C1828" s="5" t="s">
        <v>78</v>
      </c>
      <c r="D1828" s="5" t="s">
        <v>79</v>
      </c>
      <c r="E1828" s="5" t="s">
        <v>80</v>
      </c>
      <c r="F1828" s="5">
        <v>4847</v>
      </c>
      <c r="G1828" s="5" t="s">
        <v>5574</v>
      </c>
      <c r="H1828" s="5" t="s">
        <v>5575</v>
      </c>
      <c r="I1828" s="5" t="s">
        <v>212</v>
      </c>
      <c r="N1828" s="5" t="s">
        <v>5576</v>
      </c>
      <c r="O1828" s="5">
        <v>764.5</v>
      </c>
      <c r="P1828" s="5">
        <v>781.65</v>
      </c>
      <c r="Q1828" s="5">
        <v>759.35</v>
      </c>
      <c r="R1828" s="5">
        <v>761.55</v>
      </c>
      <c r="S1828" s="5">
        <v>765</v>
      </c>
      <c r="T1828" s="5">
        <v>764.5</v>
      </c>
      <c r="V1828" s="5">
        <v>761.57</v>
      </c>
      <c r="Y1828" s="5">
        <v>481002</v>
      </c>
      <c r="Z1828" s="5">
        <v>370052443.05000001</v>
      </c>
      <c r="AA1828" s="5">
        <v>16995</v>
      </c>
      <c r="AB1828" s="5" t="s">
        <v>85</v>
      </c>
      <c r="AC1828" s="5">
        <v>1</v>
      </c>
    </row>
    <row r="1829" spans="1:29" x14ac:dyDescent="0.3">
      <c r="A1829" s="34">
        <v>46274</v>
      </c>
      <c r="B1829" s="34">
        <v>46274</v>
      </c>
      <c r="C1829" s="5" t="s">
        <v>78</v>
      </c>
      <c r="D1829" s="5" t="s">
        <v>79</v>
      </c>
      <c r="E1829" s="5" t="s">
        <v>80</v>
      </c>
      <c r="F1829" s="5">
        <v>6417</v>
      </c>
      <c r="G1829" s="5" t="s">
        <v>5577</v>
      </c>
      <c r="H1829" s="5" t="s">
        <v>5578</v>
      </c>
      <c r="I1829" s="5" t="s">
        <v>212</v>
      </c>
      <c r="N1829" s="5" t="s">
        <v>5579</v>
      </c>
      <c r="O1829" s="5">
        <v>64.349999999999994</v>
      </c>
      <c r="P1829" s="5">
        <v>64.349999999999994</v>
      </c>
      <c r="Q1829" s="5">
        <v>60.6</v>
      </c>
      <c r="R1829" s="5">
        <v>60.95</v>
      </c>
      <c r="S1829" s="5">
        <v>60.93</v>
      </c>
      <c r="T1829" s="5">
        <v>61.27</v>
      </c>
      <c r="V1829" s="5">
        <v>61.14</v>
      </c>
      <c r="Y1829" s="5">
        <v>16043</v>
      </c>
      <c r="Z1829" s="5">
        <v>991027.12</v>
      </c>
      <c r="AA1829" s="5">
        <v>230</v>
      </c>
      <c r="AB1829" s="5" t="s">
        <v>85</v>
      </c>
      <c r="AC1829" s="5">
        <v>1</v>
      </c>
    </row>
    <row r="1830" spans="1:29" x14ac:dyDescent="0.3">
      <c r="A1830" s="34">
        <v>46274</v>
      </c>
      <c r="B1830" s="34">
        <v>46274</v>
      </c>
      <c r="C1830" s="5" t="s">
        <v>78</v>
      </c>
      <c r="D1830" s="5" t="s">
        <v>79</v>
      </c>
      <c r="E1830" s="5" t="s">
        <v>80</v>
      </c>
      <c r="F1830" s="5">
        <v>11432</v>
      </c>
      <c r="G1830" s="5" t="s">
        <v>5580</v>
      </c>
      <c r="H1830" s="5" t="s">
        <v>5581</v>
      </c>
      <c r="I1830" s="5" t="s">
        <v>212</v>
      </c>
      <c r="N1830" s="5" t="s">
        <v>5582</v>
      </c>
      <c r="O1830" s="5">
        <v>83.8</v>
      </c>
      <c r="P1830" s="5">
        <v>84</v>
      </c>
      <c r="Q1830" s="5">
        <v>81.150000000000006</v>
      </c>
      <c r="R1830" s="5">
        <v>82.05</v>
      </c>
      <c r="S1830" s="5">
        <v>81.5</v>
      </c>
      <c r="T1830" s="5">
        <v>82.14</v>
      </c>
      <c r="V1830" s="5">
        <v>82.18</v>
      </c>
      <c r="Y1830" s="5">
        <v>11043</v>
      </c>
      <c r="Z1830" s="5">
        <v>908358.66</v>
      </c>
      <c r="AA1830" s="5">
        <v>189</v>
      </c>
      <c r="AB1830" s="5" t="s">
        <v>85</v>
      </c>
      <c r="AC1830" s="5">
        <v>1</v>
      </c>
    </row>
    <row r="1831" spans="1:29" x14ac:dyDescent="0.3">
      <c r="A1831" s="34">
        <v>46274</v>
      </c>
      <c r="B1831" s="34">
        <v>46274</v>
      </c>
      <c r="C1831" s="5" t="s">
        <v>78</v>
      </c>
      <c r="D1831" s="5" t="s">
        <v>79</v>
      </c>
      <c r="E1831" s="5" t="s">
        <v>80</v>
      </c>
      <c r="F1831" s="5">
        <v>9288</v>
      </c>
      <c r="G1831" s="5" t="s">
        <v>5583</v>
      </c>
      <c r="H1831" s="5" t="s">
        <v>5584</v>
      </c>
      <c r="I1831" s="5" t="s">
        <v>212</v>
      </c>
      <c r="N1831" s="5" t="s">
        <v>5585</v>
      </c>
      <c r="O1831" s="5">
        <v>5.33</v>
      </c>
      <c r="P1831" s="5">
        <v>5.46</v>
      </c>
      <c r="Q1831" s="5">
        <v>5.33</v>
      </c>
      <c r="R1831" s="5">
        <v>5.37</v>
      </c>
      <c r="S1831" s="5">
        <v>5.39</v>
      </c>
      <c r="T1831" s="5">
        <v>5.32</v>
      </c>
      <c r="V1831" s="5">
        <v>5.37</v>
      </c>
      <c r="Y1831" s="5">
        <v>179616</v>
      </c>
      <c r="Z1831" s="5">
        <v>967262.3</v>
      </c>
      <c r="AA1831" s="5">
        <v>441</v>
      </c>
      <c r="AB1831" s="5" t="s">
        <v>85</v>
      </c>
      <c r="AC1831" s="5">
        <v>1</v>
      </c>
    </row>
    <row r="1832" spans="1:29" x14ac:dyDescent="0.3">
      <c r="A1832" s="34">
        <v>46274</v>
      </c>
      <c r="B1832" s="34">
        <v>46274</v>
      </c>
      <c r="C1832" s="5" t="s">
        <v>78</v>
      </c>
      <c r="D1832" s="5" t="s">
        <v>79</v>
      </c>
      <c r="E1832" s="5" t="s">
        <v>80</v>
      </c>
      <c r="F1832" s="5">
        <v>760624</v>
      </c>
      <c r="G1832" s="5" t="s">
        <v>5586</v>
      </c>
      <c r="H1832" s="5" t="s">
        <v>5587</v>
      </c>
      <c r="I1832" s="5" t="s">
        <v>313</v>
      </c>
      <c r="N1832" s="5" t="s">
        <v>5588</v>
      </c>
      <c r="O1832" s="5">
        <v>286</v>
      </c>
      <c r="P1832" s="5">
        <v>288</v>
      </c>
      <c r="Q1832" s="5">
        <v>284</v>
      </c>
      <c r="R1832" s="5">
        <v>285.05</v>
      </c>
      <c r="S1832" s="5">
        <v>285.05</v>
      </c>
      <c r="T1832" s="5">
        <v>289.75</v>
      </c>
      <c r="V1832" s="5">
        <v>285.05</v>
      </c>
      <c r="Y1832" s="5">
        <v>33000</v>
      </c>
      <c r="Z1832" s="5">
        <v>9418450</v>
      </c>
      <c r="AA1832" s="5">
        <v>17</v>
      </c>
      <c r="AB1832" s="5" t="s">
        <v>85</v>
      </c>
      <c r="AC1832" s="5">
        <v>1000</v>
      </c>
    </row>
    <row r="1833" spans="1:29" x14ac:dyDescent="0.3">
      <c r="A1833" s="34">
        <v>46274</v>
      </c>
      <c r="B1833" s="34">
        <v>46274</v>
      </c>
      <c r="C1833" s="5" t="s">
        <v>78</v>
      </c>
      <c r="D1833" s="5" t="s">
        <v>79</v>
      </c>
      <c r="E1833" s="5" t="s">
        <v>80</v>
      </c>
      <c r="F1833" s="5">
        <v>25643</v>
      </c>
      <c r="G1833" s="5" t="s">
        <v>5589</v>
      </c>
      <c r="H1833" s="5" t="s">
        <v>5590</v>
      </c>
      <c r="I1833" s="5" t="s">
        <v>212</v>
      </c>
      <c r="N1833" s="5" t="s">
        <v>5591</v>
      </c>
      <c r="O1833" s="5">
        <v>1668.6</v>
      </c>
      <c r="P1833" s="5">
        <v>1687</v>
      </c>
      <c r="Q1833" s="5">
        <v>1586</v>
      </c>
      <c r="R1833" s="5">
        <v>1597.3</v>
      </c>
      <c r="S1833" s="5">
        <v>1599</v>
      </c>
      <c r="T1833" s="5">
        <v>1660.2</v>
      </c>
      <c r="V1833" s="5">
        <v>1597.42</v>
      </c>
      <c r="Y1833" s="5">
        <v>186811</v>
      </c>
      <c r="Z1833" s="5">
        <v>300866606.30000001</v>
      </c>
      <c r="AA1833" s="5">
        <v>16304</v>
      </c>
      <c r="AB1833" s="5" t="s">
        <v>85</v>
      </c>
      <c r="AC1833" s="5">
        <v>1</v>
      </c>
    </row>
    <row r="1834" spans="1:29" x14ac:dyDescent="0.3">
      <c r="A1834" s="34">
        <v>46274</v>
      </c>
      <c r="B1834" s="34">
        <v>46274</v>
      </c>
      <c r="C1834" s="5" t="s">
        <v>78</v>
      </c>
      <c r="D1834" s="5" t="s">
        <v>79</v>
      </c>
      <c r="E1834" s="5" t="s">
        <v>80</v>
      </c>
      <c r="F1834" s="5">
        <v>24026</v>
      </c>
      <c r="G1834" s="5" t="s">
        <v>5592</v>
      </c>
      <c r="H1834" s="5" t="s">
        <v>5593</v>
      </c>
      <c r="I1834" s="5" t="s">
        <v>234</v>
      </c>
      <c r="N1834" s="5" t="s">
        <v>5594</v>
      </c>
      <c r="O1834" s="5">
        <v>174.81</v>
      </c>
      <c r="P1834" s="5">
        <v>180</v>
      </c>
      <c r="Q1834" s="5">
        <v>166.01</v>
      </c>
      <c r="R1834" s="5">
        <v>172.55</v>
      </c>
      <c r="S1834" s="5">
        <v>174.4</v>
      </c>
      <c r="T1834" s="5">
        <v>174.97</v>
      </c>
      <c r="V1834" s="5">
        <v>172.57</v>
      </c>
      <c r="Y1834" s="5">
        <v>129647</v>
      </c>
      <c r="Z1834" s="5">
        <v>22296694.629999999</v>
      </c>
      <c r="AA1834" s="5">
        <v>1127</v>
      </c>
      <c r="AB1834" s="5" t="s">
        <v>85</v>
      </c>
      <c r="AC1834" s="5">
        <v>1</v>
      </c>
    </row>
    <row r="1835" spans="1:29" x14ac:dyDescent="0.3">
      <c r="A1835" s="34">
        <v>46274</v>
      </c>
      <c r="B1835" s="34">
        <v>46274</v>
      </c>
      <c r="C1835" s="5" t="s">
        <v>78</v>
      </c>
      <c r="D1835" s="5" t="s">
        <v>79</v>
      </c>
      <c r="E1835" s="5" t="s">
        <v>80</v>
      </c>
      <c r="F1835" s="5">
        <v>25252</v>
      </c>
      <c r="G1835" s="5" t="s">
        <v>5595</v>
      </c>
      <c r="H1835" s="5" t="s">
        <v>5596</v>
      </c>
      <c r="I1835" s="5" t="s">
        <v>212</v>
      </c>
      <c r="N1835" s="5" t="s">
        <v>5597</v>
      </c>
      <c r="O1835" s="5">
        <v>211</v>
      </c>
      <c r="P1835" s="5">
        <v>220.9</v>
      </c>
      <c r="Q1835" s="5">
        <v>208.91</v>
      </c>
      <c r="R1835" s="5">
        <v>219.67</v>
      </c>
      <c r="S1835" s="5">
        <v>220</v>
      </c>
      <c r="T1835" s="5">
        <v>211.28</v>
      </c>
      <c r="V1835" s="5">
        <v>219.67</v>
      </c>
      <c r="Y1835" s="5">
        <v>793389</v>
      </c>
      <c r="Z1835" s="5">
        <v>172107362.31</v>
      </c>
      <c r="AA1835" s="5">
        <v>11678</v>
      </c>
      <c r="AB1835" s="5" t="s">
        <v>85</v>
      </c>
      <c r="AC1835" s="5">
        <v>1</v>
      </c>
    </row>
    <row r="1836" spans="1:29" x14ac:dyDescent="0.3">
      <c r="A1836" s="34">
        <v>46274</v>
      </c>
      <c r="B1836" s="34">
        <v>46274</v>
      </c>
      <c r="C1836" s="5" t="s">
        <v>78</v>
      </c>
      <c r="D1836" s="5" t="s">
        <v>79</v>
      </c>
      <c r="E1836" s="5" t="s">
        <v>80</v>
      </c>
      <c r="F1836" s="5">
        <v>5359</v>
      </c>
      <c r="G1836" s="5" t="s">
        <v>5598</v>
      </c>
      <c r="H1836" s="5" t="s">
        <v>5599</v>
      </c>
      <c r="I1836" s="5" t="s">
        <v>212</v>
      </c>
      <c r="N1836" s="5" t="s">
        <v>5600</v>
      </c>
      <c r="O1836" s="5">
        <v>546</v>
      </c>
      <c r="P1836" s="5">
        <v>565</v>
      </c>
      <c r="Q1836" s="5">
        <v>542.54999999999995</v>
      </c>
      <c r="R1836" s="5">
        <v>560.95000000000005</v>
      </c>
      <c r="S1836" s="5">
        <v>561.1</v>
      </c>
      <c r="T1836" s="5">
        <v>546.15</v>
      </c>
      <c r="V1836" s="5">
        <v>560.94000000000005</v>
      </c>
      <c r="Y1836" s="5">
        <v>114869</v>
      </c>
      <c r="Z1836" s="5">
        <v>64161367.200000003</v>
      </c>
      <c r="AA1836" s="5">
        <v>3876</v>
      </c>
      <c r="AB1836" s="5" t="s">
        <v>85</v>
      </c>
      <c r="AC1836" s="5">
        <v>1</v>
      </c>
    </row>
    <row r="1837" spans="1:29" x14ac:dyDescent="0.3">
      <c r="A1837" s="34">
        <v>46274</v>
      </c>
      <c r="B1837" s="34">
        <v>46274</v>
      </c>
      <c r="C1837" s="5" t="s">
        <v>78</v>
      </c>
      <c r="D1837" s="5" t="s">
        <v>79</v>
      </c>
      <c r="E1837" s="5" t="s">
        <v>80</v>
      </c>
      <c r="F1837" s="5">
        <v>23175</v>
      </c>
      <c r="G1837" s="5" t="s">
        <v>5601</v>
      </c>
      <c r="H1837" s="5" t="s">
        <v>5602</v>
      </c>
      <c r="I1837" s="5" t="s">
        <v>212</v>
      </c>
      <c r="N1837" s="5" t="s">
        <v>5603</v>
      </c>
      <c r="O1837" s="5">
        <v>658</v>
      </c>
      <c r="P1837" s="5">
        <v>667.65</v>
      </c>
      <c r="Q1837" s="5">
        <v>629.9</v>
      </c>
      <c r="R1837" s="5">
        <v>634.25</v>
      </c>
      <c r="S1837" s="5">
        <v>629.9</v>
      </c>
      <c r="T1837" s="5">
        <v>663.95</v>
      </c>
      <c r="V1837" s="5">
        <v>634.25</v>
      </c>
      <c r="Y1837" s="5">
        <v>22132</v>
      </c>
      <c r="Z1837" s="5">
        <v>14130091.5</v>
      </c>
      <c r="AA1837" s="5">
        <v>1156</v>
      </c>
      <c r="AB1837" s="5" t="s">
        <v>85</v>
      </c>
      <c r="AC1837" s="5">
        <v>1</v>
      </c>
    </row>
    <row r="1838" spans="1:29" x14ac:dyDescent="0.3">
      <c r="A1838" s="34">
        <v>46274</v>
      </c>
      <c r="B1838" s="34">
        <v>46274</v>
      </c>
      <c r="C1838" s="5" t="s">
        <v>78</v>
      </c>
      <c r="D1838" s="5" t="s">
        <v>79</v>
      </c>
      <c r="E1838" s="5" t="s">
        <v>80</v>
      </c>
      <c r="F1838" s="5">
        <v>1949</v>
      </c>
      <c r="G1838" s="5" t="s">
        <v>5604</v>
      </c>
      <c r="H1838" s="5" t="s">
        <v>5605</v>
      </c>
      <c r="I1838" s="5" t="s">
        <v>212</v>
      </c>
      <c r="N1838" s="5" t="s">
        <v>5606</v>
      </c>
      <c r="O1838" s="5">
        <v>824.05</v>
      </c>
      <c r="P1838" s="5">
        <v>828</v>
      </c>
      <c r="Q1838" s="5">
        <v>804.7</v>
      </c>
      <c r="R1838" s="5">
        <v>806.7</v>
      </c>
      <c r="S1838" s="5">
        <v>806</v>
      </c>
      <c r="T1838" s="5">
        <v>824.05</v>
      </c>
      <c r="V1838" s="5">
        <v>806.71</v>
      </c>
      <c r="Y1838" s="5">
        <v>106837</v>
      </c>
      <c r="Z1838" s="5">
        <v>86881932.799999997</v>
      </c>
      <c r="AA1838" s="5">
        <v>6724</v>
      </c>
      <c r="AB1838" s="5" t="s">
        <v>85</v>
      </c>
      <c r="AC1838" s="5">
        <v>1</v>
      </c>
    </row>
    <row r="1839" spans="1:29" x14ac:dyDescent="0.3">
      <c r="A1839" s="34">
        <v>46274</v>
      </c>
      <c r="B1839" s="34">
        <v>46274</v>
      </c>
      <c r="C1839" s="5" t="s">
        <v>78</v>
      </c>
      <c r="D1839" s="5" t="s">
        <v>79</v>
      </c>
      <c r="E1839" s="5" t="s">
        <v>80</v>
      </c>
      <c r="F1839" s="5">
        <v>764753</v>
      </c>
      <c r="G1839" s="5" t="s">
        <v>5607</v>
      </c>
      <c r="H1839" s="5" t="s">
        <v>5608</v>
      </c>
      <c r="I1839" s="5" t="s">
        <v>212</v>
      </c>
      <c r="N1839" s="5" t="s">
        <v>5609</v>
      </c>
      <c r="O1839" s="5">
        <v>181.99</v>
      </c>
      <c r="P1839" s="5">
        <v>181.99</v>
      </c>
      <c r="Q1839" s="5">
        <v>176.11</v>
      </c>
      <c r="R1839" s="5">
        <v>177.85</v>
      </c>
      <c r="S1839" s="5">
        <v>178</v>
      </c>
      <c r="T1839" s="5">
        <v>178.95</v>
      </c>
      <c r="V1839" s="5">
        <v>177.82</v>
      </c>
      <c r="Y1839" s="5">
        <v>14563</v>
      </c>
      <c r="Z1839" s="5">
        <v>2594396.4</v>
      </c>
      <c r="AA1839" s="5">
        <v>275</v>
      </c>
      <c r="AB1839" s="5" t="s">
        <v>85</v>
      </c>
      <c r="AC1839" s="5">
        <v>1</v>
      </c>
    </row>
    <row r="1840" spans="1:29" x14ac:dyDescent="0.3">
      <c r="A1840" s="34">
        <v>46274</v>
      </c>
      <c r="B1840" s="34">
        <v>46274</v>
      </c>
      <c r="C1840" s="5" t="s">
        <v>78</v>
      </c>
      <c r="D1840" s="5" t="s">
        <v>79</v>
      </c>
      <c r="E1840" s="5" t="s">
        <v>80</v>
      </c>
      <c r="F1840" s="5">
        <v>760433</v>
      </c>
      <c r="G1840" s="5" t="s">
        <v>5610</v>
      </c>
      <c r="H1840" s="5" t="s">
        <v>5611</v>
      </c>
      <c r="I1840" s="5" t="s">
        <v>212</v>
      </c>
      <c r="N1840" s="5" t="s">
        <v>5612</v>
      </c>
      <c r="O1840" s="5">
        <v>1190.2</v>
      </c>
      <c r="P1840" s="5">
        <v>1198</v>
      </c>
      <c r="Q1840" s="5">
        <v>1128.5</v>
      </c>
      <c r="R1840" s="5">
        <v>1152.05</v>
      </c>
      <c r="S1840" s="5">
        <v>1149</v>
      </c>
      <c r="T1840" s="5">
        <v>1176.75</v>
      </c>
      <c r="V1840" s="5">
        <v>1152.1099999999999</v>
      </c>
      <c r="Y1840" s="5">
        <v>300648</v>
      </c>
      <c r="Z1840" s="5">
        <v>347738321.55000001</v>
      </c>
      <c r="AA1840" s="5">
        <v>32753</v>
      </c>
      <c r="AB1840" s="5" t="s">
        <v>85</v>
      </c>
      <c r="AC1840" s="5">
        <v>1</v>
      </c>
    </row>
    <row r="1841" spans="1:29" x14ac:dyDescent="0.3">
      <c r="A1841" s="34">
        <v>46274</v>
      </c>
      <c r="B1841" s="34">
        <v>46274</v>
      </c>
      <c r="C1841" s="5" t="s">
        <v>78</v>
      </c>
      <c r="D1841" s="5" t="s">
        <v>79</v>
      </c>
      <c r="E1841" s="5" t="s">
        <v>80</v>
      </c>
      <c r="F1841" s="5">
        <v>10407</v>
      </c>
      <c r="G1841" s="5" t="s">
        <v>5613</v>
      </c>
      <c r="H1841" s="5" t="s">
        <v>5614</v>
      </c>
      <c r="I1841" s="5" t="s">
        <v>212</v>
      </c>
      <c r="N1841" s="5" t="s">
        <v>5615</v>
      </c>
      <c r="O1841" s="5">
        <v>3.62</v>
      </c>
      <c r="P1841" s="5">
        <v>3.76</v>
      </c>
      <c r="Q1841" s="5">
        <v>3.44</v>
      </c>
      <c r="R1841" s="5">
        <v>3.44</v>
      </c>
      <c r="S1841" s="5">
        <v>3.44</v>
      </c>
      <c r="T1841" s="5">
        <v>3.62</v>
      </c>
      <c r="V1841" s="5">
        <v>3.44</v>
      </c>
      <c r="Y1841" s="5">
        <v>1924521</v>
      </c>
      <c r="Z1841" s="5">
        <v>6752325.4900000002</v>
      </c>
      <c r="AA1841" s="5">
        <v>1231</v>
      </c>
      <c r="AB1841" s="5" t="s">
        <v>85</v>
      </c>
      <c r="AC1841" s="5">
        <v>1</v>
      </c>
    </row>
    <row r="1842" spans="1:29" x14ac:dyDescent="0.3">
      <c r="A1842" s="34">
        <v>46274</v>
      </c>
      <c r="B1842" s="34">
        <v>46274</v>
      </c>
      <c r="C1842" s="5" t="s">
        <v>78</v>
      </c>
      <c r="D1842" s="5" t="s">
        <v>79</v>
      </c>
      <c r="E1842" s="5" t="s">
        <v>80</v>
      </c>
      <c r="F1842" s="5">
        <v>11060</v>
      </c>
      <c r="G1842" s="5" t="s">
        <v>5616</v>
      </c>
      <c r="H1842" s="5" t="s">
        <v>5617</v>
      </c>
      <c r="I1842" s="5" t="s">
        <v>212</v>
      </c>
      <c r="N1842" s="5" t="s">
        <v>5618</v>
      </c>
      <c r="O1842" s="5">
        <v>265</v>
      </c>
      <c r="P1842" s="5">
        <v>271.8</v>
      </c>
      <c r="Q1842" s="5">
        <v>265</v>
      </c>
      <c r="R1842" s="5">
        <v>269.45</v>
      </c>
      <c r="S1842" s="5">
        <v>269.95</v>
      </c>
      <c r="T1842" s="5">
        <v>268.2</v>
      </c>
      <c r="V1842" s="5">
        <v>269.39</v>
      </c>
      <c r="Y1842" s="5">
        <v>27480</v>
      </c>
      <c r="Z1842" s="5">
        <v>7385628.0999999996</v>
      </c>
      <c r="AA1842" s="5">
        <v>1129</v>
      </c>
      <c r="AB1842" s="5" t="s">
        <v>85</v>
      </c>
      <c r="AC1842" s="5">
        <v>1</v>
      </c>
    </row>
    <row r="1843" spans="1:29" x14ac:dyDescent="0.3">
      <c r="A1843" s="34">
        <v>46274</v>
      </c>
      <c r="B1843" s="34">
        <v>46274</v>
      </c>
      <c r="C1843" s="5" t="s">
        <v>78</v>
      </c>
      <c r="D1843" s="5" t="s">
        <v>79</v>
      </c>
      <c r="E1843" s="5" t="s">
        <v>80</v>
      </c>
      <c r="F1843" s="5">
        <v>759987</v>
      </c>
      <c r="G1843" s="5" t="s">
        <v>5619</v>
      </c>
      <c r="H1843" s="5" t="s">
        <v>5620</v>
      </c>
      <c r="I1843" s="5" t="s">
        <v>212</v>
      </c>
      <c r="N1843" s="5" t="s">
        <v>5621</v>
      </c>
      <c r="O1843" s="5">
        <v>38.1</v>
      </c>
      <c r="P1843" s="5">
        <v>39.19</v>
      </c>
      <c r="Q1843" s="5">
        <v>36.53</v>
      </c>
      <c r="R1843" s="5">
        <v>39.19</v>
      </c>
      <c r="S1843" s="5">
        <v>39.19</v>
      </c>
      <c r="T1843" s="5">
        <v>37.33</v>
      </c>
      <c r="V1843" s="5">
        <v>39.270000000000003</v>
      </c>
      <c r="Y1843" s="5">
        <v>164524</v>
      </c>
      <c r="Z1843" s="5">
        <v>6409249.8200000003</v>
      </c>
      <c r="AA1843" s="5">
        <v>1134</v>
      </c>
      <c r="AB1843" s="5" t="s">
        <v>85</v>
      </c>
      <c r="AC1843" s="5">
        <v>1</v>
      </c>
    </row>
    <row r="1844" spans="1:29" x14ac:dyDescent="0.3">
      <c r="A1844" s="34">
        <v>46274</v>
      </c>
      <c r="B1844" s="34">
        <v>46274</v>
      </c>
      <c r="C1844" s="5" t="s">
        <v>78</v>
      </c>
      <c r="D1844" s="5" t="s">
        <v>79</v>
      </c>
      <c r="E1844" s="5" t="s">
        <v>80</v>
      </c>
      <c r="F1844" s="5">
        <v>13870</v>
      </c>
      <c r="G1844" s="5" t="s">
        <v>5622</v>
      </c>
      <c r="H1844" s="5" t="s">
        <v>5623</v>
      </c>
      <c r="I1844" s="5" t="s">
        <v>212</v>
      </c>
      <c r="N1844" s="5" t="s">
        <v>5624</v>
      </c>
      <c r="O1844" s="5">
        <v>77.930000000000007</v>
      </c>
      <c r="P1844" s="5">
        <v>78.44</v>
      </c>
      <c r="Q1844" s="5">
        <v>75</v>
      </c>
      <c r="R1844" s="5">
        <v>75.61</v>
      </c>
      <c r="S1844" s="5">
        <v>75</v>
      </c>
      <c r="T1844" s="5">
        <v>77.92</v>
      </c>
      <c r="V1844" s="5">
        <v>75.61</v>
      </c>
      <c r="Y1844" s="5">
        <v>76052</v>
      </c>
      <c r="Z1844" s="5">
        <v>5796738.96</v>
      </c>
      <c r="AA1844" s="5">
        <v>1410</v>
      </c>
      <c r="AB1844" s="5" t="s">
        <v>85</v>
      </c>
      <c r="AC1844" s="5">
        <v>1</v>
      </c>
    </row>
    <row r="1845" spans="1:29" x14ac:dyDescent="0.3">
      <c r="A1845" s="34">
        <v>46274</v>
      </c>
      <c r="B1845" s="34">
        <v>46274</v>
      </c>
      <c r="C1845" s="5" t="s">
        <v>78</v>
      </c>
      <c r="D1845" s="5" t="s">
        <v>79</v>
      </c>
      <c r="E1845" s="5" t="s">
        <v>80</v>
      </c>
      <c r="F1845" s="5">
        <v>764116</v>
      </c>
      <c r="G1845" s="5" t="s">
        <v>5625</v>
      </c>
      <c r="H1845" s="5" t="s">
        <v>5626</v>
      </c>
      <c r="I1845" s="5" t="s">
        <v>212</v>
      </c>
      <c r="N1845" s="5" t="s">
        <v>5627</v>
      </c>
      <c r="O1845" s="5">
        <v>565.1</v>
      </c>
      <c r="P1845" s="5">
        <v>573.95000000000005</v>
      </c>
      <c r="Q1845" s="5">
        <v>562.25</v>
      </c>
      <c r="R1845" s="5">
        <v>564.15</v>
      </c>
      <c r="S1845" s="5">
        <v>565</v>
      </c>
      <c r="T1845" s="5">
        <v>565.79999999999995</v>
      </c>
      <c r="V1845" s="5">
        <v>564.15</v>
      </c>
      <c r="Y1845" s="5">
        <v>142624</v>
      </c>
      <c r="Z1845" s="5">
        <v>80974236.5</v>
      </c>
      <c r="AA1845" s="5">
        <v>6966</v>
      </c>
      <c r="AB1845" s="5" t="s">
        <v>85</v>
      </c>
      <c r="AC1845" s="5">
        <v>1</v>
      </c>
    </row>
    <row r="1846" spans="1:29" x14ac:dyDescent="0.3">
      <c r="A1846" s="34">
        <v>46274</v>
      </c>
      <c r="B1846" s="34">
        <v>46274</v>
      </c>
      <c r="C1846" s="5" t="s">
        <v>78</v>
      </c>
      <c r="D1846" s="5" t="s">
        <v>79</v>
      </c>
      <c r="E1846" s="5" t="s">
        <v>80</v>
      </c>
      <c r="F1846" s="5">
        <v>762757</v>
      </c>
      <c r="G1846" s="5" t="s">
        <v>5628</v>
      </c>
      <c r="H1846" s="5" t="s">
        <v>5629</v>
      </c>
      <c r="I1846" s="5" t="s">
        <v>212</v>
      </c>
      <c r="N1846" s="5" t="s">
        <v>5630</v>
      </c>
      <c r="O1846" s="5">
        <v>3678.9</v>
      </c>
      <c r="P1846" s="5">
        <v>3798.9</v>
      </c>
      <c r="Q1846" s="5">
        <v>3552.5</v>
      </c>
      <c r="R1846" s="5">
        <v>3577</v>
      </c>
      <c r="S1846" s="5">
        <v>3569.9</v>
      </c>
      <c r="T1846" s="5">
        <v>3661.4</v>
      </c>
      <c r="V1846" s="5">
        <v>3577.41</v>
      </c>
      <c r="Y1846" s="5">
        <v>42952</v>
      </c>
      <c r="Z1846" s="5">
        <v>156845032.90000001</v>
      </c>
      <c r="AA1846" s="5">
        <v>6824</v>
      </c>
      <c r="AB1846" s="5" t="s">
        <v>85</v>
      </c>
      <c r="AC1846" s="5">
        <v>1</v>
      </c>
    </row>
    <row r="1847" spans="1:29" x14ac:dyDescent="0.3">
      <c r="A1847" s="34">
        <v>46274</v>
      </c>
      <c r="B1847" s="34">
        <v>46274</v>
      </c>
      <c r="C1847" s="5" t="s">
        <v>78</v>
      </c>
      <c r="D1847" s="5" t="s">
        <v>79</v>
      </c>
      <c r="E1847" s="5" t="s">
        <v>80</v>
      </c>
      <c r="F1847" s="5">
        <v>760946</v>
      </c>
      <c r="G1847" s="5" t="s">
        <v>5631</v>
      </c>
      <c r="H1847" s="5" t="s">
        <v>5632</v>
      </c>
      <c r="I1847" s="5" t="s">
        <v>212</v>
      </c>
      <c r="N1847" s="5" t="s">
        <v>5633</v>
      </c>
      <c r="O1847" s="5">
        <v>41.07</v>
      </c>
      <c r="P1847" s="5">
        <v>41.45</v>
      </c>
      <c r="Q1847" s="5">
        <v>40.33</v>
      </c>
      <c r="R1847" s="5">
        <v>40.840000000000003</v>
      </c>
      <c r="S1847" s="5">
        <v>40.799999999999997</v>
      </c>
      <c r="T1847" s="5">
        <v>41.48</v>
      </c>
      <c r="V1847" s="5">
        <v>40.840000000000003</v>
      </c>
      <c r="Y1847" s="5">
        <v>7073441</v>
      </c>
      <c r="Z1847" s="5">
        <v>288488622.94</v>
      </c>
      <c r="AA1847" s="5">
        <v>17558</v>
      </c>
      <c r="AB1847" s="5" t="s">
        <v>85</v>
      </c>
      <c r="AC1847" s="5">
        <v>1</v>
      </c>
    </row>
    <row r="1848" spans="1:29" x14ac:dyDescent="0.3">
      <c r="A1848" s="34">
        <v>46274</v>
      </c>
      <c r="B1848" s="34">
        <v>46274</v>
      </c>
      <c r="C1848" s="5" t="s">
        <v>78</v>
      </c>
      <c r="D1848" s="5" t="s">
        <v>79</v>
      </c>
      <c r="E1848" s="5" t="s">
        <v>80</v>
      </c>
      <c r="F1848" s="5">
        <v>765100</v>
      </c>
      <c r="G1848" s="5" t="s">
        <v>5634</v>
      </c>
      <c r="H1848" s="5" t="s">
        <v>5635</v>
      </c>
      <c r="I1848" s="5" t="s">
        <v>212</v>
      </c>
      <c r="N1848" s="5" t="s">
        <v>5636</v>
      </c>
      <c r="O1848" s="5">
        <v>14.86</v>
      </c>
      <c r="P1848" s="5">
        <v>15.9</v>
      </c>
      <c r="Q1848" s="5">
        <v>14.86</v>
      </c>
      <c r="R1848" s="5">
        <v>15.84</v>
      </c>
      <c r="S1848" s="5">
        <v>15.86</v>
      </c>
      <c r="T1848" s="5">
        <v>15.35</v>
      </c>
      <c r="V1848" s="5">
        <v>15.75</v>
      </c>
      <c r="Y1848" s="5">
        <v>20009</v>
      </c>
      <c r="Z1848" s="5">
        <v>311034.46000000002</v>
      </c>
      <c r="AA1848" s="5">
        <v>122</v>
      </c>
      <c r="AB1848" s="5" t="s">
        <v>85</v>
      </c>
      <c r="AC1848" s="5">
        <v>1</v>
      </c>
    </row>
    <row r="1849" spans="1:29" x14ac:dyDescent="0.3">
      <c r="A1849" s="34">
        <v>46274</v>
      </c>
      <c r="B1849" s="34">
        <v>46274</v>
      </c>
      <c r="C1849" s="5" t="s">
        <v>78</v>
      </c>
      <c r="D1849" s="5" t="s">
        <v>79</v>
      </c>
      <c r="E1849" s="5" t="s">
        <v>80</v>
      </c>
      <c r="F1849" s="5">
        <v>24948</v>
      </c>
      <c r="G1849" s="5" t="s">
        <v>5637</v>
      </c>
      <c r="H1849" s="5" t="s">
        <v>5638</v>
      </c>
      <c r="I1849" s="5" t="s">
        <v>212</v>
      </c>
      <c r="N1849" s="5" t="s">
        <v>5639</v>
      </c>
      <c r="O1849" s="5">
        <v>307.89999999999998</v>
      </c>
      <c r="P1849" s="5">
        <v>314.39999999999998</v>
      </c>
      <c r="Q1849" s="5">
        <v>307</v>
      </c>
      <c r="R1849" s="5">
        <v>310.39999999999998</v>
      </c>
      <c r="S1849" s="5">
        <v>310.39999999999998</v>
      </c>
      <c r="T1849" s="5">
        <v>308.3</v>
      </c>
      <c r="V1849" s="5">
        <v>310.39999999999998</v>
      </c>
      <c r="Y1849" s="5">
        <v>2989428</v>
      </c>
      <c r="Z1849" s="5">
        <v>930966115.35000002</v>
      </c>
      <c r="AA1849" s="5">
        <v>26372</v>
      </c>
      <c r="AB1849" s="5" t="s">
        <v>85</v>
      </c>
      <c r="AC1849" s="5">
        <v>1</v>
      </c>
    </row>
    <row r="1850" spans="1:29" x14ac:dyDescent="0.3">
      <c r="A1850" s="34">
        <v>46274</v>
      </c>
      <c r="B1850" s="34">
        <v>46274</v>
      </c>
      <c r="C1850" s="5" t="s">
        <v>78</v>
      </c>
      <c r="D1850" s="5" t="s">
        <v>79</v>
      </c>
      <c r="E1850" s="5" t="s">
        <v>80</v>
      </c>
      <c r="F1850" s="5">
        <v>18564</v>
      </c>
      <c r="G1850" s="5" t="s">
        <v>5640</v>
      </c>
      <c r="H1850" s="5" t="s">
        <v>5641</v>
      </c>
      <c r="I1850" s="5" t="s">
        <v>212</v>
      </c>
      <c r="N1850" s="5" t="s">
        <v>5642</v>
      </c>
      <c r="O1850" s="5">
        <v>3375</v>
      </c>
      <c r="P1850" s="5">
        <v>3375</v>
      </c>
      <c r="Q1850" s="5">
        <v>3326.1</v>
      </c>
      <c r="R1850" s="5">
        <v>3364</v>
      </c>
      <c r="S1850" s="5">
        <v>3367</v>
      </c>
      <c r="T1850" s="5">
        <v>3389.1</v>
      </c>
      <c r="V1850" s="5">
        <v>3363.9</v>
      </c>
      <c r="Y1850" s="5">
        <v>52404</v>
      </c>
      <c r="Z1850" s="5">
        <v>176074735.90000001</v>
      </c>
      <c r="AA1850" s="5">
        <v>11907</v>
      </c>
      <c r="AB1850" s="5" t="s">
        <v>85</v>
      </c>
      <c r="AC1850" s="5">
        <v>1</v>
      </c>
    </row>
    <row r="1851" spans="1:29" x14ac:dyDescent="0.3">
      <c r="A1851" s="34">
        <v>46274</v>
      </c>
      <c r="B1851" s="34">
        <v>46274</v>
      </c>
      <c r="C1851" s="5" t="s">
        <v>78</v>
      </c>
      <c r="D1851" s="5" t="s">
        <v>79</v>
      </c>
      <c r="E1851" s="5" t="s">
        <v>80</v>
      </c>
      <c r="F1851" s="5">
        <v>14423</v>
      </c>
      <c r="G1851" s="5" t="s">
        <v>5643</v>
      </c>
      <c r="H1851" s="5" t="s">
        <v>5644</v>
      </c>
      <c r="I1851" s="5" t="s">
        <v>212</v>
      </c>
      <c r="N1851" s="5" t="s">
        <v>5645</v>
      </c>
      <c r="O1851" s="5">
        <v>170.59</v>
      </c>
      <c r="P1851" s="5">
        <v>170.97</v>
      </c>
      <c r="Q1851" s="5">
        <v>166.81</v>
      </c>
      <c r="R1851" s="5">
        <v>167.46</v>
      </c>
      <c r="S1851" s="5">
        <v>168</v>
      </c>
      <c r="T1851" s="5">
        <v>169.92</v>
      </c>
      <c r="V1851" s="5">
        <v>167.46</v>
      </c>
      <c r="Y1851" s="5">
        <v>103970</v>
      </c>
      <c r="Z1851" s="5">
        <v>17508339.050000001</v>
      </c>
      <c r="AA1851" s="5">
        <v>2683</v>
      </c>
      <c r="AB1851" s="5" t="s">
        <v>85</v>
      </c>
      <c r="AC1851" s="5">
        <v>1</v>
      </c>
    </row>
    <row r="1852" spans="1:29" x14ac:dyDescent="0.3">
      <c r="A1852" s="34">
        <v>46274</v>
      </c>
      <c r="B1852" s="34">
        <v>46274</v>
      </c>
      <c r="C1852" s="5" t="s">
        <v>78</v>
      </c>
      <c r="D1852" s="5" t="s">
        <v>79</v>
      </c>
      <c r="E1852" s="5" t="s">
        <v>80</v>
      </c>
      <c r="F1852" s="5">
        <v>764758</v>
      </c>
      <c r="G1852" s="5" t="s">
        <v>5646</v>
      </c>
      <c r="H1852" s="5" t="s">
        <v>5647</v>
      </c>
      <c r="I1852" s="5" t="s">
        <v>212</v>
      </c>
      <c r="N1852" s="5" t="s">
        <v>5648</v>
      </c>
      <c r="O1852" s="5">
        <v>45.85</v>
      </c>
      <c r="P1852" s="5">
        <v>54.22</v>
      </c>
      <c r="Q1852" s="5">
        <v>45.85</v>
      </c>
      <c r="R1852" s="5">
        <v>51.61</v>
      </c>
      <c r="S1852" s="5">
        <v>51.79</v>
      </c>
      <c r="T1852" s="5">
        <v>45.19</v>
      </c>
      <c r="V1852" s="5">
        <v>51.61</v>
      </c>
      <c r="Y1852" s="5">
        <v>11637</v>
      </c>
      <c r="Z1852" s="5">
        <v>599571.73</v>
      </c>
      <c r="AA1852" s="5">
        <v>196</v>
      </c>
      <c r="AB1852" s="5" t="s">
        <v>85</v>
      </c>
      <c r="AC1852" s="5">
        <v>1</v>
      </c>
    </row>
    <row r="1853" spans="1:29" x14ac:dyDescent="0.3">
      <c r="A1853" s="34">
        <v>46274</v>
      </c>
      <c r="B1853" s="34">
        <v>46274</v>
      </c>
      <c r="C1853" s="5" t="s">
        <v>78</v>
      </c>
      <c r="D1853" s="5" t="s">
        <v>79</v>
      </c>
      <c r="E1853" s="5" t="s">
        <v>80</v>
      </c>
      <c r="F1853" s="5">
        <v>5865</v>
      </c>
      <c r="G1853" s="5" t="s">
        <v>5649</v>
      </c>
      <c r="H1853" s="5" t="s">
        <v>5650</v>
      </c>
      <c r="I1853" s="5" t="s">
        <v>212</v>
      </c>
      <c r="N1853" s="5" t="s">
        <v>5651</v>
      </c>
      <c r="O1853" s="5">
        <v>75.989999999999995</v>
      </c>
      <c r="P1853" s="5">
        <v>76</v>
      </c>
      <c r="Q1853" s="5">
        <v>73</v>
      </c>
      <c r="R1853" s="5">
        <v>74.53</v>
      </c>
      <c r="S1853" s="5">
        <v>74.53</v>
      </c>
      <c r="T1853" s="5">
        <v>74.510000000000005</v>
      </c>
      <c r="V1853" s="5">
        <v>74.53</v>
      </c>
      <c r="Y1853" s="5">
        <v>3263</v>
      </c>
      <c r="Z1853" s="5">
        <v>243196.51</v>
      </c>
      <c r="AA1853" s="5">
        <v>51</v>
      </c>
      <c r="AB1853" s="5" t="s">
        <v>85</v>
      </c>
      <c r="AC1853" s="5">
        <v>1</v>
      </c>
    </row>
    <row r="1854" spans="1:29" x14ac:dyDescent="0.3">
      <c r="A1854" s="34">
        <v>46274</v>
      </c>
      <c r="B1854" s="34">
        <v>46274</v>
      </c>
      <c r="C1854" s="5" t="s">
        <v>78</v>
      </c>
      <c r="D1854" s="5" t="s">
        <v>79</v>
      </c>
      <c r="E1854" s="5" t="s">
        <v>80</v>
      </c>
      <c r="F1854" s="5">
        <v>762762</v>
      </c>
      <c r="G1854" s="5" t="s">
        <v>5652</v>
      </c>
      <c r="H1854" s="5" t="s">
        <v>5653</v>
      </c>
      <c r="I1854" s="5" t="s">
        <v>212</v>
      </c>
      <c r="N1854" s="5" t="s">
        <v>5654</v>
      </c>
      <c r="O1854" s="5">
        <v>41.04</v>
      </c>
      <c r="P1854" s="5">
        <v>42.59</v>
      </c>
      <c r="Q1854" s="5">
        <v>41.04</v>
      </c>
      <c r="R1854" s="5">
        <v>41.37</v>
      </c>
      <c r="S1854" s="5">
        <v>41.13</v>
      </c>
      <c r="T1854" s="5">
        <v>41.38</v>
      </c>
      <c r="V1854" s="5">
        <v>41.51</v>
      </c>
      <c r="Y1854" s="5">
        <v>7847</v>
      </c>
      <c r="Z1854" s="5">
        <v>326564.47999999998</v>
      </c>
      <c r="AA1854" s="5">
        <v>90</v>
      </c>
      <c r="AB1854" s="5" t="s">
        <v>85</v>
      </c>
      <c r="AC1854" s="5">
        <v>1</v>
      </c>
    </row>
    <row r="1855" spans="1:29" x14ac:dyDescent="0.3">
      <c r="A1855" s="34">
        <v>46274</v>
      </c>
      <c r="B1855" s="34">
        <v>46274</v>
      </c>
      <c r="C1855" s="5" t="s">
        <v>78</v>
      </c>
      <c r="D1855" s="5" t="s">
        <v>79</v>
      </c>
      <c r="E1855" s="5" t="s">
        <v>80</v>
      </c>
      <c r="F1855" s="5">
        <v>7902</v>
      </c>
      <c r="G1855" s="5" t="s">
        <v>5655</v>
      </c>
      <c r="H1855" s="5" t="s">
        <v>5656</v>
      </c>
      <c r="I1855" s="5" t="s">
        <v>212</v>
      </c>
      <c r="N1855" s="5" t="s">
        <v>5657</v>
      </c>
      <c r="O1855" s="5">
        <v>139.99</v>
      </c>
      <c r="P1855" s="5">
        <v>166.98</v>
      </c>
      <c r="Q1855" s="5">
        <v>139.65</v>
      </c>
      <c r="R1855" s="5">
        <v>152.52000000000001</v>
      </c>
      <c r="S1855" s="5">
        <v>153.49</v>
      </c>
      <c r="T1855" s="5">
        <v>139.65</v>
      </c>
      <c r="V1855" s="5">
        <v>152.52000000000001</v>
      </c>
      <c r="Y1855" s="5">
        <v>189187</v>
      </c>
      <c r="Z1855" s="5">
        <v>29930862.84</v>
      </c>
      <c r="AA1855" s="5">
        <v>2864</v>
      </c>
      <c r="AB1855" s="5" t="s">
        <v>85</v>
      </c>
      <c r="AC1855" s="5">
        <v>1</v>
      </c>
    </row>
    <row r="1856" spans="1:29" x14ac:dyDescent="0.3">
      <c r="A1856" s="34">
        <v>46274</v>
      </c>
      <c r="B1856" s="34">
        <v>46274</v>
      </c>
      <c r="C1856" s="5" t="s">
        <v>78</v>
      </c>
      <c r="D1856" s="5" t="s">
        <v>79</v>
      </c>
      <c r="E1856" s="5" t="s">
        <v>80</v>
      </c>
      <c r="F1856" s="5">
        <v>764763</v>
      </c>
      <c r="G1856" s="5" t="s">
        <v>5658</v>
      </c>
      <c r="H1856" s="5" t="s">
        <v>5659</v>
      </c>
      <c r="I1856" s="5" t="s">
        <v>212</v>
      </c>
      <c r="N1856" s="5" t="s">
        <v>5660</v>
      </c>
      <c r="O1856" s="5">
        <v>7979.5</v>
      </c>
      <c r="P1856" s="5">
        <v>7979.5</v>
      </c>
      <c r="Q1856" s="5">
        <v>7800</v>
      </c>
      <c r="R1856" s="5">
        <v>7800</v>
      </c>
      <c r="S1856" s="5">
        <v>7800</v>
      </c>
      <c r="T1856" s="5">
        <v>7998.5</v>
      </c>
      <c r="V1856" s="5">
        <v>7998</v>
      </c>
      <c r="Y1856" s="5">
        <v>5</v>
      </c>
      <c r="Z1856" s="5">
        <v>39359</v>
      </c>
      <c r="AA1856" s="5">
        <v>4</v>
      </c>
      <c r="AB1856" s="5" t="s">
        <v>85</v>
      </c>
      <c r="AC1856" s="5">
        <v>1</v>
      </c>
    </row>
    <row r="1857" spans="1:29" x14ac:dyDescent="0.3">
      <c r="A1857" s="34">
        <v>46274</v>
      </c>
      <c r="B1857" s="34">
        <v>46274</v>
      </c>
      <c r="C1857" s="5" t="s">
        <v>78</v>
      </c>
      <c r="D1857" s="5" t="s">
        <v>79</v>
      </c>
      <c r="E1857" s="5" t="s">
        <v>80</v>
      </c>
      <c r="F1857" s="5">
        <v>4774</v>
      </c>
      <c r="G1857" s="5" t="s">
        <v>5661</v>
      </c>
      <c r="H1857" s="5" t="s">
        <v>5662</v>
      </c>
      <c r="I1857" s="5" t="s">
        <v>614</v>
      </c>
      <c r="N1857" s="5" t="s">
        <v>5663</v>
      </c>
      <c r="O1857" s="5">
        <v>5.58</v>
      </c>
      <c r="P1857" s="5">
        <v>5.75</v>
      </c>
      <c r="Q1857" s="5">
        <v>5.58</v>
      </c>
      <c r="R1857" s="5">
        <v>5.74</v>
      </c>
      <c r="S1857" s="5">
        <v>5.75</v>
      </c>
      <c r="T1857" s="5">
        <v>5.48</v>
      </c>
      <c r="V1857" s="5">
        <v>5.74</v>
      </c>
      <c r="Y1857" s="5">
        <v>8804</v>
      </c>
      <c r="Z1857" s="5">
        <v>50302.2</v>
      </c>
      <c r="AA1857" s="5">
        <v>27</v>
      </c>
      <c r="AB1857" s="5" t="s">
        <v>85</v>
      </c>
      <c r="AC1857" s="5">
        <v>1</v>
      </c>
    </row>
    <row r="1858" spans="1:29" x14ac:dyDescent="0.3">
      <c r="A1858" s="34">
        <v>46274</v>
      </c>
      <c r="B1858" s="34">
        <v>46274</v>
      </c>
      <c r="C1858" s="5" t="s">
        <v>78</v>
      </c>
      <c r="D1858" s="5" t="s">
        <v>79</v>
      </c>
      <c r="E1858" s="5" t="s">
        <v>80</v>
      </c>
      <c r="F1858" s="5">
        <v>25860</v>
      </c>
      <c r="G1858" s="5" t="s">
        <v>5664</v>
      </c>
      <c r="H1858" s="5" t="s">
        <v>5665</v>
      </c>
      <c r="I1858" s="5" t="s">
        <v>313</v>
      </c>
      <c r="N1858" s="5" t="s">
        <v>5666</v>
      </c>
      <c r="O1858" s="5">
        <v>81</v>
      </c>
      <c r="P1858" s="5">
        <v>83.35</v>
      </c>
      <c r="Q1858" s="5">
        <v>81</v>
      </c>
      <c r="R1858" s="5">
        <v>82</v>
      </c>
      <c r="S1858" s="5">
        <v>82</v>
      </c>
      <c r="T1858" s="5">
        <v>80.2</v>
      </c>
      <c r="V1858" s="5">
        <v>82</v>
      </c>
      <c r="Y1858" s="5">
        <v>6400</v>
      </c>
      <c r="Z1858" s="5">
        <v>527560</v>
      </c>
      <c r="AA1858" s="5">
        <v>7</v>
      </c>
      <c r="AB1858" s="5" t="s">
        <v>85</v>
      </c>
      <c r="AC1858" s="5">
        <v>800</v>
      </c>
    </row>
    <row r="1859" spans="1:29" x14ac:dyDescent="0.3">
      <c r="A1859" s="34">
        <v>46274</v>
      </c>
      <c r="B1859" s="34">
        <v>46274</v>
      </c>
      <c r="C1859" s="5" t="s">
        <v>78</v>
      </c>
      <c r="D1859" s="5" t="s">
        <v>79</v>
      </c>
      <c r="E1859" s="5" t="s">
        <v>80</v>
      </c>
      <c r="F1859" s="5">
        <v>765361</v>
      </c>
      <c r="G1859" s="5" t="s">
        <v>5667</v>
      </c>
      <c r="H1859" s="5" t="s">
        <v>5668</v>
      </c>
      <c r="I1859" s="5" t="s">
        <v>212</v>
      </c>
      <c r="N1859" s="5" t="s">
        <v>5669</v>
      </c>
      <c r="O1859" s="5">
        <v>320</v>
      </c>
      <c r="P1859" s="5">
        <v>339.95</v>
      </c>
      <c r="Q1859" s="5">
        <v>319.95</v>
      </c>
      <c r="R1859" s="5">
        <v>334.45</v>
      </c>
      <c r="S1859" s="5">
        <v>336.4</v>
      </c>
      <c r="T1859" s="5">
        <v>318.75</v>
      </c>
      <c r="V1859" s="5">
        <v>334.46</v>
      </c>
      <c r="Y1859" s="5">
        <v>16094330</v>
      </c>
      <c r="Z1859" s="5">
        <v>5382639847.1999998</v>
      </c>
      <c r="AA1859" s="5">
        <v>128641</v>
      </c>
      <c r="AB1859" s="5" t="s">
        <v>85</v>
      </c>
      <c r="AC1859" s="5">
        <v>1</v>
      </c>
    </row>
    <row r="1860" spans="1:29" x14ac:dyDescent="0.3">
      <c r="A1860" s="34">
        <v>46274</v>
      </c>
      <c r="B1860" s="34">
        <v>46274</v>
      </c>
      <c r="C1860" s="5" t="s">
        <v>78</v>
      </c>
      <c r="D1860" s="5" t="s">
        <v>79</v>
      </c>
      <c r="E1860" s="5" t="s">
        <v>80</v>
      </c>
      <c r="F1860" s="5">
        <v>6407</v>
      </c>
      <c r="G1860" s="5" t="s">
        <v>5670</v>
      </c>
      <c r="H1860" s="5" t="s">
        <v>5671</v>
      </c>
      <c r="I1860" s="5" t="s">
        <v>212</v>
      </c>
      <c r="N1860" s="5" t="s">
        <v>5672</v>
      </c>
      <c r="O1860" s="5">
        <v>138.01</v>
      </c>
      <c r="P1860" s="5">
        <v>139.94999999999999</v>
      </c>
      <c r="Q1860" s="5">
        <v>134</v>
      </c>
      <c r="R1860" s="5">
        <v>134.12</v>
      </c>
      <c r="S1860" s="5">
        <v>134</v>
      </c>
      <c r="T1860" s="5">
        <v>138.69999999999999</v>
      </c>
      <c r="V1860" s="5">
        <v>134.22</v>
      </c>
      <c r="Y1860" s="5">
        <v>5480</v>
      </c>
      <c r="Z1860" s="5">
        <v>740112.25</v>
      </c>
      <c r="AA1860" s="5">
        <v>435</v>
      </c>
      <c r="AB1860" s="5" t="s">
        <v>85</v>
      </c>
      <c r="AC1860" s="5">
        <v>1</v>
      </c>
    </row>
    <row r="1861" spans="1:29" x14ac:dyDescent="0.3">
      <c r="A1861" s="34">
        <v>46274</v>
      </c>
      <c r="B1861" s="34">
        <v>46274</v>
      </c>
      <c r="C1861" s="5" t="s">
        <v>78</v>
      </c>
      <c r="D1861" s="5" t="s">
        <v>79</v>
      </c>
      <c r="E1861" s="5" t="s">
        <v>80</v>
      </c>
      <c r="F1861" s="5">
        <v>27225</v>
      </c>
      <c r="G1861" s="5" t="s">
        <v>5673</v>
      </c>
      <c r="H1861" s="5" t="s">
        <v>5674</v>
      </c>
      <c r="I1861" s="5" t="s">
        <v>392</v>
      </c>
      <c r="N1861" s="5" t="s">
        <v>5675</v>
      </c>
      <c r="O1861" s="5">
        <v>53.95</v>
      </c>
      <c r="P1861" s="5">
        <v>54.5</v>
      </c>
      <c r="Q1861" s="5">
        <v>53.25</v>
      </c>
      <c r="R1861" s="5">
        <v>53.25</v>
      </c>
      <c r="S1861" s="5">
        <v>53.25</v>
      </c>
      <c r="T1861" s="5">
        <v>56.05</v>
      </c>
      <c r="V1861" s="5">
        <v>53.25</v>
      </c>
      <c r="Y1861" s="5">
        <v>9000</v>
      </c>
      <c r="Z1861" s="5">
        <v>481140</v>
      </c>
      <c r="AA1861" s="5">
        <v>14</v>
      </c>
      <c r="AB1861" s="5" t="s">
        <v>85</v>
      </c>
      <c r="AC1861" s="5">
        <v>600</v>
      </c>
    </row>
    <row r="1862" spans="1:29" x14ac:dyDescent="0.3">
      <c r="A1862" s="34">
        <v>46274</v>
      </c>
      <c r="B1862" s="34">
        <v>46274</v>
      </c>
      <c r="C1862" s="5" t="s">
        <v>78</v>
      </c>
      <c r="D1862" s="5" t="s">
        <v>79</v>
      </c>
      <c r="E1862" s="5" t="s">
        <v>80</v>
      </c>
      <c r="F1862" s="5">
        <v>9392</v>
      </c>
      <c r="G1862" s="5" t="s">
        <v>5676</v>
      </c>
      <c r="H1862" s="5" t="s">
        <v>5677</v>
      </c>
      <c r="I1862" s="5" t="s">
        <v>212</v>
      </c>
      <c r="N1862" s="5" t="s">
        <v>5678</v>
      </c>
      <c r="O1862" s="5">
        <v>12.55</v>
      </c>
      <c r="P1862" s="5">
        <v>13</v>
      </c>
      <c r="Q1862" s="5">
        <v>12.5</v>
      </c>
      <c r="R1862" s="5">
        <v>12.65</v>
      </c>
      <c r="S1862" s="5">
        <v>12.98</v>
      </c>
      <c r="T1862" s="5">
        <v>12.62</v>
      </c>
      <c r="V1862" s="5">
        <v>12.67</v>
      </c>
      <c r="Y1862" s="5">
        <v>376947</v>
      </c>
      <c r="Z1862" s="5">
        <v>4807048.22</v>
      </c>
      <c r="AA1862" s="5">
        <v>694</v>
      </c>
      <c r="AB1862" s="5" t="s">
        <v>85</v>
      </c>
      <c r="AC1862" s="5">
        <v>1</v>
      </c>
    </row>
    <row r="1863" spans="1:29" x14ac:dyDescent="0.3">
      <c r="A1863" s="34">
        <v>46274</v>
      </c>
      <c r="B1863" s="34">
        <v>46274</v>
      </c>
      <c r="C1863" s="5" t="s">
        <v>78</v>
      </c>
      <c r="D1863" s="5" t="s">
        <v>79</v>
      </c>
      <c r="E1863" s="5" t="s">
        <v>80</v>
      </c>
      <c r="F1863" s="5">
        <v>23030</v>
      </c>
      <c r="G1863" s="5" t="s">
        <v>5679</v>
      </c>
      <c r="H1863" s="5" t="s">
        <v>5680</v>
      </c>
      <c r="I1863" s="5" t="s">
        <v>234</v>
      </c>
      <c r="N1863" s="5" t="s">
        <v>5681</v>
      </c>
      <c r="O1863" s="5">
        <v>38.4</v>
      </c>
      <c r="P1863" s="5">
        <v>38.700000000000003</v>
      </c>
      <c r="Q1863" s="5">
        <v>36.119999999999997</v>
      </c>
      <c r="R1863" s="5">
        <v>36.130000000000003</v>
      </c>
      <c r="S1863" s="5">
        <v>36.130000000000003</v>
      </c>
      <c r="T1863" s="5">
        <v>38.020000000000003</v>
      </c>
      <c r="V1863" s="5">
        <v>36.130000000000003</v>
      </c>
      <c r="Y1863" s="5">
        <v>165995</v>
      </c>
      <c r="Z1863" s="5">
        <v>6019434.1900000004</v>
      </c>
      <c r="AA1863" s="5">
        <v>349</v>
      </c>
      <c r="AB1863" s="5" t="s">
        <v>85</v>
      </c>
      <c r="AC1863" s="5">
        <v>1</v>
      </c>
    </row>
    <row r="1864" spans="1:29" x14ac:dyDescent="0.3">
      <c r="A1864" s="34">
        <v>46274</v>
      </c>
      <c r="B1864" s="34">
        <v>46274</v>
      </c>
      <c r="C1864" s="5" t="s">
        <v>78</v>
      </c>
      <c r="D1864" s="5" t="s">
        <v>79</v>
      </c>
      <c r="E1864" s="5" t="s">
        <v>80</v>
      </c>
      <c r="F1864" s="5">
        <v>13276</v>
      </c>
      <c r="G1864" s="5" t="s">
        <v>5682</v>
      </c>
      <c r="H1864" s="5" t="s">
        <v>5683</v>
      </c>
      <c r="I1864" s="5" t="s">
        <v>212</v>
      </c>
      <c r="N1864" s="5" t="s">
        <v>5684</v>
      </c>
      <c r="O1864" s="5">
        <v>494.35</v>
      </c>
      <c r="P1864" s="5">
        <v>505.95</v>
      </c>
      <c r="Q1864" s="5">
        <v>487.2</v>
      </c>
      <c r="R1864" s="5">
        <v>491.5</v>
      </c>
      <c r="S1864" s="5">
        <v>492.5</v>
      </c>
      <c r="T1864" s="5">
        <v>497.95</v>
      </c>
      <c r="V1864" s="5">
        <v>491.5</v>
      </c>
      <c r="Y1864" s="5">
        <v>55947</v>
      </c>
      <c r="Z1864" s="5">
        <v>27649283.199999999</v>
      </c>
      <c r="AA1864" s="5">
        <v>2433</v>
      </c>
      <c r="AB1864" s="5" t="s">
        <v>85</v>
      </c>
      <c r="AC1864" s="5">
        <v>1</v>
      </c>
    </row>
    <row r="1865" spans="1:29" x14ac:dyDescent="0.3">
      <c r="A1865" s="34">
        <v>46274</v>
      </c>
      <c r="B1865" s="34">
        <v>46274</v>
      </c>
      <c r="C1865" s="5" t="s">
        <v>78</v>
      </c>
      <c r="D1865" s="5" t="s">
        <v>79</v>
      </c>
      <c r="E1865" s="5" t="s">
        <v>80</v>
      </c>
      <c r="F1865" s="5">
        <v>16863</v>
      </c>
      <c r="G1865" s="5" t="s">
        <v>5685</v>
      </c>
      <c r="H1865" s="5" t="s">
        <v>5686</v>
      </c>
      <c r="I1865" s="5" t="s">
        <v>212</v>
      </c>
      <c r="N1865" s="5" t="s">
        <v>5687</v>
      </c>
      <c r="O1865" s="5">
        <v>6.29</v>
      </c>
      <c r="P1865" s="5">
        <v>6.45</v>
      </c>
      <c r="Q1865" s="5">
        <v>6.22</v>
      </c>
      <c r="R1865" s="5">
        <v>6.38</v>
      </c>
      <c r="S1865" s="5">
        <v>6.3</v>
      </c>
      <c r="T1865" s="5">
        <v>6.29</v>
      </c>
      <c r="V1865" s="5">
        <v>6.37</v>
      </c>
      <c r="Y1865" s="5">
        <v>33202</v>
      </c>
      <c r="Z1865" s="5">
        <v>209356.73</v>
      </c>
      <c r="AA1865" s="5">
        <v>134</v>
      </c>
      <c r="AB1865" s="5" t="s">
        <v>85</v>
      </c>
      <c r="AC1865" s="5">
        <v>1</v>
      </c>
    </row>
    <row r="1866" spans="1:29" x14ac:dyDescent="0.3">
      <c r="A1866" s="34">
        <v>46274</v>
      </c>
      <c r="B1866" s="34">
        <v>46274</v>
      </c>
      <c r="C1866" s="5" t="s">
        <v>78</v>
      </c>
      <c r="D1866" s="5" t="s">
        <v>79</v>
      </c>
      <c r="E1866" s="5" t="s">
        <v>80</v>
      </c>
      <c r="F1866" s="5">
        <v>17376</v>
      </c>
      <c r="G1866" s="5" t="s">
        <v>5688</v>
      </c>
      <c r="H1866" s="5" t="s">
        <v>5689</v>
      </c>
      <c r="I1866" s="5" t="s">
        <v>212</v>
      </c>
      <c r="N1866" s="5" t="s">
        <v>5690</v>
      </c>
      <c r="O1866" s="5">
        <v>0.59</v>
      </c>
      <c r="P1866" s="5">
        <v>0.59</v>
      </c>
      <c r="Q1866" s="5">
        <v>0.55000000000000004</v>
      </c>
      <c r="R1866" s="5">
        <v>0.56000000000000005</v>
      </c>
      <c r="S1866" s="5">
        <v>0.56000000000000005</v>
      </c>
      <c r="T1866" s="5">
        <v>0.57999999999999996</v>
      </c>
      <c r="V1866" s="5">
        <v>0.56000000000000005</v>
      </c>
      <c r="Y1866" s="5">
        <v>2833931</v>
      </c>
      <c r="Z1866" s="5">
        <v>1618552.57</v>
      </c>
      <c r="AA1866" s="5">
        <v>1223</v>
      </c>
      <c r="AB1866" s="5" t="s">
        <v>85</v>
      </c>
      <c r="AC1866" s="5">
        <v>1</v>
      </c>
    </row>
    <row r="1867" spans="1:29" x14ac:dyDescent="0.3">
      <c r="A1867" s="34">
        <v>46274</v>
      </c>
      <c r="B1867" s="34">
        <v>46274</v>
      </c>
      <c r="C1867" s="5" t="s">
        <v>78</v>
      </c>
      <c r="D1867" s="5" t="s">
        <v>79</v>
      </c>
      <c r="E1867" s="5" t="s">
        <v>80</v>
      </c>
      <c r="F1867" s="5">
        <v>11483</v>
      </c>
      <c r="G1867" s="5" t="s">
        <v>5691</v>
      </c>
      <c r="H1867" s="5" t="s">
        <v>5692</v>
      </c>
      <c r="I1867" s="5" t="s">
        <v>212</v>
      </c>
      <c r="N1867" s="5" t="s">
        <v>5693</v>
      </c>
      <c r="O1867" s="5">
        <v>3935.3</v>
      </c>
      <c r="P1867" s="5">
        <v>4020.2</v>
      </c>
      <c r="Q1867" s="5">
        <v>3922.6</v>
      </c>
      <c r="R1867" s="5">
        <v>3922.6</v>
      </c>
      <c r="S1867" s="5">
        <v>3922.6</v>
      </c>
      <c r="T1867" s="5">
        <v>3946.1</v>
      </c>
      <c r="V1867" s="5">
        <v>3922.64</v>
      </c>
      <c r="Y1867" s="5">
        <v>2954721</v>
      </c>
      <c r="Z1867" s="5">
        <v>11753343126.700001</v>
      </c>
      <c r="AA1867" s="5">
        <v>132430</v>
      </c>
      <c r="AB1867" s="5" t="s">
        <v>85</v>
      </c>
      <c r="AC1867" s="5">
        <v>1</v>
      </c>
    </row>
    <row r="1868" spans="1:29" x14ac:dyDescent="0.3">
      <c r="A1868" s="34">
        <v>46274</v>
      </c>
      <c r="B1868" s="34">
        <v>46274</v>
      </c>
      <c r="C1868" s="5" t="s">
        <v>78</v>
      </c>
      <c r="D1868" s="5" t="s">
        <v>79</v>
      </c>
      <c r="E1868" s="5" t="s">
        <v>80</v>
      </c>
      <c r="F1868" s="5">
        <v>21713</v>
      </c>
      <c r="G1868" s="5" t="s">
        <v>5694</v>
      </c>
      <c r="H1868" s="5" t="s">
        <v>5695</v>
      </c>
      <c r="I1868" s="5" t="s">
        <v>212</v>
      </c>
      <c r="N1868" s="5" t="s">
        <v>5696</v>
      </c>
      <c r="O1868" s="5">
        <v>6.71</v>
      </c>
      <c r="P1868" s="5">
        <v>6.71</v>
      </c>
      <c r="Q1868" s="5">
        <v>6.45</v>
      </c>
      <c r="R1868" s="5">
        <v>6.52</v>
      </c>
      <c r="S1868" s="5">
        <v>6.5</v>
      </c>
      <c r="T1868" s="5">
        <v>6.69</v>
      </c>
      <c r="V1868" s="5">
        <v>6.52</v>
      </c>
      <c r="Y1868" s="5">
        <v>46913</v>
      </c>
      <c r="Z1868" s="5">
        <v>310428.38</v>
      </c>
      <c r="AA1868" s="5">
        <v>165</v>
      </c>
      <c r="AB1868" s="5" t="s">
        <v>85</v>
      </c>
      <c r="AC1868" s="5">
        <v>1</v>
      </c>
    </row>
    <row r="1869" spans="1:29" x14ac:dyDescent="0.3">
      <c r="A1869" s="34">
        <v>46274</v>
      </c>
      <c r="B1869" s="34">
        <v>46274</v>
      </c>
      <c r="C1869" s="5" t="s">
        <v>78</v>
      </c>
      <c r="D1869" s="5" t="s">
        <v>79</v>
      </c>
      <c r="E1869" s="5" t="s">
        <v>80</v>
      </c>
      <c r="F1869" s="5">
        <v>764126</v>
      </c>
      <c r="G1869" s="5" t="s">
        <v>5697</v>
      </c>
      <c r="H1869" s="5" t="s">
        <v>5698</v>
      </c>
      <c r="I1869" s="5" t="s">
        <v>212</v>
      </c>
      <c r="N1869" s="5" t="s">
        <v>5699</v>
      </c>
      <c r="O1869" s="5">
        <v>304</v>
      </c>
      <c r="P1869" s="5">
        <v>307.45</v>
      </c>
      <c r="Q1869" s="5">
        <v>295.3</v>
      </c>
      <c r="R1869" s="5">
        <v>296.64999999999998</v>
      </c>
      <c r="S1869" s="5">
        <v>296.95</v>
      </c>
      <c r="T1869" s="5">
        <v>305.3</v>
      </c>
      <c r="V1869" s="5">
        <v>296.64999999999998</v>
      </c>
      <c r="Y1869" s="5">
        <v>697253</v>
      </c>
      <c r="Z1869" s="5">
        <v>208804761.25</v>
      </c>
      <c r="AA1869" s="5">
        <v>9873</v>
      </c>
      <c r="AB1869" s="5" t="s">
        <v>85</v>
      </c>
      <c r="AC1869" s="5">
        <v>1</v>
      </c>
    </row>
    <row r="1870" spans="1:29" x14ac:dyDescent="0.3">
      <c r="A1870" s="34">
        <v>46274</v>
      </c>
      <c r="B1870" s="34">
        <v>46274</v>
      </c>
      <c r="C1870" s="5" t="s">
        <v>78</v>
      </c>
      <c r="D1870" s="5" t="s">
        <v>79</v>
      </c>
      <c r="E1870" s="5" t="s">
        <v>80</v>
      </c>
      <c r="F1870" s="5">
        <v>6818</v>
      </c>
      <c r="G1870" s="5" t="s">
        <v>5700</v>
      </c>
      <c r="H1870" s="5" t="s">
        <v>5701</v>
      </c>
      <c r="I1870" s="5" t="s">
        <v>212</v>
      </c>
      <c r="N1870" s="5" t="s">
        <v>5702</v>
      </c>
      <c r="O1870" s="5">
        <v>258.05</v>
      </c>
      <c r="P1870" s="5">
        <v>263.35000000000002</v>
      </c>
      <c r="Q1870" s="5">
        <v>254.5</v>
      </c>
      <c r="R1870" s="5">
        <v>260.14999999999998</v>
      </c>
      <c r="S1870" s="5">
        <v>260.5</v>
      </c>
      <c r="T1870" s="5">
        <v>258.05</v>
      </c>
      <c r="V1870" s="5">
        <v>260.14999999999998</v>
      </c>
      <c r="Y1870" s="5">
        <v>484772</v>
      </c>
      <c r="Z1870" s="5">
        <v>125576037.7</v>
      </c>
      <c r="AA1870" s="5">
        <v>13009</v>
      </c>
      <c r="AB1870" s="5" t="s">
        <v>85</v>
      </c>
      <c r="AC1870" s="5">
        <v>1</v>
      </c>
    </row>
    <row r="1871" spans="1:29" x14ac:dyDescent="0.3">
      <c r="A1871" s="34">
        <v>46274</v>
      </c>
      <c r="B1871" s="34">
        <v>46274</v>
      </c>
      <c r="C1871" s="5" t="s">
        <v>78</v>
      </c>
      <c r="D1871" s="5" t="s">
        <v>79</v>
      </c>
      <c r="E1871" s="5" t="s">
        <v>80</v>
      </c>
      <c r="F1871" s="5">
        <v>15840</v>
      </c>
      <c r="G1871" s="5" t="s">
        <v>5703</v>
      </c>
      <c r="H1871" s="5" t="s">
        <v>5704</v>
      </c>
      <c r="I1871" s="5" t="s">
        <v>212</v>
      </c>
      <c r="N1871" s="5" t="s">
        <v>5705</v>
      </c>
      <c r="O1871" s="5">
        <v>21.25</v>
      </c>
      <c r="P1871" s="5">
        <v>21.8</v>
      </c>
      <c r="Q1871" s="5">
        <v>21.05</v>
      </c>
      <c r="R1871" s="5">
        <v>21.52</v>
      </c>
      <c r="S1871" s="5">
        <v>21.54</v>
      </c>
      <c r="T1871" s="5">
        <v>21.15</v>
      </c>
      <c r="V1871" s="5">
        <v>21.52</v>
      </c>
      <c r="Y1871" s="5">
        <v>31941</v>
      </c>
      <c r="Z1871" s="5">
        <v>686309.53</v>
      </c>
      <c r="AA1871" s="5">
        <v>294</v>
      </c>
      <c r="AB1871" s="5" t="s">
        <v>85</v>
      </c>
      <c r="AC1871" s="5">
        <v>1</v>
      </c>
    </row>
    <row r="1872" spans="1:29" x14ac:dyDescent="0.3">
      <c r="A1872" s="34">
        <v>46274</v>
      </c>
      <c r="B1872" s="34">
        <v>46274</v>
      </c>
      <c r="C1872" s="5" t="s">
        <v>78</v>
      </c>
      <c r="D1872" s="5" t="s">
        <v>79</v>
      </c>
      <c r="E1872" s="5" t="s">
        <v>80</v>
      </c>
      <c r="F1872" s="5">
        <v>19234</v>
      </c>
      <c r="G1872" s="5" t="s">
        <v>5706</v>
      </c>
      <c r="H1872" s="5" t="s">
        <v>5707</v>
      </c>
      <c r="I1872" s="5" t="s">
        <v>212</v>
      </c>
      <c r="N1872" s="5" t="s">
        <v>5708</v>
      </c>
      <c r="O1872" s="5">
        <v>1946.9</v>
      </c>
      <c r="P1872" s="5">
        <v>1955</v>
      </c>
      <c r="Q1872" s="5">
        <v>1917.9</v>
      </c>
      <c r="R1872" s="5">
        <v>1937</v>
      </c>
      <c r="S1872" s="5">
        <v>1937</v>
      </c>
      <c r="T1872" s="5">
        <v>1946.9</v>
      </c>
      <c r="V1872" s="5">
        <v>1936.99</v>
      </c>
      <c r="Y1872" s="5">
        <v>1822218</v>
      </c>
      <c r="Z1872" s="5">
        <v>3528193857.3000002</v>
      </c>
      <c r="AA1872" s="5">
        <v>46616</v>
      </c>
      <c r="AB1872" s="5" t="s">
        <v>85</v>
      </c>
      <c r="AC1872" s="5">
        <v>1</v>
      </c>
    </row>
    <row r="1873" spans="1:29" x14ac:dyDescent="0.3">
      <c r="A1873" s="34">
        <v>46274</v>
      </c>
      <c r="B1873" s="34">
        <v>46274</v>
      </c>
      <c r="C1873" s="5" t="s">
        <v>78</v>
      </c>
      <c r="D1873" s="5" t="s">
        <v>79</v>
      </c>
      <c r="E1873" s="5" t="s">
        <v>80</v>
      </c>
      <c r="F1873" s="5">
        <v>6568</v>
      </c>
      <c r="G1873" s="5" t="s">
        <v>5709</v>
      </c>
      <c r="H1873" s="5" t="s">
        <v>5710</v>
      </c>
      <c r="I1873" s="5" t="s">
        <v>212</v>
      </c>
      <c r="N1873" s="5" t="s">
        <v>5711</v>
      </c>
      <c r="O1873" s="5">
        <v>13.32</v>
      </c>
      <c r="P1873" s="5">
        <v>13.69</v>
      </c>
      <c r="Q1873" s="5">
        <v>12.62</v>
      </c>
      <c r="R1873" s="5">
        <v>13.16</v>
      </c>
      <c r="S1873" s="5">
        <v>13.19</v>
      </c>
      <c r="T1873" s="5">
        <v>13.03</v>
      </c>
      <c r="V1873" s="5">
        <v>13.16</v>
      </c>
      <c r="Y1873" s="5">
        <v>10359</v>
      </c>
      <c r="Z1873" s="5">
        <v>135872.93</v>
      </c>
      <c r="AA1873" s="5">
        <v>129</v>
      </c>
      <c r="AB1873" s="5" t="s">
        <v>85</v>
      </c>
      <c r="AC1873" s="5">
        <v>1</v>
      </c>
    </row>
    <row r="1874" spans="1:29" x14ac:dyDescent="0.3">
      <c r="A1874" s="34">
        <v>46274</v>
      </c>
      <c r="B1874" s="34">
        <v>46274</v>
      </c>
      <c r="C1874" s="5" t="s">
        <v>78</v>
      </c>
      <c r="D1874" s="5" t="s">
        <v>79</v>
      </c>
      <c r="E1874" s="5" t="s">
        <v>80</v>
      </c>
      <c r="F1874" s="5">
        <v>29171</v>
      </c>
      <c r="G1874" s="5" t="s">
        <v>5712</v>
      </c>
      <c r="H1874" s="5" t="s">
        <v>5713</v>
      </c>
      <c r="I1874" s="5" t="s">
        <v>212</v>
      </c>
      <c r="N1874" s="5" t="s">
        <v>5714</v>
      </c>
      <c r="O1874" s="5">
        <v>197.17</v>
      </c>
      <c r="P1874" s="5">
        <v>201.79</v>
      </c>
      <c r="Q1874" s="5">
        <v>195.68</v>
      </c>
      <c r="R1874" s="5">
        <v>201.14</v>
      </c>
      <c r="S1874" s="5">
        <v>201.45</v>
      </c>
      <c r="T1874" s="5">
        <v>199.25</v>
      </c>
      <c r="V1874" s="5">
        <v>201.13</v>
      </c>
      <c r="Y1874" s="5">
        <v>102202</v>
      </c>
      <c r="Z1874" s="5">
        <v>20392264.68</v>
      </c>
      <c r="AA1874" s="5">
        <v>4315</v>
      </c>
      <c r="AB1874" s="5" t="s">
        <v>85</v>
      </c>
      <c r="AC1874" s="5">
        <v>1</v>
      </c>
    </row>
    <row r="1875" spans="1:29" x14ac:dyDescent="0.3">
      <c r="A1875" s="34">
        <v>46274</v>
      </c>
      <c r="B1875" s="34">
        <v>46274</v>
      </c>
      <c r="C1875" s="5" t="s">
        <v>78</v>
      </c>
      <c r="D1875" s="5" t="s">
        <v>79</v>
      </c>
      <c r="E1875" s="5" t="s">
        <v>80</v>
      </c>
      <c r="F1875" s="5">
        <v>19876</v>
      </c>
      <c r="G1875" s="5" t="s">
        <v>5715</v>
      </c>
      <c r="H1875" s="5" t="s">
        <v>5716</v>
      </c>
      <c r="I1875" s="5" t="s">
        <v>212</v>
      </c>
      <c r="N1875" s="5" t="s">
        <v>5717</v>
      </c>
      <c r="O1875" s="5">
        <v>177.31</v>
      </c>
      <c r="P1875" s="5">
        <v>177.31</v>
      </c>
      <c r="Q1875" s="5">
        <v>169.81</v>
      </c>
      <c r="R1875" s="5">
        <v>172.23</v>
      </c>
      <c r="S1875" s="5">
        <v>171.52</v>
      </c>
      <c r="T1875" s="5">
        <v>175.21</v>
      </c>
      <c r="V1875" s="5">
        <v>172.23</v>
      </c>
      <c r="Y1875" s="5">
        <v>7819</v>
      </c>
      <c r="Z1875" s="5">
        <v>1357513.11</v>
      </c>
      <c r="AA1875" s="5">
        <v>350</v>
      </c>
      <c r="AB1875" s="5" t="s">
        <v>85</v>
      </c>
      <c r="AC1875" s="5">
        <v>1</v>
      </c>
    </row>
    <row r="1876" spans="1:29" x14ac:dyDescent="0.3">
      <c r="A1876" s="34">
        <v>46274</v>
      </c>
      <c r="B1876" s="34">
        <v>46274</v>
      </c>
      <c r="C1876" s="5" t="s">
        <v>78</v>
      </c>
      <c r="D1876" s="5" t="s">
        <v>79</v>
      </c>
      <c r="E1876" s="5" t="s">
        <v>80</v>
      </c>
      <c r="F1876" s="5">
        <v>758863</v>
      </c>
      <c r="G1876" s="5" t="s">
        <v>5718</v>
      </c>
      <c r="H1876" s="5" t="s">
        <v>5719</v>
      </c>
      <c r="I1876" s="5" t="s">
        <v>212</v>
      </c>
      <c r="N1876" s="5" t="s">
        <v>5720</v>
      </c>
      <c r="O1876" s="5">
        <v>130</v>
      </c>
      <c r="P1876" s="5">
        <v>135.19999999999999</v>
      </c>
      <c r="Q1876" s="5">
        <v>127.25</v>
      </c>
      <c r="R1876" s="5">
        <v>132.05000000000001</v>
      </c>
      <c r="S1876" s="5">
        <v>132</v>
      </c>
      <c r="T1876" s="5">
        <v>129.99</v>
      </c>
      <c r="V1876" s="5">
        <v>132.07</v>
      </c>
      <c r="Y1876" s="5">
        <v>426097</v>
      </c>
      <c r="Z1876" s="5">
        <v>56139348.68</v>
      </c>
      <c r="AA1876" s="5">
        <v>5499</v>
      </c>
      <c r="AB1876" s="5" t="s">
        <v>85</v>
      </c>
      <c r="AC1876" s="5">
        <v>1</v>
      </c>
    </row>
    <row r="1877" spans="1:29" x14ac:dyDescent="0.3">
      <c r="A1877" s="34">
        <v>46274</v>
      </c>
      <c r="B1877" s="34">
        <v>46274</v>
      </c>
      <c r="C1877" s="5" t="s">
        <v>78</v>
      </c>
      <c r="D1877" s="5" t="s">
        <v>79</v>
      </c>
      <c r="E1877" s="5" t="s">
        <v>80</v>
      </c>
      <c r="F1877" s="5">
        <v>2841</v>
      </c>
      <c r="G1877" s="5" t="s">
        <v>5721</v>
      </c>
      <c r="H1877" s="5" t="s">
        <v>5722</v>
      </c>
      <c r="I1877" s="5" t="s">
        <v>212</v>
      </c>
      <c r="N1877" s="5" t="s">
        <v>5723</v>
      </c>
      <c r="O1877" s="5">
        <v>182.81</v>
      </c>
      <c r="P1877" s="5">
        <v>185.51</v>
      </c>
      <c r="Q1877" s="5">
        <v>177.9</v>
      </c>
      <c r="R1877" s="5">
        <v>178.56</v>
      </c>
      <c r="S1877" s="5">
        <v>178.5</v>
      </c>
      <c r="T1877" s="5">
        <v>184.52</v>
      </c>
      <c r="V1877" s="5">
        <v>178.56</v>
      </c>
      <c r="Y1877" s="5">
        <v>1701815</v>
      </c>
      <c r="Z1877" s="5">
        <v>308639563.95999998</v>
      </c>
      <c r="AA1877" s="5">
        <v>24974</v>
      </c>
      <c r="AB1877" s="5" t="s">
        <v>85</v>
      </c>
      <c r="AC1877" s="5">
        <v>1</v>
      </c>
    </row>
    <row r="1878" spans="1:29" x14ac:dyDescent="0.3">
      <c r="A1878" s="34">
        <v>46274</v>
      </c>
      <c r="B1878" s="34">
        <v>46274</v>
      </c>
      <c r="C1878" s="5" t="s">
        <v>78</v>
      </c>
      <c r="D1878" s="5" t="s">
        <v>79</v>
      </c>
      <c r="E1878" s="5" t="s">
        <v>80</v>
      </c>
      <c r="F1878" s="5">
        <v>7529</v>
      </c>
      <c r="G1878" s="5" t="s">
        <v>5724</v>
      </c>
      <c r="H1878" s="5" t="s">
        <v>5725</v>
      </c>
      <c r="I1878" s="5" t="s">
        <v>212</v>
      </c>
      <c r="N1878" s="5" t="s">
        <v>5726</v>
      </c>
      <c r="O1878" s="5">
        <v>3.9</v>
      </c>
      <c r="P1878" s="5">
        <v>3.9</v>
      </c>
      <c r="Q1878" s="5">
        <v>3.5</v>
      </c>
      <c r="R1878" s="5">
        <v>3.54</v>
      </c>
      <c r="S1878" s="5">
        <v>3.5</v>
      </c>
      <c r="T1878" s="5">
        <v>3.73</v>
      </c>
      <c r="V1878" s="5">
        <v>3.54</v>
      </c>
      <c r="Y1878" s="5">
        <v>148243</v>
      </c>
      <c r="Z1878" s="5">
        <v>528449.64</v>
      </c>
      <c r="AA1878" s="5">
        <v>225</v>
      </c>
      <c r="AB1878" s="5" t="s">
        <v>85</v>
      </c>
      <c r="AC1878" s="5">
        <v>1</v>
      </c>
    </row>
    <row r="1879" spans="1:29" x14ac:dyDescent="0.3">
      <c r="A1879" s="34">
        <v>46274</v>
      </c>
      <c r="B1879" s="34">
        <v>46274</v>
      </c>
      <c r="C1879" s="5" t="s">
        <v>78</v>
      </c>
      <c r="D1879" s="5" t="s">
        <v>79</v>
      </c>
      <c r="E1879" s="5" t="s">
        <v>80</v>
      </c>
      <c r="F1879" s="5">
        <v>760300</v>
      </c>
      <c r="G1879" s="5" t="s">
        <v>5727</v>
      </c>
      <c r="H1879" s="5" t="s">
        <v>5728</v>
      </c>
      <c r="I1879" s="5" t="s">
        <v>212</v>
      </c>
      <c r="N1879" s="5" t="s">
        <v>5729</v>
      </c>
      <c r="O1879" s="5">
        <v>21</v>
      </c>
      <c r="P1879" s="5">
        <v>21.7</v>
      </c>
      <c r="Q1879" s="5">
        <v>20.399999999999999</v>
      </c>
      <c r="R1879" s="5">
        <v>21.26</v>
      </c>
      <c r="S1879" s="5">
        <v>21.49</v>
      </c>
      <c r="T1879" s="5">
        <v>20.67</v>
      </c>
      <c r="V1879" s="5">
        <v>21.26</v>
      </c>
      <c r="Y1879" s="5">
        <v>211782</v>
      </c>
      <c r="Z1879" s="5">
        <v>4433792.1399999997</v>
      </c>
      <c r="AA1879" s="5">
        <v>294</v>
      </c>
      <c r="AB1879" s="5" t="s">
        <v>85</v>
      </c>
      <c r="AC1879" s="5">
        <v>1</v>
      </c>
    </row>
    <row r="1880" spans="1:29" x14ac:dyDescent="0.3">
      <c r="A1880" s="34">
        <v>46274</v>
      </c>
      <c r="B1880" s="34">
        <v>46274</v>
      </c>
      <c r="C1880" s="5" t="s">
        <v>78</v>
      </c>
      <c r="D1880" s="5" t="s">
        <v>79</v>
      </c>
      <c r="E1880" s="5" t="s">
        <v>80</v>
      </c>
      <c r="F1880" s="5">
        <v>24067</v>
      </c>
      <c r="G1880" s="5" t="s">
        <v>5730</v>
      </c>
      <c r="H1880" s="5" t="s">
        <v>5731</v>
      </c>
      <c r="I1880" s="5" t="s">
        <v>212</v>
      </c>
      <c r="N1880" s="5" t="s">
        <v>5732</v>
      </c>
      <c r="O1880" s="5">
        <v>169.96</v>
      </c>
      <c r="P1880" s="5">
        <v>171.37</v>
      </c>
      <c r="Q1880" s="5">
        <v>165.28</v>
      </c>
      <c r="R1880" s="5">
        <v>167.54</v>
      </c>
      <c r="S1880" s="5">
        <v>167.44</v>
      </c>
      <c r="T1880" s="5">
        <v>169.96</v>
      </c>
      <c r="V1880" s="5">
        <v>167.54</v>
      </c>
      <c r="Y1880" s="5">
        <v>1901710</v>
      </c>
      <c r="Z1880" s="5">
        <v>317737779.30000001</v>
      </c>
      <c r="AA1880" s="5">
        <v>40546</v>
      </c>
      <c r="AB1880" s="5" t="s">
        <v>85</v>
      </c>
      <c r="AC1880" s="5">
        <v>1</v>
      </c>
    </row>
    <row r="1881" spans="1:29" x14ac:dyDescent="0.3">
      <c r="A1881" s="34">
        <v>46274</v>
      </c>
      <c r="B1881" s="34">
        <v>46274</v>
      </c>
      <c r="C1881" s="5" t="s">
        <v>78</v>
      </c>
      <c r="D1881" s="5" t="s">
        <v>79</v>
      </c>
      <c r="E1881" s="5" t="s">
        <v>80</v>
      </c>
      <c r="F1881" s="5">
        <v>14204</v>
      </c>
      <c r="G1881" s="5" t="s">
        <v>5733</v>
      </c>
      <c r="H1881" s="5" t="s">
        <v>5734</v>
      </c>
      <c r="I1881" s="5" t="s">
        <v>313</v>
      </c>
      <c r="N1881" s="5" t="s">
        <v>5735</v>
      </c>
      <c r="O1881" s="5">
        <v>90</v>
      </c>
      <c r="P1881" s="5">
        <v>92</v>
      </c>
      <c r="Q1881" s="5">
        <v>90</v>
      </c>
      <c r="R1881" s="5">
        <v>92</v>
      </c>
      <c r="S1881" s="5">
        <v>92</v>
      </c>
      <c r="T1881" s="5">
        <v>91.85</v>
      </c>
      <c r="V1881" s="5">
        <v>92</v>
      </c>
      <c r="Y1881" s="5">
        <v>4500</v>
      </c>
      <c r="Z1881" s="5">
        <v>409500</v>
      </c>
      <c r="AA1881" s="5">
        <v>3</v>
      </c>
      <c r="AB1881" s="5" t="s">
        <v>85</v>
      </c>
      <c r="AC1881" s="5">
        <v>1500</v>
      </c>
    </row>
    <row r="1882" spans="1:29" x14ac:dyDescent="0.3">
      <c r="A1882" s="34">
        <v>46274</v>
      </c>
      <c r="B1882" s="34">
        <v>46274</v>
      </c>
      <c r="C1882" s="5" t="s">
        <v>78</v>
      </c>
      <c r="D1882" s="5" t="s">
        <v>79</v>
      </c>
      <c r="E1882" s="5" t="s">
        <v>80</v>
      </c>
      <c r="F1882" s="5">
        <v>764523</v>
      </c>
      <c r="G1882" s="5" t="s">
        <v>5736</v>
      </c>
      <c r="H1882" s="5" t="s">
        <v>5737</v>
      </c>
      <c r="I1882" s="5" t="s">
        <v>212</v>
      </c>
      <c r="N1882" s="5" t="s">
        <v>5738</v>
      </c>
      <c r="O1882" s="5">
        <v>149.79</v>
      </c>
      <c r="P1882" s="5">
        <v>149.79</v>
      </c>
      <c r="Q1882" s="5">
        <v>143.80000000000001</v>
      </c>
      <c r="R1882" s="5">
        <v>144.91</v>
      </c>
      <c r="S1882" s="5">
        <v>143.80000000000001</v>
      </c>
      <c r="T1882" s="5">
        <v>148.26</v>
      </c>
      <c r="V1882" s="5">
        <v>144.96</v>
      </c>
      <c r="Y1882" s="5">
        <v>1589038</v>
      </c>
      <c r="Z1882" s="5">
        <v>231845784.09</v>
      </c>
      <c r="AA1882" s="5">
        <v>19001</v>
      </c>
      <c r="AB1882" s="5" t="s">
        <v>85</v>
      </c>
      <c r="AC1882" s="5">
        <v>1</v>
      </c>
    </row>
    <row r="1883" spans="1:29" x14ac:dyDescent="0.3">
      <c r="A1883" s="34">
        <v>46274</v>
      </c>
      <c r="B1883" s="34">
        <v>46274</v>
      </c>
      <c r="C1883" s="5" t="s">
        <v>78</v>
      </c>
      <c r="D1883" s="5" t="s">
        <v>79</v>
      </c>
      <c r="E1883" s="5" t="s">
        <v>80</v>
      </c>
      <c r="F1883" s="5">
        <v>765098</v>
      </c>
      <c r="G1883" s="5" t="s">
        <v>5739</v>
      </c>
      <c r="H1883" s="5" t="s">
        <v>5740</v>
      </c>
      <c r="I1883" s="5" t="s">
        <v>234</v>
      </c>
      <c r="N1883" s="5" t="s">
        <v>5741</v>
      </c>
      <c r="O1883" s="5">
        <v>7.9</v>
      </c>
      <c r="P1883" s="5">
        <v>8.08</v>
      </c>
      <c r="Q1883" s="5">
        <v>7.9</v>
      </c>
      <c r="R1883" s="5">
        <v>8.0500000000000007</v>
      </c>
      <c r="S1883" s="5">
        <v>8.0500000000000007</v>
      </c>
      <c r="T1883" s="5">
        <v>8</v>
      </c>
      <c r="V1883" s="5">
        <v>8.09</v>
      </c>
      <c r="Y1883" s="5">
        <v>3270</v>
      </c>
      <c r="Z1883" s="5">
        <v>26084.23</v>
      </c>
      <c r="AA1883" s="5">
        <v>24</v>
      </c>
      <c r="AB1883" s="5" t="s">
        <v>85</v>
      </c>
      <c r="AC1883" s="5">
        <v>1</v>
      </c>
    </row>
    <row r="1884" spans="1:29" x14ac:dyDescent="0.3">
      <c r="A1884" s="34">
        <v>46274</v>
      </c>
      <c r="B1884" s="34">
        <v>46274</v>
      </c>
      <c r="C1884" s="5" t="s">
        <v>78</v>
      </c>
      <c r="D1884" s="5" t="s">
        <v>79</v>
      </c>
      <c r="E1884" s="5" t="s">
        <v>80</v>
      </c>
      <c r="F1884" s="5">
        <v>757014</v>
      </c>
      <c r="G1884" s="5" t="s">
        <v>5742</v>
      </c>
      <c r="H1884" s="5" t="s">
        <v>5743</v>
      </c>
      <c r="I1884" s="5" t="s">
        <v>212</v>
      </c>
      <c r="N1884" s="5" t="s">
        <v>5744</v>
      </c>
      <c r="O1884" s="5">
        <v>540.95000000000005</v>
      </c>
      <c r="P1884" s="5">
        <v>545</v>
      </c>
      <c r="Q1884" s="5">
        <v>528</v>
      </c>
      <c r="R1884" s="5">
        <v>531.45000000000005</v>
      </c>
      <c r="S1884" s="5">
        <v>534.75</v>
      </c>
      <c r="T1884" s="5">
        <v>542.5</v>
      </c>
      <c r="V1884" s="5">
        <v>531.46</v>
      </c>
      <c r="Y1884" s="5">
        <v>244629</v>
      </c>
      <c r="Z1884" s="5">
        <v>130404916.65000001</v>
      </c>
      <c r="AA1884" s="5">
        <v>15808</v>
      </c>
      <c r="AB1884" s="5" t="s">
        <v>85</v>
      </c>
      <c r="AC1884" s="5">
        <v>1</v>
      </c>
    </row>
    <row r="1885" spans="1:29" x14ac:dyDescent="0.3">
      <c r="A1885" s="34">
        <v>46274</v>
      </c>
      <c r="B1885" s="34">
        <v>46274</v>
      </c>
      <c r="C1885" s="5" t="s">
        <v>78</v>
      </c>
      <c r="D1885" s="5" t="s">
        <v>79</v>
      </c>
      <c r="E1885" s="5" t="s">
        <v>80</v>
      </c>
      <c r="F1885" s="5">
        <v>2606</v>
      </c>
      <c r="G1885" s="5" t="s">
        <v>5745</v>
      </c>
      <c r="H1885" s="5" t="s">
        <v>5746</v>
      </c>
      <c r="I1885" s="5" t="s">
        <v>212</v>
      </c>
      <c r="N1885" s="5" t="s">
        <v>5747</v>
      </c>
      <c r="O1885" s="5">
        <v>105.13</v>
      </c>
      <c r="P1885" s="5">
        <v>106.86</v>
      </c>
      <c r="Q1885" s="5">
        <v>105.13</v>
      </c>
      <c r="R1885" s="5">
        <v>106.17</v>
      </c>
      <c r="S1885" s="5">
        <v>106.48</v>
      </c>
      <c r="T1885" s="5">
        <v>105.73</v>
      </c>
      <c r="V1885" s="5">
        <v>106.17</v>
      </c>
      <c r="Y1885" s="5">
        <v>3466400</v>
      </c>
      <c r="Z1885" s="5">
        <v>367763949.62</v>
      </c>
      <c r="AA1885" s="5">
        <v>35938</v>
      </c>
      <c r="AB1885" s="5" t="s">
        <v>85</v>
      </c>
      <c r="AC1885" s="5">
        <v>1</v>
      </c>
    </row>
    <row r="1886" spans="1:29" x14ac:dyDescent="0.3">
      <c r="A1886" s="34">
        <v>46274</v>
      </c>
      <c r="B1886" s="34">
        <v>46274</v>
      </c>
      <c r="C1886" s="5" t="s">
        <v>78</v>
      </c>
      <c r="D1886" s="5" t="s">
        <v>79</v>
      </c>
      <c r="E1886" s="5" t="s">
        <v>80</v>
      </c>
      <c r="F1886" s="5">
        <v>759605</v>
      </c>
      <c r="G1886" s="5" t="s">
        <v>5748</v>
      </c>
      <c r="H1886" s="5" t="s">
        <v>5749</v>
      </c>
      <c r="I1886" s="5" t="s">
        <v>212</v>
      </c>
      <c r="N1886" s="5" t="s">
        <v>5750</v>
      </c>
      <c r="O1886" s="5">
        <v>695</v>
      </c>
      <c r="P1886" s="5">
        <v>697.5</v>
      </c>
      <c r="Q1886" s="5">
        <v>681</v>
      </c>
      <c r="R1886" s="5">
        <v>693.9</v>
      </c>
      <c r="S1886" s="5">
        <v>691.55</v>
      </c>
      <c r="T1886" s="5">
        <v>695.75</v>
      </c>
      <c r="V1886" s="5">
        <v>693.91</v>
      </c>
      <c r="Y1886" s="5">
        <v>7262193</v>
      </c>
      <c r="Z1886" s="5">
        <v>5022431239.1000004</v>
      </c>
      <c r="AA1886" s="5">
        <v>118568</v>
      </c>
      <c r="AB1886" s="5" t="s">
        <v>85</v>
      </c>
      <c r="AC1886" s="5">
        <v>1</v>
      </c>
    </row>
    <row r="1887" spans="1:29" x14ac:dyDescent="0.3">
      <c r="A1887" s="34">
        <v>46274</v>
      </c>
      <c r="B1887" s="34">
        <v>46274</v>
      </c>
      <c r="C1887" s="5" t="s">
        <v>78</v>
      </c>
      <c r="D1887" s="5" t="s">
        <v>79</v>
      </c>
      <c r="E1887" s="5" t="s">
        <v>80</v>
      </c>
      <c r="F1887" s="5">
        <v>14459</v>
      </c>
      <c r="G1887" s="5" t="s">
        <v>5751</v>
      </c>
      <c r="H1887" s="5" t="s">
        <v>5752</v>
      </c>
      <c r="I1887" s="5" t="s">
        <v>212</v>
      </c>
      <c r="N1887" s="5" t="s">
        <v>5753</v>
      </c>
      <c r="O1887" s="5">
        <v>13.8</v>
      </c>
      <c r="P1887" s="5">
        <v>13.8</v>
      </c>
      <c r="Q1887" s="5">
        <v>13.07</v>
      </c>
      <c r="R1887" s="5">
        <v>13.35</v>
      </c>
      <c r="S1887" s="5">
        <v>13.33</v>
      </c>
      <c r="T1887" s="5">
        <v>13.47</v>
      </c>
      <c r="V1887" s="5">
        <v>13.35</v>
      </c>
      <c r="Y1887" s="5">
        <v>9261</v>
      </c>
      <c r="Z1887" s="5">
        <v>124994.33</v>
      </c>
      <c r="AA1887" s="5">
        <v>88</v>
      </c>
      <c r="AB1887" s="5" t="s">
        <v>85</v>
      </c>
      <c r="AC1887" s="5">
        <v>1</v>
      </c>
    </row>
    <row r="1888" spans="1:29" x14ac:dyDescent="0.3">
      <c r="A1888" s="34">
        <v>46274</v>
      </c>
      <c r="B1888" s="34">
        <v>46274</v>
      </c>
      <c r="C1888" s="5" t="s">
        <v>78</v>
      </c>
      <c r="D1888" s="5" t="s">
        <v>79</v>
      </c>
      <c r="E1888" s="5" t="s">
        <v>80</v>
      </c>
      <c r="F1888" s="5">
        <v>18321</v>
      </c>
      <c r="G1888" s="5" t="s">
        <v>5754</v>
      </c>
      <c r="H1888" s="5" t="s">
        <v>5755</v>
      </c>
      <c r="I1888" s="5" t="s">
        <v>212</v>
      </c>
      <c r="N1888" s="5" t="s">
        <v>5756</v>
      </c>
      <c r="O1888" s="5">
        <v>1749</v>
      </c>
      <c r="P1888" s="5">
        <v>1749</v>
      </c>
      <c r="Q1888" s="5">
        <v>1714.1</v>
      </c>
      <c r="R1888" s="5">
        <v>1729.7</v>
      </c>
      <c r="S1888" s="5">
        <v>1729.9</v>
      </c>
      <c r="T1888" s="5">
        <v>1736.7</v>
      </c>
      <c r="V1888" s="5">
        <v>1729.57</v>
      </c>
      <c r="Y1888" s="5">
        <v>22866</v>
      </c>
      <c r="Z1888" s="5">
        <v>39628285.200000003</v>
      </c>
      <c r="AA1888" s="5">
        <v>6668</v>
      </c>
      <c r="AB1888" s="5" t="s">
        <v>85</v>
      </c>
      <c r="AC1888" s="5">
        <v>1</v>
      </c>
    </row>
    <row r="1889" spans="1:29" x14ac:dyDescent="0.3">
      <c r="A1889" s="34">
        <v>46274</v>
      </c>
      <c r="B1889" s="34">
        <v>46274</v>
      </c>
      <c r="C1889" s="5" t="s">
        <v>78</v>
      </c>
      <c r="D1889" s="5" t="s">
        <v>79</v>
      </c>
      <c r="E1889" s="5" t="s">
        <v>80</v>
      </c>
      <c r="F1889" s="5">
        <v>760213</v>
      </c>
      <c r="G1889" s="5" t="s">
        <v>5757</v>
      </c>
      <c r="H1889" s="5" t="s">
        <v>5758</v>
      </c>
      <c r="I1889" s="5" t="s">
        <v>212</v>
      </c>
      <c r="N1889" s="5" t="s">
        <v>5759</v>
      </c>
      <c r="O1889" s="5">
        <v>1668.6</v>
      </c>
      <c r="P1889" s="5">
        <v>1673</v>
      </c>
      <c r="Q1889" s="5">
        <v>1640.4</v>
      </c>
      <c r="R1889" s="5">
        <v>1647.8</v>
      </c>
      <c r="S1889" s="5">
        <v>1643</v>
      </c>
      <c r="T1889" s="5">
        <v>1672.2</v>
      </c>
      <c r="V1889" s="5">
        <v>1647.78</v>
      </c>
      <c r="Y1889" s="5">
        <v>285259</v>
      </c>
      <c r="Z1889" s="5">
        <v>472816087.19999999</v>
      </c>
      <c r="AA1889" s="5">
        <v>28920</v>
      </c>
      <c r="AB1889" s="5" t="s">
        <v>85</v>
      </c>
      <c r="AC1889" s="5">
        <v>1</v>
      </c>
    </row>
    <row r="1890" spans="1:29" x14ac:dyDescent="0.3">
      <c r="A1890" s="34">
        <v>46274</v>
      </c>
      <c r="B1890" s="34">
        <v>46274</v>
      </c>
      <c r="C1890" s="5" t="s">
        <v>78</v>
      </c>
      <c r="D1890" s="5" t="s">
        <v>79</v>
      </c>
      <c r="E1890" s="5" t="s">
        <v>80</v>
      </c>
      <c r="F1890" s="5">
        <v>11082</v>
      </c>
      <c r="G1890" s="5" t="s">
        <v>5760</v>
      </c>
      <c r="H1890" s="5" t="s">
        <v>5761</v>
      </c>
      <c r="I1890" s="5" t="s">
        <v>212</v>
      </c>
      <c r="N1890" s="5" t="s">
        <v>5762</v>
      </c>
      <c r="O1890" s="5">
        <v>10.34</v>
      </c>
      <c r="P1890" s="5">
        <v>10.34</v>
      </c>
      <c r="Q1890" s="5">
        <v>9.91</v>
      </c>
      <c r="R1890" s="5">
        <v>9.99</v>
      </c>
      <c r="S1890" s="5">
        <v>9.99</v>
      </c>
      <c r="T1890" s="5">
        <v>9.99</v>
      </c>
      <c r="V1890" s="5">
        <v>9.99</v>
      </c>
      <c r="Y1890" s="5">
        <v>9534</v>
      </c>
      <c r="Z1890" s="5">
        <v>95594.95</v>
      </c>
      <c r="AA1890" s="5">
        <v>96</v>
      </c>
      <c r="AB1890" s="5" t="s">
        <v>85</v>
      </c>
      <c r="AC1890" s="5">
        <v>1</v>
      </c>
    </row>
    <row r="1891" spans="1:29" x14ac:dyDescent="0.3">
      <c r="A1891" s="34">
        <v>46274</v>
      </c>
      <c r="B1891" s="34">
        <v>46274</v>
      </c>
      <c r="C1891" s="5" t="s">
        <v>78</v>
      </c>
      <c r="D1891" s="5" t="s">
        <v>79</v>
      </c>
      <c r="E1891" s="5" t="s">
        <v>80</v>
      </c>
      <c r="F1891" s="5">
        <v>1994</v>
      </c>
      <c r="G1891" s="5" t="s">
        <v>5763</v>
      </c>
      <c r="H1891" s="5" t="s">
        <v>5764</v>
      </c>
      <c r="I1891" s="5" t="s">
        <v>212</v>
      </c>
      <c r="N1891" s="5" t="s">
        <v>5765</v>
      </c>
      <c r="O1891" s="5">
        <v>231.98</v>
      </c>
      <c r="P1891" s="5">
        <v>240.88</v>
      </c>
      <c r="Q1891" s="5">
        <v>226.81</v>
      </c>
      <c r="R1891" s="5">
        <v>233.05</v>
      </c>
      <c r="S1891" s="5">
        <v>232.5</v>
      </c>
      <c r="T1891" s="5">
        <v>226.85</v>
      </c>
      <c r="V1891" s="5">
        <v>233.07</v>
      </c>
      <c r="Y1891" s="5">
        <v>47059</v>
      </c>
      <c r="Z1891" s="5">
        <v>11000678.1</v>
      </c>
      <c r="AA1891" s="5">
        <v>1426</v>
      </c>
      <c r="AB1891" s="5" t="s">
        <v>85</v>
      </c>
      <c r="AC1891" s="5">
        <v>1</v>
      </c>
    </row>
    <row r="1892" spans="1:29" x14ac:dyDescent="0.3">
      <c r="A1892" s="34">
        <v>46274</v>
      </c>
      <c r="B1892" s="34">
        <v>46274</v>
      </c>
      <c r="C1892" s="5" t="s">
        <v>78</v>
      </c>
      <c r="D1892" s="5" t="s">
        <v>79</v>
      </c>
      <c r="E1892" s="5" t="s">
        <v>80</v>
      </c>
      <c r="F1892" s="5">
        <v>1997</v>
      </c>
      <c r="G1892" s="5" t="s">
        <v>5766</v>
      </c>
      <c r="H1892" s="5" t="s">
        <v>5767</v>
      </c>
      <c r="I1892" s="5" t="s">
        <v>212</v>
      </c>
      <c r="N1892" s="5" t="s">
        <v>5768</v>
      </c>
      <c r="O1892" s="5">
        <v>560</v>
      </c>
      <c r="P1892" s="5">
        <v>564.75</v>
      </c>
      <c r="Q1892" s="5">
        <v>550.45000000000005</v>
      </c>
      <c r="R1892" s="5">
        <v>555</v>
      </c>
      <c r="S1892" s="5">
        <v>555</v>
      </c>
      <c r="T1892" s="5">
        <v>563</v>
      </c>
      <c r="V1892" s="5">
        <v>555</v>
      </c>
      <c r="Y1892" s="5">
        <v>2616014</v>
      </c>
      <c r="Z1892" s="5">
        <v>1457208980.45</v>
      </c>
      <c r="AA1892" s="5">
        <v>33389</v>
      </c>
      <c r="AB1892" s="5" t="s">
        <v>85</v>
      </c>
      <c r="AC1892" s="5">
        <v>1</v>
      </c>
    </row>
    <row r="1893" spans="1:29" x14ac:dyDescent="0.3">
      <c r="A1893" s="34">
        <v>46274</v>
      </c>
      <c r="B1893" s="34">
        <v>46274</v>
      </c>
      <c r="C1893" s="5" t="s">
        <v>78</v>
      </c>
      <c r="D1893" s="5" t="s">
        <v>79</v>
      </c>
      <c r="E1893" s="5" t="s">
        <v>80</v>
      </c>
      <c r="F1893" s="5">
        <v>25640</v>
      </c>
      <c r="G1893" s="5" t="s">
        <v>5769</v>
      </c>
      <c r="H1893" s="5" t="s">
        <v>5770</v>
      </c>
      <c r="I1893" s="5" t="s">
        <v>212</v>
      </c>
      <c r="N1893" s="5" t="s">
        <v>5771</v>
      </c>
      <c r="O1893" s="5">
        <v>135.19999999999999</v>
      </c>
      <c r="P1893" s="5">
        <v>137.69999999999999</v>
      </c>
      <c r="Q1893" s="5">
        <v>135.19999999999999</v>
      </c>
      <c r="R1893" s="5">
        <v>136.9</v>
      </c>
      <c r="S1893" s="5">
        <v>137</v>
      </c>
      <c r="T1893" s="5">
        <v>137.19999999999999</v>
      </c>
      <c r="V1893" s="5">
        <v>136.9</v>
      </c>
      <c r="Y1893" s="5">
        <v>381839</v>
      </c>
      <c r="Z1893" s="5">
        <v>52309056.450000003</v>
      </c>
      <c r="AA1893" s="5">
        <v>424</v>
      </c>
      <c r="AB1893" s="5" t="s">
        <v>85</v>
      </c>
      <c r="AC1893" s="5">
        <v>1</v>
      </c>
    </row>
    <row r="1894" spans="1:29" x14ac:dyDescent="0.3">
      <c r="A1894" s="34">
        <v>46274</v>
      </c>
      <c r="B1894" s="34">
        <v>46274</v>
      </c>
      <c r="C1894" s="5" t="s">
        <v>78</v>
      </c>
      <c r="D1894" s="5" t="s">
        <v>79</v>
      </c>
      <c r="E1894" s="5" t="s">
        <v>80</v>
      </c>
      <c r="F1894" s="5">
        <v>11319</v>
      </c>
      <c r="G1894" s="5" t="s">
        <v>5772</v>
      </c>
      <c r="H1894" s="5" t="s">
        <v>5773</v>
      </c>
      <c r="I1894" s="5" t="s">
        <v>212</v>
      </c>
      <c r="N1894" s="5" t="s">
        <v>5774</v>
      </c>
      <c r="O1894" s="5">
        <v>263.93</v>
      </c>
      <c r="P1894" s="5">
        <v>265.25</v>
      </c>
      <c r="Q1894" s="5">
        <v>263.93</v>
      </c>
      <c r="R1894" s="5">
        <v>264.24</v>
      </c>
      <c r="S1894" s="5">
        <v>264.01</v>
      </c>
      <c r="T1894" s="5">
        <v>266.60000000000002</v>
      </c>
      <c r="V1894" s="5">
        <v>264.24</v>
      </c>
      <c r="Y1894" s="5">
        <v>159</v>
      </c>
      <c r="Z1894" s="5">
        <v>42061.46</v>
      </c>
      <c r="AA1894" s="5">
        <v>24</v>
      </c>
      <c r="AB1894" s="5" t="s">
        <v>85</v>
      </c>
      <c r="AC1894" s="5">
        <v>1</v>
      </c>
    </row>
    <row r="1895" spans="1:29" x14ac:dyDescent="0.3">
      <c r="A1895" s="34">
        <v>46274</v>
      </c>
      <c r="B1895" s="34">
        <v>46274</v>
      </c>
      <c r="C1895" s="5" t="s">
        <v>78</v>
      </c>
      <c r="D1895" s="5" t="s">
        <v>79</v>
      </c>
      <c r="E1895" s="5" t="s">
        <v>80</v>
      </c>
      <c r="F1895" s="5">
        <v>11441</v>
      </c>
      <c r="G1895" s="5" t="s">
        <v>5775</v>
      </c>
      <c r="H1895" s="5" t="s">
        <v>5776</v>
      </c>
      <c r="I1895" s="5" t="s">
        <v>212</v>
      </c>
      <c r="N1895" s="5" t="s">
        <v>5777</v>
      </c>
      <c r="O1895" s="5">
        <v>851.92</v>
      </c>
      <c r="P1895" s="5">
        <v>852.79</v>
      </c>
      <c r="Q1895" s="5">
        <v>847.51</v>
      </c>
      <c r="R1895" s="5">
        <v>849.25</v>
      </c>
      <c r="S1895" s="5">
        <v>849.25</v>
      </c>
      <c r="T1895" s="5">
        <v>858.9</v>
      </c>
      <c r="V1895" s="5">
        <v>849.25</v>
      </c>
      <c r="Y1895" s="5">
        <v>214</v>
      </c>
      <c r="Z1895" s="5">
        <v>181791.92</v>
      </c>
      <c r="AA1895" s="5">
        <v>9</v>
      </c>
      <c r="AB1895" s="5" t="s">
        <v>85</v>
      </c>
      <c r="AC1895" s="5">
        <v>1</v>
      </c>
    </row>
    <row r="1896" spans="1:29" x14ac:dyDescent="0.3">
      <c r="A1896" s="34">
        <v>46274</v>
      </c>
      <c r="B1896" s="34">
        <v>46274</v>
      </c>
      <c r="C1896" s="5" t="s">
        <v>78</v>
      </c>
      <c r="D1896" s="5" t="s">
        <v>79</v>
      </c>
      <c r="E1896" s="5" t="s">
        <v>80</v>
      </c>
      <c r="F1896" s="5">
        <v>15229</v>
      </c>
      <c r="G1896" s="5" t="s">
        <v>5778</v>
      </c>
      <c r="H1896" s="5" t="s">
        <v>5779</v>
      </c>
      <c r="I1896" s="5" t="s">
        <v>212</v>
      </c>
      <c r="N1896" s="5" t="s">
        <v>5780</v>
      </c>
      <c r="O1896" s="5">
        <v>271.8</v>
      </c>
      <c r="P1896" s="5">
        <v>277.23</v>
      </c>
      <c r="Q1896" s="5">
        <v>269.7</v>
      </c>
      <c r="R1896" s="5">
        <v>274.86</v>
      </c>
      <c r="S1896" s="5">
        <v>271.27999999999997</v>
      </c>
      <c r="T1896" s="5">
        <v>272.42</v>
      </c>
      <c r="V1896" s="5">
        <v>275.08999999999997</v>
      </c>
      <c r="Y1896" s="5">
        <v>2136</v>
      </c>
      <c r="Z1896" s="5">
        <v>586441.84</v>
      </c>
      <c r="AA1896" s="5">
        <v>40</v>
      </c>
      <c r="AB1896" s="5" t="s">
        <v>85</v>
      </c>
      <c r="AC1896" s="5">
        <v>1</v>
      </c>
    </row>
    <row r="1897" spans="1:29" x14ac:dyDescent="0.3">
      <c r="A1897" s="34">
        <v>46274</v>
      </c>
      <c r="B1897" s="34">
        <v>46274</v>
      </c>
      <c r="C1897" s="5" t="s">
        <v>78</v>
      </c>
      <c r="D1897" s="5" t="s">
        <v>79</v>
      </c>
      <c r="E1897" s="5" t="s">
        <v>80</v>
      </c>
      <c r="F1897" s="5">
        <v>6062</v>
      </c>
      <c r="G1897" s="5" t="s">
        <v>5781</v>
      </c>
      <c r="H1897" s="5" t="s">
        <v>5782</v>
      </c>
      <c r="I1897" s="5" t="s">
        <v>212</v>
      </c>
      <c r="N1897" s="5" t="s">
        <v>5783</v>
      </c>
      <c r="O1897" s="5">
        <v>29.38</v>
      </c>
      <c r="P1897" s="5">
        <v>29.38</v>
      </c>
      <c r="Q1897" s="5">
        <v>29.31</v>
      </c>
      <c r="R1897" s="5">
        <v>29.37</v>
      </c>
      <c r="S1897" s="5">
        <v>29.37</v>
      </c>
      <c r="T1897" s="5">
        <v>29.38</v>
      </c>
      <c r="V1897" s="5">
        <v>29.37</v>
      </c>
      <c r="Y1897" s="5">
        <v>1812</v>
      </c>
      <c r="Z1897" s="5">
        <v>53187.27</v>
      </c>
      <c r="AA1897" s="5">
        <v>58</v>
      </c>
      <c r="AB1897" s="5" t="s">
        <v>85</v>
      </c>
      <c r="AC1897" s="5">
        <v>1</v>
      </c>
    </row>
    <row r="1898" spans="1:29" x14ac:dyDescent="0.3">
      <c r="A1898" s="34">
        <v>46274</v>
      </c>
      <c r="B1898" s="34">
        <v>46274</v>
      </c>
      <c r="C1898" s="5" t="s">
        <v>78</v>
      </c>
      <c r="D1898" s="5" t="s">
        <v>79</v>
      </c>
      <c r="E1898" s="5" t="s">
        <v>80</v>
      </c>
      <c r="F1898" s="5">
        <v>22722</v>
      </c>
      <c r="G1898" s="5" t="s">
        <v>5784</v>
      </c>
      <c r="H1898" s="5" t="s">
        <v>5785</v>
      </c>
      <c r="I1898" s="5" t="s">
        <v>212</v>
      </c>
      <c r="N1898" s="5" t="s">
        <v>5786</v>
      </c>
      <c r="O1898" s="5">
        <v>63.26</v>
      </c>
      <c r="P1898" s="5">
        <v>63.5</v>
      </c>
      <c r="Q1898" s="5">
        <v>62.52</v>
      </c>
      <c r="R1898" s="5">
        <v>62.77</v>
      </c>
      <c r="S1898" s="5">
        <v>62.52</v>
      </c>
      <c r="T1898" s="5">
        <v>63.65</v>
      </c>
      <c r="V1898" s="5">
        <v>62.77</v>
      </c>
      <c r="Y1898" s="5">
        <v>7891</v>
      </c>
      <c r="Z1898" s="5">
        <v>496249.24</v>
      </c>
      <c r="AA1898" s="5">
        <v>116</v>
      </c>
      <c r="AB1898" s="5" t="s">
        <v>85</v>
      </c>
      <c r="AC1898" s="5">
        <v>1</v>
      </c>
    </row>
    <row r="1899" spans="1:29" x14ac:dyDescent="0.3">
      <c r="A1899" s="34">
        <v>46274</v>
      </c>
      <c r="B1899" s="34">
        <v>46274</v>
      </c>
      <c r="C1899" s="5" t="s">
        <v>78</v>
      </c>
      <c r="D1899" s="5" t="s">
        <v>79</v>
      </c>
      <c r="E1899" s="5" t="s">
        <v>80</v>
      </c>
      <c r="F1899" s="5">
        <v>9480</v>
      </c>
      <c r="G1899" s="5" t="s">
        <v>5787</v>
      </c>
      <c r="H1899" s="5" t="s">
        <v>5788</v>
      </c>
      <c r="I1899" s="5" t="s">
        <v>212</v>
      </c>
      <c r="N1899" s="5" t="s">
        <v>5789</v>
      </c>
      <c r="O1899" s="5">
        <v>410</v>
      </c>
      <c r="P1899" s="5">
        <v>410.95</v>
      </c>
      <c r="Q1899" s="5">
        <v>406.55</v>
      </c>
      <c r="R1899" s="5">
        <v>407.5</v>
      </c>
      <c r="S1899" s="5">
        <v>407.5</v>
      </c>
      <c r="T1899" s="5">
        <v>410.75</v>
      </c>
      <c r="V1899" s="5">
        <v>407.5</v>
      </c>
      <c r="Y1899" s="5">
        <v>5491468</v>
      </c>
      <c r="Z1899" s="5">
        <v>2241658393.5500002</v>
      </c>
      <c r="AA1899" s="5">
        <v>41386</v>
      </c>
      <c r="AB1899" s="5" t="s">
        <v>85</v>
      </c>
      <c r="AC1899" s="5">
        <v>1</v>
      </c>
    </row>
    <row r="1900" spans="1:29" x14ac:dyDescent="0.3">
      <c r="A1900" s="34">
        <v>46274</v>
      </c>
      <c r="B1900" s="34">
        <v>46274</v>
      </c>
      <c r="C1900" s="5" t="s">
        <v>78</v>
      </c>
      <c r="D1900" s="5" t="s">
        <v>79</v>
      </c>
      <c r="E1900" s="5" t="s">
        <v>80</v>
      </c>
      <c r="F1900" s="5">
        <v>578</v>
      </c>
      <c r="G1900" s="5" t="s">
        <v>5790</v>
      </c>
      <c r="H1900" s="5" t="s">
        <v>5791</v>
      </c>
      <c r="I1900" s="5" t="s">
        <v>212</v>
      </c>
      <c r="N1900" s="5" t="s">
        <v>5792</v>
      </c>
      <c r="O1900" s="5">
        <v>201.93</v>
      </c>
      <c r="P1900" s="5">
        <v>230.4</v>
      </c>
      <c r="Q1900" s="5">
        <v>201.9</v>
      </c>
      <c r="R1900" s="5">
        <v>221.61</v>
      </c>
      <c r="S1900" s="5">
        <v>224</v>
      </c>
      <c r="T1900" s="5">
        <v>203.77</v>
      </c>
      <c r="V1900" s="5">
        <v>221.56</v>
      </c>
      <c r="Y1900" s="5">
        <v>1147269</v>
      </c>
      <c r="Z1900" s="5">
        <v>258097550.71000001</v>
      </c>
      <c r="AA1900" s="5">
        <v>14608</v>
      </c>
      <c r="AB1900" s="5" t="s">
        <v>85</v>
      </c>
      <c r="AC1900" s="5">
        <v>1</v>
      </c>
    </row>
    <row r="1901" spans="1:29" x14ac:dyDescent="0.3">
      <c r="A1901" s="34">
        <v>46274</v>
      </c>
      <c r="B1901" s="34">
        <v>46274</v>
      </c>
      <c r="C1901" s="5" t="s">
        <v>78</v>
      </c>
      <c r="D1901" s="5" t="s">
        <v>79</v>
      </c>
      <c r="E1901" s="5" t="s">
        <v>80</v>
      </c>
      <c r="F1901" s="5">
        <v>6951</v>
      </c>
      <c r="G1901" s="5" t="s">
        <v>5793</v>
      </c>
      <c r="H1901" s="5" t="s">
        <v>5794</v>
      </c>
      <c r="I1901" s="5" t="s">
        <v>212</v>
      </c>
      <c r="N1901" s="5" t="s">
        <v>5795</v>
      </c>
      <c r="O1901" s="5">
        <v>100</v>
      </c>
      <c r="P1901" s="5">
        <v>100</v>
      </c>
      <c r="Q1901" s="5">
        <v>96.1</v>
      </c>
      <c r="R1901" s="5">
        <v>98.1</v>
      </c>
      <c r="S1901" s="5">
        <v>98.79</v>
      </c>
      <c r="T1901" s="5">
        <v>98.31</v>
      </c>
      <c r="V1901" s="5">
        <v>98.1</v>
      </c>
      <c r="Y1901" s="5">
        <v>10519</v>
      </c>
      <c r="Z1901" s="5">
        <v>1031128.44</v>
      </c>
      <c r="AA1901" s="5">
        <v>346</v>
      </c>
      <c r="AB1901" s="5" t="s">
        <v>85</v>
      </c>
      <c r="AC1901" s="5">
        <v>1</v>
      </c>
    </row>
    <row r="1902" spans="1:29" x14ac:dyDescent="0.3">
      <c r="A1902" s="34">
        <v>46274</v>
      </c>
      <c r="B1902" s="34">
        <v>46274</v>
      </c>
      <c r="C1902" s="5" t="s">
        <v>78</v>
      </c>
      <c r="D1902" s="5" t="s">
        <v>79</v>
      </c>
      <c r="E1902" s="5" t="s">
        <v>80</v>
      </c>
      <c r="F1902" s="5">
        <v>11596</v>
      </c>
      <c r="G1902" s="5" t="s">
        <v>5796</v>
      </c>
      <c r="H1902" s="5" t="s">
        <v>5797</v>
      </c>
      <c r="I1902" s="5" t="s">
        <v>212</v>
      </c>
      <c r="N1902" s="5" t="s">
        <v>5798</v>
      </c>
      <c r="O1902" s="5">
        <v>639.9</v>
      </c>
      <c r="P1902" s="5">
        <v>642.9</v>
      </c>
      <c r="Q1902" s="5">
        <v>632.35</v>
      </c>
      <c r="R1902" s="5">
        <v>637.5</v>
      </c>
      <c r="S1902" s="5">
        <v>638.5</v>
      </c>
      <c r="T1902" s="5">
        <v>639.79999999999995</v>
      </c>
      <c r="V1902" s="5">
        <v>637.72</v>
      </c>
      <c r="Y1902" s="5">
        <v>31329</v>
      </c>
      <c r="Z1902" s="5">
        <v>19973695.800000001</v>
      </c>
      <c r="AA1902" s="5">
        <v>2365</v>
      </c>
      <c r="AB1902" s="5" t="s">
        <v>85</v>
      </c>
      <c r="AC1902" s="5">
        <v>1</v>
      </c>
    </row>
    <row r="1903" spans="1:29" x14ac:dyDescent="0.3">
      <c r="A1903" s="34">
        <v>46274</v>
      </c>
      <c r="B1903" s="34">
        <v>46274</v>
      </c>
      <c r="C1903" s="5" t="s">
        <v>78</v>
      </c>
      <c r="D1903" s="5" t="s">
        <v>79</v>
      </c>
      <c r="E1903" s="5" t="s">
        <v>80</v>
      </c>
      <c r="F1903" s="5">
        <v>1627</v>
      </c>
      <c r="G1903" s="5" t="s">
        <v>5799</v>
      </c>
      <c r="H1903" s="5" t="s">
        <v>5800</v>
      </c>
      <c r="I1903" s="5" t="s">
        <v>212</v>
      </c>
      <c r="N1903" s="5" t="s">
        <v>5801</v>
      </c>
      <c r="O1903" s="5">
        <v>6401</v>
      </c>
      <c r="P1903" s="5">
        <v>6458.5</v>
      </c>
      <c r="Q1903" s="5">
        <v>6322</v>
      </c>
      <c r="R1903" s="5">
        <v>6352.5</v>
      </c>
      <c r="S1903" s="5">
        <v>6322</v>
      </c>
      <c r="T1903" s="5">
        <v>6380</v>
      </c>
      <c r="V1903" s="5">
        <v>6352.58</v>
      </c>
      <c r="Y1903" s="5">
        <v>45955</v>
      </c>
      <c r="Z1903" s="5">
        <v>294235327.5</v>
      </c>
      <c r="AA1903" s="5">
        <v>5862</v>
      </c>
      <c r="AB1903" s="5" t="s">
        <v>85</v>
      </c>
      <c r="AC1903" s="5">
        <v>1</v>
      </c>
    </row>
    <row r="1904" spans="1:29" x14ac:dyDescent="0.3">
      <c r="A1904" s="34">
        <v>46274</v>
      </c>
      <c r="B1904" s="34">
        <v>46274</v>
      </c>
      <c r="C1904" s="5" t="s">
        <v>78</v>
      </c>
      <c r="D1904" s="5" t="s">
        <v>79</v>
      </c>
      <c r="E1904" s="5" t="s">
        <v>80</v>
      </c>
      <c r="F1904" s="5">
        <v>17801</v>
      </c>
      <c r="G1904" s="5" t="s">
        <v>5802</v>
      </c>
      <c r="H1904" s="5" t="s">
        <v>5803</v>
      </c>
      <c r="I1904" s="5" t="s">
        <v>212</v>
      </c>
      <c r="N1904" s="5" t="s">
        <v>5804</v>
      </c>
      <c r="O1904" s="5">
        <v>81.8</v>
      </c>
      <c r="P1904" s="5">
        <v>82.47</v>
      </c>
      <c r="Q1904" s="5">
        <v>80.709999999999994</v>
      </c>
      <c r="R1904" s="5">
        <v>81.31</v>
      </c>
      <c r="S1904" s="5">
        <v>81.05</v>
      </c>
      <c r="T1904" s="5">
        <v>81.81</v>
      </c>
      <c r="V1904" s="5">
        <v>81.3</v>
      </c>
      <c r="Y1904" s="5">
        <v>4107410</v>
      </c>
      <c r="Z1904" s="5">
        <v>334432696.18000001</v>
      </c>
      <c r="AA1904" s="5">
        <v>16810</v>
      </c>
      <c r="AB1904" s="5" t="s">
        <v>85</v>
      </c>
      <c r="AC1904" s="5">
        <v>1</v>
      </c>
    </row>
    <row r="1905" spans="1:29" x14ac:dyDescent="0.3">
      <c r="A1905" s="34">
        <v>46274</v>
      </c>
      <c r="B1905" s="34">
        <v>46274</v>
      </c>
      <c r="C1905" s="5" t="s">
        <v>78</v>
      </c>
      <c r="D1905" s="5" t="s">
        <v>79</v>
      </c>
      <c r="E1905" s="5" t="s">
        <v>80</v>
      </c>
      <c r="F1905" s="5">
        <v>25807</v>
      </c>
      <c r="G1905" s="5" t="s">
        <v>5805</v>
      </c>
      <c r="H1905" s="5" t="s">
        <v>5806</v>
      </c>
      <c r="I1905" s="5" t="s">
        <v>212</v>
      </c>
      <c r="N1905" s="5" t="s">
        <v>5807</v>
      </c>
      <c r="O1905" s="5">
        <v>71.03</v>
      </c>
      <c r="P1905" s="5">
        <v>71.989999999999995</v>
      </c>
      <c r="Q1905" s="5">
        <v>70.180000000000007</v>
      </c>
      <c r="R1905" s="5">
        <v>70.430000000000007</v>
      </c>
      <c r="S1905" s="5">
        <v>70.78</v>
      </c>
      <c r="T1905" s="5">
        <v>71.05</v>
      </c>
      <c r="V1905" s="5">
        <v>70.430000000000007</v>
      </c>
      <c r="Y1905" s="5">
        <v>1050080</v>
      </c>
      <c r="Z1905" s="5">
        <v>74436508.200000003</v>
      </c>
      <c r="AA1905" s="5">
        <v>6907</v>
      </c>
      <c r="AB1905" s="5" t="s">
        <v>85</v>
      </c>
      <c r="AC1905" s="5">
        <v>1</v>
      </c>
    </row>
    <row r="1906" spans="1:29" x14ac:dyDescent="0.3">
      <c r="A1906" s="34">
        <v>46274</v>
      </c>
      <c r="B1906" s="34">
        <v>46274</v>
      </c>
      <c r="C1906" s="5" t="s">
        <v>78</v>
      </c>
      <c r="D1906" s="5" t="s">
        <v>79</v>
      </c>
      <c r="E1906" s="5" t="s">
        <v>80</v>
      </c>
      <c r="F1906" s="5">
        <v>11472</v>
      </c>
      <c r="G1906" s="5" t="s">
        <v>5808</v>
      </c>
      <c r="H1906" s="5" t="s">
        <v>5809</v>
      </c>
      <c r="I1906" s="5" t="s">
        <v>313</v>
      </c>
      <c r="N1906" s="5" t="s">
        <v>5810</v>
      </c>
      <c r="O1906" s="5">
        <v>60</v>
      </c>
      <c r="P1906" s="5">
        <v>60</v>
      </c>
      <c r="Q1906" s="5">
        <v>57</v>
      </c>
      <c r="R1906" s="5">
        <v>57</v>
      </c>
      <c r="S1906" s="5">
        <v>57</v>
      </c>
      <c r="T1906" s="5">
        <v>60</v>
      </c>
      <c r="V1906" s="5">
        <v>57</v>
      </c>
      <c r="Y1906" s="5">
        <v>7000</v>
      </c>
      <c r="Z1906" s="5">
        <v>408500</v>
      </c>
      <c r="AA1906" s="5">
        <v>6</v>
      </c>
      <c r="AB1906" s="5" t="s">
        <v>85</v>
      </c>
      <c r="AC1906" s="5">
        <v>1000</v>
      </c>
    </row>
    <row r="1907" spans="1:29" x14ac:dyDescent="0.3">
      <c r="A1907" s="34">
        <v>46274</v>
      </c>
      <c r="B1907" s="34">
        <v>46274</v>
      </c>
      <c r="C1907" s="5" t="s">
        <v>78</v>
      </c>
      <c r="D1907" s="5" t="s">
        <v>79</v>
      </c>
      <c r="E1907" s="5" t="s">
        <v>80</v>
      </c>
      <c r="F1907" s="5">
        <v>17313</v>
      </c>
      <c r="G1907" s="5" t="s">
        <v>5811</v>
      </c>
      <c r="H1907" s="5" t="s">
        <v>5812</v>
      </c>
      <c r="I1907" s="5" t="s">
        <v>212</v>
      </c>
      <c r="N1907" s="5" t="s">
        <v>5813</v>
      </c>
      <c r="O1907" s="5">
        <v>1799</v>
      </c>
      <c r="P1907" s="5">
        <v>1822</v>
      </c>
      <c r="Q1907" s="5">
        <v>1799</v>
      </c>
      <c r="R1907" s="5">
        <v>1807.6</v>
      </c>
      <c r="S1907" s="5">
        <v>1805</v>
      </c>
      <c r="T1907" s="5">
        <v>1799.3</v>
      </c>
      <c r="V1907" s="5">
        <v>1807.6</v>
      </c>
      <c r="Y1907" s="5">
        <v>188202</v>
      </c>
      <c r="Z1907" s="5">
        <v>340876389.60000002</v>
      </c>
      <c r="AA1907" s="5">
        <v>14189</v>
      </c>
      <c r="AB1907" s="5" t="s">
        <v>85</v>
      </c>
      <c r="AC1907" s="5">
        <v>1</v>
      </c>
    </row>
    <row r="1908" spans="1:29" x14ac:dyDescent="0.3">
      <c r="A1908" s="34">
        <v>46274</v>
      </c>
      <c r="B1908" s="34">
        <v>46274</v>
      </c>
      <c r="C1908" s="5" t="s">
        <v>78</v>
      </c>
      <c r="D1908" s="5" t="s">
        <v>79</v>
      </c>
      <c r="E1908" s="5" t="s">
        <v>80</v>
      </c>
      <c r="F1908" s="5">
        <v>1979</v>
      </c>
      <c r="G1908" s="5" t="s">
        <v>5814</v>
      </c>
      <c r="H1908" s="5" t="s">
        <v>5815</v>
      </c>
      <c r="I1908" s="5" t="s">
        <v>212</v>
      </c>
      <c r="N1908" s="5" t="s">
        <v>5816</v>
      </c>
      <c r="O1908" s="5">
        <v>18600</v>
      </c>
      <c r="P1908" s="5">
        <v>18600</v>
      </c>
      <c r="Q1908" s="5">
        <v>17900</v>
      </c>
      <c r="R1908" s="5">
        <v>18032</v>
      </c>
      <c r="S1908" s="5">
        <v>18279</v>
      </c>
      <c r="T1908" s="5">
        <v>18603</v>
      </c>
      <c r="V1908" s="5">
        <v>18032.97</v>
      </c>
      <c r="Y1908" s="5">
        <v>6787</v>
      </c>
      <c r="Z1908" s="5">
        <v>122910361</v>
      </c>
      <c r="AA1908" s="5">
        <v>1584</v>
      </c>
      <c r="AB1908" s="5" t="s">
        <v>85</v>
      </c>
      <c r="AC1908" s="5">
        <v>1</v>
      </c>
    </row>
    <row r="1909" spans="1:29" x14ac:dyDescent="0.3">
      <c r="A1909" s="34">
        <v>46274</v>
      </c>
      <c r="B1909" s="34">
        <v>46274</v>
      </c>
      <c r="C1909" s="5" t="s">
        <v>78</v>
      </c>
      <c r="D1909" s="5" t="s">
        <v>79</v>
      </c>
      <c r="E1909" s="5" t="s">
        <v>80</v>
      </c>
      <c r="F1909" s="5">
        <v>3220</v>
      </c>
      <c r="G1909" s="5" t="s">
        <v>5817</v>
      </c>
      <c r="H1909" s="5" t="s">
        <v>5818</v>
      </c>
      <c r="I1909" s="5" t="s">
        <v>212</v>
      </c>
      <c r="N1909" s="5" t="s">
        <v>5819</v>
      </c>
      <c r="O1909" s="5">
        <v>1203.5</v>
      </c>
      <c r="P1909" s="5">
        <v>1213.3</v>
      </c>
      <c r="Q1909" s="5">
        <v>1161</v>
      </c>
      <c r="R1909" s="5">
        <v>1166</v>
      </c>
      <c r="S1909" s="5">
        <v>1166</v>
      </c>
      <c r="T1909" s="5">
        <v>1212</v>
      </c>
      <c r="V1909" s="5">
        <v>1165.99</v>
      </c>
      <c r="Y1909" s="5">
        <v>1560777</v>
      </c>
      <c r="Z1909" s="5">
        <v>1844461589.0999999</v>
      </c>
      <c r="AA1909" s="5">
        <v>31191</v>
      </c>
      <c r="AB1909" s="5" t="s">
        <v>85</v>
      </c>
      <c r="AC1909" s="5">
        <v>1</v>
      </c>
    </row>
    <row r="1910" spans="1:29" x14ac:dyDescent="0.3">
      <c r="A1910" s="34">
        <v>46274</v>
      </c>
      <c r="B1910" s="34">
        <v>46274</v>
      </c>
      <c r="C1910" s="5" t="s">
        <v>78</v>
      </c>
      <c r="D1910" s="5" t="s">
        <v>79</v>
      </c>
      <c r="E1910" s="5" t="s">
        <v>80</v>
      </c>
      <c r="F1910" s="5">
        <v>764296</v>
      </c>
      <c r="G1910" s="5" t="s">
        <v>5820</v>
      </c>
      <c r="H1910" s="5" t="s">
        <v>5821</v>
      </c>
      <c r="I1910" s="5" t="s">
        <v>212</v>
      </c>
      <c r="N1910" s="5" t="s">
        <v>5822</v>
      </c>
      <c r="O1910" s="5">
        <v>556.29999999999995</v>
      </c>
      <c r="P1910" s="5">
        <v>562.9</v>
      </c>
      <c r="Q1910" s="5">
        <v>539</v>
      </c>
      <c r="R1910" s="5">
        <v>544.70000000000005</v>
      </c>
      <c r="S1910" s="5">
        <v>548.1</v>
      </c>
      <c r="T1910" s="5">
        <v>555.79999999999995</v>
      </c>
      <c r="V1910" s="5">
        <v>544.71</v>
      </c>
      <c r="Y1910" s="5">
        <v>383959</v>
      </c>
      <c r="Z1910" s="5">
        <v>209786202</v>
      </c>
      <c r="AA1910" s="5">
        <v>17640</v>
      </c>
      <c r="AB1910" s="5" t="s">
        <v>85</v>
      </c>
      <c r="AC1910" s="5">
        <v>1</v>
      </c>
    </row>
    <row r="1911" spans="1:29" x14ac:dyDescent="0.3">
      <c r="A1911" s="34">
        <v>46274</v>
      </c>
      <c r="B1911" s="34">
        <v>46274</v>
      </c>
      <c r="C1911" s="5" t="s">
        <v>78</v>
      </c>
      <c r="D1911" s="5" t="s">
        <v>79</v>
      </c>
      <c r="E1911" s="5" t="s">
        <v>80</v>
      </c>
      <c r="F1911" s="5">
        <v>13436</v>
      </c>
      <c r="G1911" s="5" t="s">
        <v>5823</v>
      </c>
      <c r="H1911" s="5" t="s">
        <v>5824</v>
      </c>
      <c r="I1911" s="5" t="s">
        <v>212</v>
      </c>
      <c r="N1911" s="5" t="s">
        <v>5825</v>
      </c>
      <c r="O1911" s="5">
        <v>365</v>
      </c>
      <c r="P1911" s="5">
        <v>365</v>
      </c>
      <c r="Q1911" s="5">
        <v>351.8</v>
      </c>
      <c r="R1911" s="5">
        <v>356.85</v>
      </c>
      <c r="S1911" s="5">
        <v>356</v>
      </c>
      <c r="T1911" s="5">
        <v>363.5</v>
      </c>
      <c r="V1911" s="5">
        <v>356.84</v>
      </c>
      <c r="Y1911" s="5">
        <v>27167</v>
      </c>
      <c r="Z1911" s="5">
        <v>9714038.9000000004</v>
      </c>
      <c r="AA1911" s="5">
        <v>1045</v>
      </c>
      <c r="AB1911" s="5" t="s">
        <v>85</v>
      </c>
      <c r="AC1911" s="5">
        <v>1</v>
      </c>
    </row>
    <row r="1912" spans="1:29" x14ac:dyDescent="0.3">
      <c r="A1912" s="34">
        <v>46274</v>
      </c>
      <c r="B1912" s="34">
        <v>46274</v>
      </c>
      <c r="C1912" s="5" t="s">
        <v>78</v>
      </c>
      <c r="D1912" s="5" t="s">
        <v>79</v>
      </c>
      <c r="E1912" s="5" t="s">
        <v>80</v>
      </c>
      <c r="F1912" s="5">
        <v>18232</v>
      </c>
      <c r="G1912" s="5" t="s">
        <v>5826</v>
      </c>
      <c r="H1912" s="5" t="s">
        <v>5827</v>
      </c>
      <c r="I1912" s="5" t="s">
        <v>212</v>
      </c>
      <c r="N1912" s="5" t="s">
        <v>5828</v>
      </c>
      <c r="O1912" s="5">
        <v>139</v>
      </c>
      <c r="P1912" s="5">
        <v>141.4</v>
      </c>
      <c r="Q1912" s="5">
        <v>136.1</v>
      </c>
      <c r="R1912" s="5">
        <v>139.66</v>
      </c>
      <c r="S1912" s="5">
        <v>140</v>
      </c>
      <c r="T1912" s="5">
        <v>138.22999999999999</v>
      </c>
      <c r="V1912" s="5">
        <v>139.24</v>
      </c>
      <c r="Y1912" s="5">
        <v>18982</v>
      </c>
      <c r="Z1912" s="5">
        <v>2654010.5</v>
      </c>
      <c r="AA1912" s="5">
        <v>250</v>
      </c>
      <c r="AB1912" s="5" t="s">
        <v>85</v>
      </c>
      <c r="AC1912" s="5">
        <v>1</v>
      </c>
    </row>
    <row r="1913" spans="1:29" x14ac:dyDescent="0.3">
      <c r="A1913" s="34">
        <v>46274</v>
      </c>
      <c r="B1913" s="34">
        <v>46274</v>
      </c>
      <c r="C1913" s="5" t="s">
        <v>78</v>
      </c>
      <c r="D1913" s="5" t="s">
        <v>79</v>
      </c>
      <c r="E1913" s="5" t="s">
        <v>80</v>
      </c>
      <c r="F1913" s="5">
        <v>14924</v>
      </c>
      <c r="G1913" s="5" t="s">
        <v>5829</v>
      </c>
      <c r="H1913" s="5" t="s">
        <v>5830</v>
      </c>
      <c r="I1913" s="5" t="s">
        <v>212</v>
      </c>
      <c r="N1913" s="5" t="s">
        <v>5831</v>
      </c>
      <c r="O1913" s="5">
        <v>8.93</v>
      </c>
      <c r="P1913" s="5">
        <v>9.9700000000000006</v>
      </c>
      <c r="Q1913" s="5">
        <v>8.65</v>
      </c>
      <c r="R1913" s="5">
        <v>9.1</v>
      </c>
      <c r="S1913" s="5">
        <v>9.2200000000000006</v>
      </c>
      <c r="T1913" s="5">
        <v>8.93</v>
      </c>
      <c r="V1913" s="5">
        <v>9.1</v>
      </c>
      <c r="Y1913" s="5">
        <v>67995</v>
      </c>
      <c r="Z1913" s="5">
        <v>636144.02</v>
      </c>
      <c r="AA1913" s="5">
        <v>303</v>
      </c>
      <c r="AB1913" s="5" t="s">
        <v>85</v>
      </c>
      <c r="AC1913" s="5">
        <v>1</v>
      </c>
    </row>
    <row r="1914" spans="1:29" x14ac:dyDescent="0.3">
      <c r="A1914" s="34">
        <v>46274</v>
      </c>
      <c r="B1914" s="34">
        <v>46274</v>
      </c>
      <c r="C1914" s="5" t="s">
        <v>78</v>
      </c>
      <c r="D1914" s="5" t="s">
        <v>79</v>
      </c>
      <c r="E1914" s="5" t="s">
        <v>80</v>
      </c>
      <c r="F1914" s="5">
        <v>764768</v>
      </c>
      <c r="G1914" s="5" t="s">
        <v>5832</v>
      </c>
      <c r="H1914" s="5" t="s">
        <v>5833</v>
      </c>
      <c r="I1914" s="5" t="s">
        <v>212</v>
      </c>
      <c r="N1914" s="5" t="s">
        <v>5834</v>
      </c>
      <c r="O1914" s="5">
        <v>591</v>
      </c>
      <c r="P1914" s="5">
        <v>603.95000000000005</v>
      </c>
      <c r="Q1914" s="5">
        <v>581.70000000000005</v>
      </c>
      <c r="R1914" s="5">
        <v>587.70000000000005</v>
      </c>
      <c r="S1914" s="5">
        <v>585</v>
      </c>
      <c r="T1914" s="5">
        <v>590.1</v>
      </c>
      <c r="V1914" s="5">
        <v>588.11</v>
      </c>
      <c r="Y1914" s="5">
        <v>2898</v>
      </c>
      <c r="Z1914" s="5">
        <v>1702355.15</v>
      </c>
      <c r="AA1914" s="5">
        <v>298</v>
      </c>
      <c r="AB1914" s="5" t="s">
        <v>85</v>
      </c>
      <c r="AC1914" s="5">
        <v>1</v>
      </c>
    </row>
    <row r="1915" spans="1:29" x14ac:dyDescent="0.3">
      <c r="A1915" s="34">
        <v>46274</v>
      </c>
      <c r="B1915" s="34">
        <v>46274</v>
      </c>
      <c r="C1915" s="5" t="s">
        <v>78</v>
      </c>
      <c r="D1915" s="5" t="s">
        <v>79</v>
      </c>
      <c r="E1915" s="5" t="s">
        <v>80</v>
      </c>
      <c r="F1915" s="5">
        <v>16807</v>
      </c>
      <c r="G1915" s="5" t="s">
        <v>5835</v>
      </c>
      <c r="H1915" s="5" t="s">
        <v>5836</v>
      </c>
      <c r="I1915" s="5" t="s">
        <v>212</v>
      </c>
      <c r="N1915" s="5" t="s">
        <v>5837</v>
      </c>
      <c r="O1915" s="5">
        <v>111.98</v>
      </c>
      <c r="P1915" s="5">
        <v>112</v>
      </c>
      <c r="Q1915" s="5">
        <v>110.05</v>
      </c>
      <c r="R1915" s="5">
        <v>110.96</v>
      </c>
      <c r="S1915" s="5">
        <v>111.49</v>
      </c>
      <c r="T1915" s="5">
        <v>110.66</v>
      </c>
      <c r="V1915" s="5">
        <v>110.94</v>
      </c>
      <c r="Y1915" s="5">
        <v>4252</v>
      </c>
      <c r="Z1915" s="5">
        <v>471958.49</v>
      </c>
      <c r="AA1915" s="5">
        <v>146</v>
      </c>
      <c r="AB1915" s="5" t="s">
        <v>85</v>
      </c>
      <c r="AC1915" s="5">
        <v>1</v>
      </c>
    </row>
    <row r="1916" spans="1:29" x14ac:dyDescent="0.3">
      <c r="A1916" s="34">
        <v>46274</v>
      </c>
      <c r="B1916" s="34">
        <v>46274</v>
      </c>
      <c r="C1916" s="5" t="s">
        <v>78</v>
      </c>
      <c r="D1916" s="5" t="s">
        <v>79</v>
      </c>
      <c r="E1916" s="5" t="s">
        <v>80</v>
      </c>
      <c r="F1916" s="5">
        <v>22415</v>
      </c>
      <c r="G1916" s="5" t="s">
        <v>5838</v>
      </c>
      <c r="H1916" s="5" t="s">
        <v>5839</v>
      </c>
      <c r="I1916" s="5" t="s">
        <v>212</v>
      </c>
      <c r="N1916" s="5" t="s">
        <v>5840</v>
      </c>
      <c r="O1916" s="5">
        <v>71.900000000000006</v>
      </c>
      <c r="P1916" s="5">
        <v>71.900000000000006</v>
      </c>
      <c r="Q1916" s="5">
        <v>69.5</v>
      </c>
      <c r="R1916" s="5">
        <v>69.62</v>
      </c>
      <c r="S1916" s="5">
        <v>70.099999999999994</v>
      </c>
      <c r="T1916" s="5">
        <v>70.41</v>
      </c>
      <c r="V1916" s="5">
        <v>69.62</v>
      </c>
      <c r="Y1916" s="5">
        <v>8486</v>
      </c>
      <c r="Z1916" s="5">
        <v>593383.31000000006</v>
      </c>
      <c r="AA1916" s="5">
        <v>260</v>
      </c>
      <c r="AB1916" s="5" t="s">
        <v>85</v>
      </c>
      <c r="AC1916" s="5">
        <v>1</v>
      </c>
    </row>
    <row r="1917" spans="1:29" x14ac:dyDescent="0.3">
      <c r="A1917" s="34">
        <v>46274</v>
      </c>
      <c r="B1917" s="34">
        <v>46274</v>
      </c>
      <c r="C1917" s="5" t="s">
        <v>78</v>
      </c>
      <c r="D1917" s="5" t="s">
        <v>79</v>
      </c>
      <c r="E1917" s="5" t="s">
        <v>80</v>
      </c>
      <c r="F1917" s="5">
        <v>10590</v>
      </c>
      <c r="G1917" s="5" t="s">
        <v>5841</v>
      </c>
      <c r="H1917" s="5" t="s">
        <v>5842</v>
      </c>
      <c r="I1917" s="5" t="s">
        <v>212</v>
      </c>
      <c r="N1917" s="5" t="s">
        <v>5843</v>
      </c>
      <c r="O1917" s="5">
        <v>218</v>
      </c>
      <c r="P1917" s="5">
        <v>218</v>
      </c>
      <c r="Q1917" s="5">
        <v>214.19</v>
      </c>
      <c r="R1917" s="5">
        <v>215.81</v>
      </c>
      <c r="S1917" s="5">
        <v>216.49</v>
      </c>
      <c r="T1917" s="5">
        <v>225.39</v>
      </c>
      <c r="V1917" s="5">
        <v>214.68</v>
      </c>
      <c r="Y1917" s="5">
        <v>83</v>
      </c>
      <c r="Z1917" s="5">
        <v>17912.79</v>
      </c>
      <c r="AA1917" s="5">
        <v>34</v>
      </c>
      <c r="AB1917" s="5" t="s">
        <v>85</v>
      </c>
      <c r="AC1917" s="5">
        <v>1</v>
      </c>
    </row>
    <row r="1918" spans="1:29" x14ac:dyDescent="0.3">
      <c r="A1918" s="34">
        <v>46274</v>
      </c>
      <c r="B1918" s="34">
        <v>46274</v>
      </c>
      <c r="C1918" s="5" t="s">
        <v>78</v>
      </c>
      <c r="D1918" s="5" t="s">
        <v>79</v>
      </c>
      <c r="E1918" s="5" t="s">
        <v>80</v>
      </c>
      <c r="F1918" s="5">
        <v>13816</v>
      </c>
      <c r="G1918" s="5" t="s">
        <v>5844</v>
      </c>
      <c r="H1918" s="5" t="s">
        <v>5845</v>
      </c>
      <c r="I1918" s="5" t="s">
        <v>212</v>
      </c>
      <c r="N1918" s="5" t="s">
        <v>5846</v>
      </c>
      <c r="O1918" s="5">
        <v>453.8</v>
      </c>
      <c r="P1918" s="5">
        <v>458.5</v>
      </c>
      <c r="Q1918" s="5">
        <v>449.15</v>
      </c>
      <c r="R1918" s="5">
        <v>453.55</v>
      </c>
      <c r="S1918" s="5">
        <v>452.6</v>
      </c>
      <c r="T1918" s="5">
        <v>455.25</v>
      </c>
      <c r="V1918" s="5">
        <v>453.58</v>
      </c>
      <c r="Y1918" s="5">
        <v>485637</v>
      </c>
      <c r="Z1918" s="5">
        <v>220274269.55000001</v>
      </c>
      <c r="AA1918" s="5">
        <v>16939</v>
      </c>
      <c r="AB1918" s="5" t="s">
        <v>85</v>
      </c>
      <c r="AC1918" s="5">
        <v>1</v>
      </c>
    </row>
    <row r="1919" spans="1:29" x14ac:dyDescent="0.3">
      <c r="A1919" s="34">
        <v>46274</v>
      </c>
      <c r="B1919" s="34">
        <v>46274</v>
      </c>
      <c r="C1919" s="5" t="s">
        <v>78</v>
      </c>
      <c r="D1919" s="5" t="s">
        <v>79</v>
      </c>
      <c r="E1919" s="5" t="s">
        <v>80</v>
      </c>
      <c r="F1919" s="5">
        <v>17818</v>
      </c>
      <c r="G1919" s="5" t="s">
        <v>5847</v>
      </c>
      <c r="H1919" s="5" t="s">
        <v>5848</v>
      </c>
      <c r="I1919" s="5" t="s">
        <v>212</v>
      </c>
      <c r="N1919" s="5" t="s">
        <v>5849</v>
      </c>
      <c r="O1919" s="5">
        <v>4399.8999999999996</v>
      </c>
      <c r="P1919" s="5">
        <v>4437.5</v>
      </c>
      <c r="Q1919" s="5">
        <v>4290</v>
      </c>
      <c r="R1919" s="5">
        <v>4412</v>
      </c>
      <c r="S1919" s="5">
        <v>4412</v>
      </c>
      <c r="T1919" s="5">
        <v>4430</v>
      </c>
      <c r="V1919" s="5">
        <v>4412</v>
      </c>
      <c r="Y1919" s="5">
        <v>1051263</v>
      </c>
      <c r="Z1919" s="5">
        <v>4611039857.6999998</v>
      </c>
      <c r="AA1919" s="5">
        <v>60453</v>
      </c>
      <c r="AB1919" s="5" t="s">
        <v>85</v>
      </c>
      <c r="AC1919" s="5">
        <v>1</v>
      </c>
    </row>
    <row r="1920" spans="1:29" x14ac:dyDescent="0.3">
      <c r="A1920" s="34">
        <v>46274</v>
      </c>
      <c r="B1920" s="34">
        <v>46274</v>
      </c>
      <c r="C1920" s="5" t="s">
        <v>78</v>
      </c>
      <c r="D1920" s="5" t="s">
        <v>79</v>
      </c>
      <c r="E1920" s="5" t="s">
        <v>80</v>
      </c>
      <c r="F1920" s="5">
        <v>14014</v>
      </c>
      <c r="G1920" s="5" t="s">
        <v>5850</v>
      </c>
      <c r="H1920" s="5" t="s">
        <v>5851</v>
      </c>
      <c r="I1920" s="5" t="s">
        <v>212</v>
      </c>
      <c r="N1920" s="5" t="s">
        <v>5852</v>
      </c>
      <c r="O1920" s="5">
        <v>1961.5</v>
      </c>
      <c r="P1920" s="5">
        <v>2007.6</v>
      </c>
      <c r="Q1920" s="5">
        <v>1937.7</v>
      </c>
      <c r="R1920" s="5">
        <v>1990.6</v>
      </c>
      <c r="S1920" s="5">
        <v>1981.5</v>
      </c>
      <c r="T1920" s="5">
        <v>1955.9</v>
      </c>
      <c r="V1920" s="5">
        <v>1990.59</v>
      </c>
      <c r="Y1920" s="5">
        <v>117985</v>
      </c>
      <c r="Z1920" s="5">
        <v>233084679.69999999</v>
      </c>
      <c r="AA1920" s="5">
        <v>17531</v>
      </c>
      <c r="AB1920" s="5" t="s">
        <v>85</v>
      </c>
      <c r="AC1920" s="5">
        <v>1</v>
      </c>
    </row>
    <row r="1921" spans="1:29" x14ac:dyDescent="0.3">
      <c r="A1921" s="34">
        <v>46274</v>
      </c>
      <c r="B1921" s="34">
        <v>46274</v>
      </c>
      <c r="C1921" s="5" t="s">
        <v>78</v>
      </c>
      <c r="D1921" s="5" t="s">
        <v>79</v>
      </c>
      <c r="E1921" s="5" t="s">
        <v>80</v>
      </c>
      <c r="F1921" s="5">
        <v>2018</v>
      </c>
      <c r="G1921" s="5" t="s">
        <v>5853</v>
      </c>
      <c r="H1921" s="5" t="s">
        <v>5854</v>
      </c>
      <c r="I1921" s="5" t="s">
        <v>212</v>
      </c>
      <c r="N1921" s="5" t="s">
        <v>5855</v>
      </c>
      <c r="O1921" s="5">
        <v>6188</v>
      </c>
      <c r="P1921" s="5">
        <v>6280</v>
      </c>
      <c r="Q1921" s="5">
        <v>6120</v>
      </c>
      <c r="R1921" s="5">
        <v>6214</v>
      </c>
      <c r="S1921" s="5">
        <v>6228</v>
      </c>
      <c r="T1921" s="5">
        <v>6133</v>
      </c>
      <c r="V1921" s="5">
        <v>6214.03</v>
      </c>
      <c r="Y1921" s="5">
        <v>10564</v>
      </c>
      <c r="Z1921" s="5">
        <v>65600597.5</v>
      </c>
      <c r="AA1921" s="5">
        <v>3030</v>
      </c>
      <c r="AB1921" s="5" t="s">
        <v>85</v>
      </c>
      <c r="AC1921" s="5">
        <v>1</v>
      </c>
    </row>
    <row r="1922" spans="1:29" x14ac:dyDescent="0.3">
      <c r="A1922" s="34">
        <v>46274</v>
      </c>
      <c r="B1922" s="34">
        <v>46274</v>
      </c>
      <c r="C1922" s="5" t="s">
        <v>78</v>
      </c>
      <c r="D1922" s="5" t="s">
        <v>79</v>
      </c>
      <c r="E1922" s="5" t="s">
        <v>80</v>
      </c>
      <c r="F1922" s="5">
        <v>765524</v>
      </c>
      <c r="G1922" s="5" t="s">
        <v>5856</v>
      </c>
      <c r="H1922" s="5" t="s">
        <v>5857</v>
      </c>
      <c r="I1922" s="5" t="s">
        <v>212</v>
      </c>
      <c r="N1922" s="5" t="s">
        <v>5858</v>
      </c>
      <c r="O1922" s="5">
        <v>109.6</v>
      </c>
      <c r="P1922" s="5">
        <v>110.25</v>
      </c>
      <c r="Q1922" s="5">
        <v>105.41</v>
      </c>
      <c r="R1922" s="5">
        <v>106.32</v>
      </c>
      <c r="S1922" s="5">
        <v>106.29</v>
      </c>
      <c r="T1922" s="5">
        <v>108.12</v>
      </c>
      <c r="V1922" s="5">
        <v>106.32</v>
      </c>
      <c r="Y1922" s="5">
        <v>20414218</v>
      </c>
      <c r="Z1922" s="5">
        <v>2187924732.2199998</v>
      </c>
      <c r="AA1922" s="5">
        <v>82653</v>
      </c>
      <c r="AB1922" s="5" t="s">
        <v>85</v>
      </c>
      <c r="AC1922" s="5">
        <v>1</v>
      </c>
    </row>
    <row r="1923" spans="1:29" x14ac:dyDescent="0.3">
      <c r="A1923" s="34">
        <v>46274</v>
      </c>
      <c r="B1923" s="34">
        <v>46274</v>
      </c>
      <c r="C1923" s="5" t="s">
        <v>78</v>
      </c>
      <c r="D1923" s="5" t="s">
        <v>79</v>
      </c>
      <c r="E1923" s="5" t="s">
        <v>80</v>
      </c>
      <c r="F1923" s="5">
        <v>10440</v>
      </c>
      <c r="G1923" s="5" t="s">
        <v>5859</v>
      </c>
      <c r="H1923" s="5" t="s">
        <v>5860</v>
      </c>
      <c r="I1923" s="5" t="s">
        <v>212</v>
      </c>
      <c r="N1923" s="5" t="s">
        <v>5861</v>
      </c>
      <c r="O1923" s="5">
        <v>2091</v>
      </c>
      <c r="P1923" s="5">
        <v>2120</v>
      </c>
      <c r="Q1923" s="5">
        <v>2090</v>
      </c>
      <c r="R1923" s="5">
        <v>2100</v>
      </c>
      <c r="S1923" s="5">
        <v>2100</v>
      </c>
      <c r="T1923" s="5">
        <v>2104.6999999999998</v>
      </c>
      <c r="V1923" s="5">
        <v>2099.9699999999998</v>
      </c>
      <c r="Y1923" s="5">
        <v>596996</v>
      </c>
      <c r="Z1923" s="5">
        <v>1255082339.2</v>
      </c>
      <c r="AA1923" s="5">
        <v>31513</v>
      </c>
      <c r="AB1923" s="5" t="s">
        <v>85</v>
      </c>
      <c r="AC1923" s="5">
        <v>1</v>
      </c>
    </row>
    <row r="1924" spans="1:29" x14ac:dyDescent="0.3">
      <c r="A1924" s="34">
        <v>46274</v>
      </c>
      <c r="B1924" s="34">
        <v>46274</v>
      </c>
      <c r="C1924" s="5" t="s">
        <v>78</v>
      </c>
      <c r="D1924" s="5" t="s">
        <v>79</v>
      </c>
      <c r="E1924" s="5" t="s">
        <v>80</v>
      </c>
      <c r="F1924" s="5">
        <v>11301</v>
      </c>
      <c r="G1924" s="5" t="s">
        <v>5862</v>
      </c>
      <c r="H1924" s="5" t="s">
        <v>5863</v>
      </c>
      <c r="I1924" s="5" t="s">
        <v>212</v>
      </c>
      <c r="N1924" s="5" t="s">
        <v>5864</v>
      </c>
      <c r="O1924" s="5">
        <v>1130</v>
      </c>
      <c r="P1924" s="5">
        <v>1138.8</v>
      </c>
      <c r="Q1924" s="5">
        <v>1118.0999999999999</v>
      </c>
      <c r="R1924" s="5">
        <v>1122.5999999999999</v>
      </c>
      <c r="S1924" s="5">
        <v>1124</v>
      </c>
      <c r="T1924" s="5">
        <v>1128.4000000000001</v>
      </c>
      <c r="V1924" s="5">
        <v>1122.5999999999999</v>
      </c>
      <c r="Y1924" s="5">
        <v>14747</v>
      </c>
      <c r="Z1924" s="5">
        <v>16635897.1</v>
      </c>
      <c r="AA1924" s="5">
        <v>2094</v>
      </c>
      <c r="AB1924" s="5" t="s">
        <v>85</v>
      </c>
      <c r="AC1924" s="5">
        <v>1</v>
      </c>
    </row>
    <row r="1925" spans="1:29" x14ac:dyDescent="0.3">
      <c r="A1925" s="34">
        <v>46274</v>
      </c>
      <c r="B1925" s="34">
        <v>46274</v>
      </c>
      <c r="C1925" s="5" t="s">
        <v>78</v>
      </c>
      <c r="D1925" s="5" t="s">
        <v>79</v>
      </c>
      <c r="E1925" s="5" t="s">
        <v>80</v>
      </c>
      <c r="F1925" s="5">
        <v>7248</v>
      </c>
      <c r="G1925" s="5" t="s">
        <v>5865</v>
      </c>
      <c r="H1925" s="5" t="s">
        <v>5866</v>
      </c>
      <c r="I1925" s="5" t="s">
        <v>234</v>
      </c>
      <c r="N1925" s="5" t="s">
        <v>5867</v>
      </c>
      <c r="O1925" s="5">
        <v>83.14</v>
      </c>
      <c r="P1925" s="5">
        <v>83.14</v>
      </c>
      <c r="Q1925" s="5">
        <v>83.14</v>
      </c>
      <c r="R1925" s="5">
        <v>83.14</v>
      </c>
      <c r="S1925" s="5">
        <v>83.14</v>
      </c>
      <c r="T1925" s="5">
        <v>81.510000000000005</v>
      </c>
      <c r="V1925" s="5">
        <v>83.13</v>
      </c>
      <c r="Y1925" s="5">
        <v>26227</v>
      </c>
      <c r="Z1925" s="5">
        <v>2180512.7799999998</v>
      </c>
      <c r="AA1925" s="5">
        <v>111</v>
      </c>
      <c r="AB1925" s="5" t="s">
        <v>85</v>
      </c>
      <c r="AC1925" s="5">
        <v>1</v>
      </c>
    </row>
    <row r="1926" spans="1:29" x14ac:dyDescent="0.3">
      <c r="A1926" s="34">
        <v>46274</v>
      </c>
      <c r="B1926" s="34">
        <v>46274</v>
      </c>
      <c r="C1926" s="5" t="s">
        <v>78</v>
      </c>
      <c r="D1926" s="5" t="s">
        <v>79</v>
      </c>
      <c r="E1926" s="5" t="s">
        <v>80</v>
      </c>
      <c r="F1926" s="5">
        <v>758150</v>
      </c>
      <c r="G1926" s="5" t="s">
        <v>5868</v>
      </c>
      <c r="H1926" s="5" t="s">
        <v>5869</v>
      </c>
      <c r="I1926" s="5" t="s">
        <v>212</v>
      </c>
      <c r="N1926" s="5" t="s">
        <v>5870</v>
      </c>
      <c r="O1926" s="5">
        <v>267.7</v>
      </c>
      <c r="P1926" s="5">
        <v>267.75</v>
      </c>
      <c r="Q1926" s="5">
        <v>263.55</v>
      </c>
      <c r="R1926" s="5">
        <v>265.14999999999998</v>
      </c>
      <c r="S1926" s="5">
        <v>264.55</v>
      </c>
      <c r="T1926" s="5">
        <v>267.7</v>
      </c>
      <c r="V1926" s="5">
        <v>265.25</v>
      </c>
      <c r="Y1926" s="5">
        <v>44511</v>
      </c>
      <c r="Z1926" s="5">
        <v>11809644.4</v>
      </c>
      <c r="AA1926" s="5">
        <v>2233</v>
      </c>
      <c r="AB1926" s="5" t="s">
        <v>85</v>
      </c>
      <c r="AC1926" s="5">
        <v>1</v>
      </c>
    </row>
    <row r="1927" spans="1:29" x14ac:dyDescent="0.3">
      <c r="A1927" s="34">
        <v>46274</v>
      </c>
      <c r="B1927" s="34">
        <v>46274</v>
      </c>
      <c r="C1927" s="5" t="s">
        <v>78</v>
      </c>
      <c r="D1927" s="5" t="s">
        <v>79</v>
      </c>
      <c r="E1927" s="5" t="s">
        <v>80</v>
      </c>
      <c r="F1927" s="5">
        <v>765120</v>
      </c>
      <c r="G1927" s="5" t="s">
        <v>5871</v>
      </c>
      <c r="H1927" s="5" t="s">
        <v>5872</v>
      </c>
      <c r="I1927" s="5" t="s">
        <v>212</v>
      </c>
      <c r="N1927" s="5" t="s">
        <v>5873</v>
      </c>
      <c r="O1927" s="5">
        <v>65.89</v>
      </c>
      <c r="P1927" s="5">
        <v>66.5</v>
      </c>
      <c r="Q1927" s="5">
        <v>62.57</v>
      </c>
      <c r="R1927" s="5">
        <v>64.88</v>
      </c>
      <c r="S1927" s="5">
        <v>66</v>
      </c>
      <c r="T1927" s="5">
        <v>64.010000000000005</v>
      </c>
      <c r="V1927" s="5">
        <v>65.5</v>
      </c>
      <c r="Y1927" s="5">
        <v>40623</v>
      </c>
      <c r="Z1927" s="5">
        <v>2638794.2599999998</v>
      </c>
      <c r="AA1927" s="5">
        <v>674</v>
      </c>
      <c r="AB1927" s="5" t="s">
        <v>85</v>
      </c>
      <c r="AC1927" s="5">
        <v>1</v>
      </c>
    </row>
    <row r="1928" spans="1:29" x14ac:dyDescent="0.3">
      <c r="A1928" s="34">
        <v>46274</v>
      </c>
      <c r="B1928" s="34">
        <v>46274</v>
      </c>
      <c r="C1928" s="5" t="s">
        <v>78</v>
      </c>
      <c r="D1928" s="5" t="s">
        <v>79</v>
      </c>
      <c r="E1928" s="5" t="s">
        <v>80</v>
      </c>
      <c r="F1928" s="5">
        <v>16736</v>
      </c>
      <c r="G1928" s="5" t="s">
        <v>5874</v>
      </c>
      <c r="H1928" s="5" t="s">
        <v>5875</v>
      </c>
      <c r="I1928" s="5" t="s">
        <v>212</v>
      </c>
      <c r="N1928" s="5" t="s">
        <v>5876</v>
      </c>
      <c r="O1928" s="5">
        <v>4.05</v>
      </c>
      <c r="P1928" s="5">
        <v>4.05</v>
      </c>
      <c r="Q1928" s="5">
        <v>4</v>
      </c>
      <c r="R1928" s="5">
        <v>4.03</v>
      </c>
      <c r="S1928" s="5">
        <v>4.05</v>
      </c>
      <c r="T1928" s="5">
        <v>3.99</v>
      </c>
      <c r="V1928" s="5">
        <v>4.03</v>
      </c>
      <c r="Y1928" s="5">
        <v>67490</v>
      </c>
      <c r="Z1928" s="5">
        <v>271543.42</v>
      </c>
      <c r="AA1928" s="5">
        <v>263</v>
      </c>
      <c r="AB1928" s="5" t="s">
        <v>85</v>
      </c>
      <c r="AC1928" s="5">
        <v>1</v>
      </c>
    </row>
    <row r="1929" spans="1:29" x14ac:dyDescent="0.3">
      <c r="A1929" s="34">
        <v>46274</v>
      </c>
      <c r="B1929" s="34">
        <v>46274</v>
      </c>
      <c r="C1929" s="5" t="s">
        <v>78</v>
      </c>
      <c r="D1929" s="5" t="s">
        <v>79</v>
      </c>
      <c r="E1929" s="5" t="s">
        <v>80</v>
      </c>
      <c r="F1929" s="5">
        <v>22360</v>
      </c>
      <c r="G1929" s="5" t="s">
        <v>5877</v>
      </c>
      <c r="H1929" s="5" t="s">
        <v>5878</v>
      </c>
      <c r="I1929" s="5" t="s">
        <v>212</v>
      </c>
      <c r="N1929" s="5" t="s">
        <v>5879</v>
      </c>
      <c r="O1929" s="5">
        <v>60</v>
      </c>
      <c r="P1929" s="5">
        <v>64</v>
      </c>
      <c r="Q1929" s="5">
        <v>58.16</v>
      </c>
      <c r="R1929" s="5">
        <v>58.95</v>
      </c>
      <c r="S1929" s="5">
        <v>59.5</v>
      </c>
      <c r="T1929" s="5">
        <v>59.35</v>
      </c>
      <c r="V1929" s="5">
        <v>58.95</v>
      </c>
      <c r="Y1929" s="5">
        <v>300265</v>
      </c>
      <c r="Z1929" s="5">
        <v>18521927.170000002</v>
      </c>
      <c r="AA1929" s="5">
        <v>3704</v>
      </c>
      <c r="AB1929" s="5" t="s">
        <v>85</v>
      </c>
      <c r="AC1929" s="5">
        <v>1</v>
      </c>
    </row>
    <row r="1930" spans="1:29" x14ac:dyDescent="0.3">
      <c r="A1930" s="34">
        <v>46274</v>
      </c>
      <c r="B1930" s="34">
        <v>46274</v>
      </c>
      <c r="C1930" s="5" t="s">
        <v>78</v>
      </c>
      <c r="D1930" s="5" t="s">
        <v>79</v>
      </c>
      <c r="E1930" s="5" t="s">
        <v>80</v>
      </c>
      <c r="F1930" s="5">
        <v>13285</v>
      </c>
      <c r="G1930" s="5" t="s">
        <v>5880</v>
      </c>
      <c r="H1930" s="5" t="s">
        <v>5881</v>
      </c>
      <c r="I1930" s="5" t="s">
        <v>212</v>
      </c>
      <c r="N1930" s="5" t="s">
        <v>5882</v>
      </c>
      <c r="O1930" s="5">
        <v>373.5</v>
      </c>
      <c r="P1930" s="5">
        <v>374</v>
      </c>
      <c r="Q1930" s="5">
        <v>362.2</v>
      </c>
      <c r="R1930" s="5">
        <v>363.75</v>
      </c>
      <c r="S1930" s="5">
        <v>364.55</v>
      </c>
      <c r="T1930" s="5">
        <v>374.35</v>
      </c>
      <c r="V1930" s="5">
        <v>363.75</v>
      </c>
      <c r="Y1930" s="5">
        <v>2529271</v>
      </c>
      <c r="Z1930" s="5">
        <v>927274015</v>
      </c>
      <c r="AA1930" s="5">
        <v>42203</v>
      </c>
      <c r="AB1930" s="5" t="s">
        <v>85</v>
      </c>
      <c r="AC1930" s="5">
        <v>1</v>
      </c>
    </row>
    <row r="1931" spans="1:29" x14ac:dyDescent="0.3">
      <c r="A1931" s="34">
        <v>46274</v>
      </c>
      <c r="B1931" s="34">
        <v>46274</v>
      </c>
      <c r="C1931" s="5" t="s">
        <v>78</v>
      </c>
      <c r="D1931" s="5" t="s">
        <v>79</v>
      </c>
      <c r="E1931" s="5" t="s">
        <v>80</v>
      </c>
      <c r="F1931" s="5">
        <v>22976</v>
      </c>
      <c r="G1931" s="5" t="s">
        <v>5883</v>
      </c>
      <c r="H1931" s="5" t="s">
        <v>5884</v>
      </c>
      <c r="I1931" s="5" t="s">
        <v>313</v>
      </c>
      <c r="N1931" s="5" t="s">
        <v>5885</v>
      </c>
      <c r="O1931" s="5">
        <v>273.55</v>
      </c>
      <c r="P1931" s="5">
        <v>273.55</v>
      </c>
      <c r="Q1931" s="5">
        <v>273.55</v>
      </c>
      <c r="R1931" s="5">
        <v>273.55</v>
      </c>
      <c r="S1931" s="5">
        <v>273.55</v>
      </c>
      <c r="T1931" s="5">
        <v>260.55</v>
      </c>
      <c r="V1931" s="5">
        <v>273.55</v>
      </c>
      <c r="Y1931" s="5">
        <v>343500</v>
      </c>
      <c r="Z1931" s="5">
        <v>93964425</v>
      </c>
      <c r="AA1931" s="5">
        <v>51</v>
      </c>
      <c r="AB1931" s="5" t="s">
        <v>85</v>
      </c>
      <c r="AC1931" s="5">
        <v>300</v>
      </c>
    </row>
    <row r="1932" spans="1:29" x14ac:dyDescent="0.3">
      <c r="A1932" s="34">
        <v>46274</v>
      </c>
      <c r="B1932" s="34">
        <v>46274</v>
      </c>
      <c r="C1932" s="5" t="s">
        <v>78</v>
      </c>
      <c r="D1932" s="5" t="s">
        <v>79</v>
      </c>
      <c r="E1932" s="5" t="s">
        <v>80</v>
      </c>
      <c r="F1932" s="5">
        <v>15017</v>
      </c>
      <c r="G1932" s="5" t="s">
        <v>5886</v>
      </c>
      <c r="H1932" s="5" t="s">
        <v>5887</v>
      </c>
      <c r="I1932" s="5" t="s">
        <v>212</v>
      </c>
      <c r="N1932" s="5" t="s">
        <v>5888</v>
      </c>
      <c r="O1932" s="5">
        <v>114.98</v>
      </c>
      <c r="P1932" s="5">
        <v>116.7</v>
      </c>
      <c r="Q1932" s="5">
        <v>110.5</v>
      </c>
      <c r="R1932" s="5">
        <v>111.27</v>
      </c>
      <c r="S1932" s="5">
        <v>110.55</v>
      </c>
      <c r="T1932" s="5">
        <v>114.34</v>
      </c>
      <c r="V1932" s="5">
        <v>110.89</v>
      </c>
      <c r="Y1932" s="5">
        <v>125023</v>
      </c>
      <c r="Z1932" s="5">
        <v>14051450.189999999</v>
      </c>
      <c r="AA1932" s="5">
        <v>1960</v>
      </c>
      <c r="AB1932" s="5" t="s">
        <v>85</v>
      </c>
      <c r="AC1932" s="5">
        <v>1</v>
      </c>
    </row>
    <row r="1933" spans="1:29" x14ac:dyDescent="0.3">
      <c r="A1933" s="34">
        <v>46274</v>
      </c>
      <c r="B1933" s="34">
        <v>46274</v>
      </c>
      <c r="C1933" s="5" t="s">
        <v>78</v>
      </c>
      <c r="D1933" s="5" t="s">
        <v>79</v>
      </c>
      <c r="E1933" s="5" t="s">
        <v>80</v>
      </c>
      <c r="F1933" s="5">
        <v>762782</v>
      </c>
      <c r="G1933" s="5" t="s">
        <v>5889</v>
      </c>
      <c r="H1933" s="5" t="s">
        <v>5890</v>
      </c>
      <c r="I1933" s="5" t="s">
        <v>212</v>
      </c>
      <c r="N1933" s="5" t="s">
        <v>5891</v>
      </c>
      <c r="O1933" s="5">
        <v>684.9</v>
      </c>
      <c r="P1933" s="5">
        <v>684.9</v>
      </c>
      <c r="Q1933" s="5">
        <v>672</v>
      </c>
      <c r="R1933" s="5">
        <v>683.5</v>
      </c>
      <c r="S1933" s="5">
        <v>683.5</v>
      </c>
      <c r="T1933" s="5">
        <v>670</v>
      </c>
      <c r="V1933" s="5">
        <v>686.43</v>
      </c>
      <c r="Y1933" s="5">
        <v>41</v>
      </c>
      <c r="Z1933" s="5">
        <v>27596.400000000001</v>
      </c>
      <c r="AA1933" s="5">
        <v>13</v>
      </c>
      <c r="AB1933" s="5" t="s">
        <v>85</v>
      </c>
      <c r="AC1933" s="5">
        <v>1</v>
      </c>
    </row>
    <row r="1934" spans="1:29" x14ac:dyDescent="0.3">
      <c r="A1934" s="34">
        <v>46274</v>
      </c>
      <c r="B1934" s="34">
        <v>46274</v>
      </c>
      <c r="C1934" s="5" t="s">
        <v>78</v>
      </c>
      <c r="D1934" s="5" t="s">
        <v>79</v>
      </c>
      <c r="E1934" s="5" t="s">
        <v>80</v>
      </c>
      <c r="F1934" s="5">
        <v>24545</v>
      </c>
      <c r="G1934" s="5" t="s">
        <v>5892</v>
      </c>
      <c r="H1934" s="5" t="s">
        <v>5893</v>
      </c>
      <c r="I1934" s="5" t="s">
        <v>313</v>
      </c>
      <c r="N1934" s="5" t="s">
        <v>5894</v>
      </c>
      <c r="O1934" s="5">
        <v>197</v>
      </c>
      <c r="P1934" s="5">
        <v>199.8</v>
      </c>
      <c r="Q1934" s="5">
        <v>197</v>
      </c>
      <c r="R1934" s="5">
        <v>199.6</v>
      </c>
      <c r="S1934" s="5">
        <v>199.6</v>
      </c>
      <c r="T1934" s="5">
        <v>195</v>
      </c>
      <c r="V1934" s="5">
        <v>199.6</v>
      </c>
      <c r="Y1934" s="5">
        <v>20000</v>
      </c>
      <c r="Z1934" s="5">
        <v>3987960</v>
      </c>
      <c r="AA1934" s="5">
        <v>25</v>
      </c>
      <c r="AB1934" s="5" t="s">
        <v>85</v>
      </c>
      <c r="AC1934" s="5">
        <v>800</v>
      </c>
    </row>
    <row r="1935" spans="1:29" x14ac:dyDescent="0.3">
      <c r="A1935" s="34">
        <v>46274</v>
      </c>
      <c r="B1935" s="34">
        <v>46274</v>
      </c>
      <c r="C1935" s="5" t="s">
        <v>78</v>
      </c>
      <c r="D1935" s="5" t="s">
        <v>79</v>
      </c>
      <c r="E1935" s="5" t="s">
        <v>80</v>
      </c>
      <c r="F1935" s="5">
        <v>22347</v>
      </c>
      <c r="G1935" s="5" t="s">
        <v>5895</v>
      </c>
      <c r="H1935" s="5" t="s">
        <v>5896</v>
      </c>
      <c r="I1935" s="5" t="s">
        <v>212</v>
      </c>
      <c r="N1935" s="5" t="s">
        <v>5897</v>
      </c>
      <c r="O1935" s="5">
        <v>1884.2</v>
      </c>
      <c r="P1935" s="5">
        <v>1932.9</v>
      </c>
      <c r="Q1935" s="5">
        <v>1850</v>
      </c>
      <c r="R1935" s="5">
        <v>1863.8</v>
      </c>
      <c r="S1935" s="5">
        <v>1864.4</v>
      </c>
      <c r="T1935" s="5">
        <v>1874.1</v>
      </c>
      <c r="V1935" s="5">
        <v>1863.8</v>
      </c>
      <c r="Y1935" s="5">
        <v>28773</v>
      </c>
      <c r="Z1935" s="5">
        <v>54507339.799999997</v>
      </c>
      <c r="AA1935" s="5">
        <v>4221</v>
      </c>
      <c r="AB1935" s="5" t="s">
        <v>85</v>
      </c>
      <c r="AC1935" s="5">
        <v>1</v>
      </c>
    </row>
    <row r="1936" spans="1:29" x14ac:dyDescent="0.3">
      <c r="A1936" s="34">
        <v>46274</v>
      </c>
      <c r="B1936" s="34">
        <v>46274</v>
      </c>
      <c r="C1936" s="5" t="s">
        <v>78</v>
      </c>
      <c r="D1936" s="5" t="s">
        <v>79</v>
      </c>
      <c r="E1936" s="5" t="s">
        <v>80</v>
      </c>
      <c r="F1936" s="5">
        <v>762767</v>
      </c>
      <c r="G1936" s="5" t="s">
        <v>5898</v>
      </c>
      <c r="H1936" s="5" t="s">
        <v>5899</v>
      </c>
      <c r="I1936" s="5" t="s">
        <v>212</v>
      </c>
      <c r="N1936" s="5" t="s">
        <v>5900</v>
      </c>
      <c r="O1936" s="5">
        <v>8.1</v>
      </c>
      <c r="P1936" s="5">
        <v>8.19</v>
      </c>
      <c r="Q1936" s="5">
        <v>7.92</v>
      </c>
      <c r="R1936" s="5">
        <v>7.96</v>
      </c>
      <c r="S1936" s="5">
        <v>7.95</v>
      </c>
      <c r="T1936" s="5">
        <v>8.0299999999999994</v>
      </c>
      <c r="V1936" s="5">
        <v>7.96</v>
      </c>
      <c r="Y1936" s="5">
        <v>84238</v>
      </c>
      <c r="Z1936" s="5">
        <v>679245.93</v>
      </c>
      <c r="AA1936" s="5">
        <v>265</v>
      </c>
      <c r="AB1936" s="5" t="s">
        <v>85</v>
      </c>
      <c r="AC1936" s="5">
        <v>1</v>
      </c>
    </row>
    <row r="1937" spans="1:29" x14ac:dyDescent="0.3">
      <c r="A1937" s="34">
        <v>46274</v>
      </c>
      <c r="B1937" s="34">
        <v>46274</v>
      </c>
      <c r="C1937" s="5" t="s">
        <v>78</v>
      </c>
      <c r="D1937" s="5" t="s">
        <v>79</v>
      </c>
      <c r="E1937" s="5" t="s">
        <v>80</v>
      </c>
      <c r="F1937" s="5">
        <v>15151</v>
      </c>
      <c r="G1937" s="5" t="s">
        <v>5901</v>
      </c>
      <c r="H1937" s="5" t="s">
        <v>5902</v>
      </c>
      <c r="I1937" s="5" t="s">
        <v>212</v>
      </c>
      <c r="N1937" s="5" t="s">
        <v>5903</v>
      </c>
      <c r="O1937" s="5">
        <v>36.200000000000003</v>
      </c>
      <c r="P1937" s="5">
        <v>36.200000000000003</v>
      </c>
      <c r="Q1937" s="5">
        <v>34.81</v>
      </c>
      <c r="R1937" s="5">
        <v>34.82</v>
      </c>
      <c r="S1937" s="5">
        <v>34.82</v>
      </c>
      <c r="T1937" s="5">
        <v>35.840000000000003</v>
      </c>
      <c r="V1937" s="5">
        <v>35.409999999999997</v>
      </c>
      <c r="Y1937" s="5">
        <v>3836</v>
      </c>
      <c r="Z1937" s="5">
        <v>136783.26999999999</v>
      </c>
      <c r="AA1937" s="5">
        <v>47</v>
      </c>
      <c r="AB1937" s="5" t="s">
        <v>85</v>
      </c>
      <c r="AC1937" s="5">
        <v>1</v>
      </c>
    </row>
    <row r="1938" spans="1:29" x14ac:dyDescent="0.3">
      <c r="A1938" s="34">
        <v>46274</v>
      </c>
      <c r="B1938" s="34">
        <v>46274</v>
      </c>
      <c r="C1938" s="5" t="s">
        <v>78</v>
      </c>
      <c r="D1938" s="5" t="s">
        <v>79</v>
      </c>
      <c r="E1938" s="5" t="s">
        <v>80</v>
      </c>
      <c r="F1938" s="5">
        <v>13668</v>
      </c>
      <c r="G1938" s="5" t="s">
        <v>5904</v>
      </c>
      <c r="H1938" s="5" t="s">
        <v>5905</v>
      </c>
      <c r="I1938" s="5" t="s">
        <v>234</v>
      </c>
      <c r="N1938" s="5" t="s">
        <v>5906</v>
      </c>
      <c r="O1938" s="5">
        <v>4.62</v>
      </c>
      <c r="P1938" s="5">
        <v>4.62</v>
      </c>
      <c r="Q1938" s="5">
        <v>4.42</v>
      </c>
      <c r="R1938" s="5">
        <v>4.5199999999999996</v>
      </c>
      <c r="S1938" s="5">
        <v>4.5</v>
      </c>
      <c r="T1938" s="5">
        <v>4.59</v>
      </c>
      <c r="V1938" s="5">
        <v>4.5199999999999996</v>
      </c>
      <c r="Y1938" s="5">
        <v>11044</v>
      </c>
      <c r="Z1938" s="5">
        <v>49463.98</v>
      </c>
      <c r="AA1938" s="5">
        <v>35</v>
      </c>
      <c r="AB1938" s="5" t="s">
        <v>85</v>
      </c>
      <c r="AC1938" s="5">
        <v>1</v>
      </c>
    </row>
    <row r="1939" spans="1:29" x14ac:dyDescent="0.3">
      <c r="A1939" s="34">
        <v>46274</v>
      </c>
      <c r="B1939" s="34">
        <v>46274</v>
      </c>
      <c r="C1939" s="5" t="s">
        <v>78</v>
      </c>
      <c r="D1939" s="5" t="s">
        <v>79</v>
      </c>
      <c r="E1939" s="5" t="s">
        <v>80</v>
      </c>
      <c r="F1939" s="5">
        <v>765479</v>
      </c>
      <c r="G1939" s="5" t="s">
        <v>5907</v>
      </c>
      <c r="H1939" s="5" t="s">
        <v>5908</v>
      </c>
      <c r="I1939" s="5" t="s">
        <v>392</v>
      </c>
      <c r="N1939" s="5" t="s">
        <v>5909</v>
      </c>
      <c r="O1939" s="5">
        <v>77.45</v>
      </c>
      <c r="P1939" s="5">
        <v>77.45</v>
      </c>
      <c r="Q1939" s="5">
        <v>77.45</v>
      </c>
      <c r="R1939" s="5">
        <v>77.45</v>
      </c>
      <c r="S1939" s="5">
        <v>77.45</v>
      </c>
      <c r="T1939" s="5">
        <v>81.5</v>
      </c>
      <c r="V1939" s="5">
        <v>77.45</v>
      </c>
      <c r="Y1939" s="5">
        <v>1200</v>
      </c>
      <c r="Z1939" s="5">
        <v>92940</v>
      </c>
      <c r="AA1939" s="5">
        <v>1</v>
      </c>
      <c r="AB1939" s="5" t="s">
        <v>85</v>
      </c>
      <c r="AC1939" s="5">
        <v>1200</v>
      </c>
    </row>
    <row r="1940" spans="1:29" x14ac:dyDescent="0.3">
      <c r="A1940" s="34">
        <v>46274</v>
      </c>
      <c r="B1940" s="34">
        <v>46274</v>
      </c>
      <c r="C1940" s="5" t="s">
        <v>78</v>
      </c>
      <c r="D1940" s="5" t="s">
        <v>79</v>
      </c>
      <c r="E1940" s="5" t="s">
        <v>80</v>
      </c>
      <c r="F1940" s="5">
        <v>18738</v>
      </c>
      <c r="G1940" s="5" t="s">
        <v>5910</v>
      </c>
      <c r="H1940" s="5" t="s">
        <v>5911</v>
      </c>
      <c r="I1940" s="5" t="s">
        <v>392</v>
      </c>
      <c r="N1940" s="5" t="s">
        <v>5912</v>
      </c>
      <c r="O1940" s="5">
        <v>238.55</v>
      </c>
      <c r="P1940" s="5">
        <v>238.55</v>
      </c>
      <c r="Q1940" s="5">
        <v>234.05</v>
      </c>
      <c r="R1940" s="5">
        <v>236.65</v>
      </c>
      <c r="S1940" s="5">
        <v>235.05</v>
      </c>
      <c r="T1940" s="5">
        <v>238.55</v>
      </c>
      <c r="V1940" s="5">
        <v>236.65</v>
      </c>
      <c r="Y1940" s="5">
        <v>15000</v>
      </c>
      <c r="Z1940" s="5">
        <v>3550000</v>
      </c>
      <c r="AA1940" s="5">
        <v>15</v>
      </c>
      <c r="AB1940" s="5" t="s">
        <v>85</v>
      </c>
      <c r="AC1940" s="5">
        <v>1000</v>
      </c>
    </row>
    <row r="1941" spans="1:29" x14ac:dyDescent="0.3">
      <c r="A1941" s="34">
        <v>46274</v>
      </c>
      <c r="B1941" s="34">
        <v>46274</v>
      </c>
      <c r="C1941" s="5" t="s">
        <v>78</v>
      </c>
      <c r="D1941" s="5" t="s">
        <v>79</v>
      </c>
      <c r="E1941" s="5" t="s">
        <v>80</v>
      </c>
      <c r="F1941" s="5">
        <v>12686</v>
      </c>
      <c r="G1941" s="5" t="s">
        <v>5913</v>
      </c>
      <c r="H1941" s="5" t="s">
        <v>5914</v>
      </c>
      <c r="I1941" s="5" t="s">
        <v>212</v>
      </c>
      <c r="N1941" s="5" t="s">
        <v>5915</v>
      </c>
      <c r="O1941" s="5">
        <v>164.37</v>
      </c>
      <c r="P1941" s="5">
        <v>165.3</v>
      </c>
      <c r="Q1941" s="5">
        <v>161.06</v>
      </c>
      <c r="R1941" s="5">
        <v>162.03</v>
      </c>
      <c r="S1941" s="5">
        <v>161.19999999999999</v>
      </c>
      <c r="T1941" s="5">
        <v>164.37</v>
      </c>
      <c r="V1941" s="5">
        <v>162.03</v>
      </c>
      <c r="Y1941" s="5">
        <v>370774</v>
      </c>
      <c r="Z1941" s="5">
        <v>60370770.770000003</v>
      </c>
      <c r="AA1941" s="5">
        <v>4078</v>
      </c>
      <c r="AB1941" s="5" t="s">
        <v>85</v>
      </c>
      <c r="AC1941" s="5">
        <v>1</v>
      </c>
    </row>
    <row r="1942" spans="1:29" x14ac:dyDescent="0.3">
      <c r="A1942" s="34">
        <v>46274</v>
      </c>
      <c r="B1942" s="34">
        <v>46274</v>
      </c>
      <c r="C1942" s="5" t="s">
        <v>78</v>
      </c>
      <c r="D1942" s="5" t="s">
        <v>79</v>
      </c>
      <c r="E1942" s="5" t="s">
        <v>80</v>
      </c>
      <c r="F1942" s="5">
        <v>4911</v>
      </c>
      <c r="G1942" s="5" t="s">
        <v>5916</v>
      </c>
      <c r="H1942" s="5" t="s">
        <v>5917</v>
      </c>
      <c r="I1942" s="5" t="s">
        <v>212</v>
      </c>
      <c r="N1942" s="5" t="s">
        <v>5918</v>
      </c>
      <c r="O1942" s="5">
        <v>64.8</v>
      </c>
      <c r="P1942" s="5">
        <v>64.8</v>
      </c>
      <c r="Q1942" s="5">
        <v>61.5</v>
      </c>
      <c r="R1942" s="5">
        <v>63.03</v>
      </c>
      <c r="S1942" s="5">
        <v>62.9</v>
      </c>
      <c r="T1942" s="5">
        <v>64.37</v>
      </c>
      <c r="V1942" s="5">
        <v>63.03</v>
      </c>
      <c r="Y1942" s="5">
        <v>66282</v>
      </c>
      <c r="Z1942" s="5">
        <v>4192695.69</v>
      </c>
      <c r="AA1942" s="5">
        <v>1033</v>
      </c>
      <c r="AB1942" s="5" t="s">
        <v>85</v>
      </c>
      <c r="AC1942" s="5">
        <v>1</v>
      </c>
    </row>
    <row r="1943" spans="1:29" x14ac:dyDescent="0.3">
      <c r="A1943" s="34">
        <v>46274</v>
      </c>
      <c r="B1943" s="34">
        <v>46274</v>
      </c>
      <c r="C1943" s="5" t="s">
        <v>78</v>
      </c>
      <c r="D1943" s="5" t="s">
        <v>79</v>
      </c>
      <c r="E1943" s="5" t="s">
        <v>80</v>
      </c>
      <c r="F1943" s="5">
        <v>762772</v>
      </c>
      <c r="G1943" s="5" t="s">
        <v>5919</v>
      </c>
      <c r="H1943" s="5" t="s">
        <v>5920</v>
      </c>
      <c r="I1943" s="5" t="s">
        <v>212</v>
      </c>
      <c r="N1943" s="5" t="s">
        <v>5921</v>
      </c>
      <c r="O1943" s="5">
        <v>121.77</v>
      </c>
      <c r="P1943" s="5">
        <v>123.3</v>
      </c>
      <c r="Q1943" s="5">
        <v>120.26</v>
      </c>
      <c r="R1943" s="5">
        <v>121.6</v>
      </c>
      <c r="S1943" s="5">
        <v>121.27</v>
      </c>
      <c r="T1943" s="5">
        <v>120.56</v>
      </c>
      <c r="V1943" s="5">
        <v>121.6</v>
      </c>
      <c r="Y1943" s="5">
        <v>19046</v>
      </c>
      <c r="Z1943" s="5">
        <v>2318510.02</v>
      </c>
      <c r="AA1943" s="5">
        <v>592</v>
      </c>
      <c r="AB1943" s="5" t="s">
        <v>85</v>
      </c>
      <c r="AC1943" s="5">
        <v>1</v>
      </c>
    </row>
    <row r="1944" spans="1:29" x14ac:dyDescent="0.3">
      <c r="A1944" s="34">
        <v>46274</v>
      </c>
      <c r="B1944" s="34">
        <v>46274</v>
      </c>
      <c r="C1944" s="5" t="s">
        <v>78</v>
      </c>
      <c r="D1944" s="5" t="s">
        <v>79</v>
      </c>
      <c r="E1944" s="5" t="s">
        <v>80</v>
      </c>
      <c r="F1944" s="5">
        <v>21392</v>
      </c>
      <c r="G1944" s="5" t="s">
        <v>5922</v>
      </c>
      <c r="H1944" s="5" t="s">
        <v>5923</v>
      </c>
      <c r="I1944" s="5" t="s">
        <v>212</v>
      </c>
      <c r="N1944" s="5" t="s">
        <v>5924</v>
      </c>
      <c r="O1944" s="5">
        <v>563</v>
      </c>
      <c r="P1944" s="5">
        <v>566.4</v>
      </c>
      <c r="Q1944" s="5">
        <v>553.04999999999995</v>
      </c>
      <c r="R1944" s="5">
        <v>562.20000000000005</v>
      </c>
      <c r="S1944" s="5">
        <v>562</v>
      </c>
      <c r="T1944" s="5">
        <v>563.79999999999995</v>
      </c>
      <c r="V1944" s="5">
        <v>562.20000000000005</v>
      </c>
      <c r="Y1944" s="5">
        <v>10950</v>
      </c>
      <c r="Z1944" s="5">
        <v>6138155.5</v>
      </c>
      <c r="AA1944" s="5">
        <v>1015</v>
      </c>
      <c r="AB1944" s="5" t="s">
        <v>85</v>
      </c>
      <c r="AC1944" s="5">
        <v>1</v>
      </c>
    </row>
    <row r="1945" spans="1:29" x14ac:dyDescent="0.3">
      <c r="A1945" s="34">
        <v>46274</v>
      </c>
      <c r="B1945" s="34">
        <v>46274</v>
      </c>
      <c r="C1945" s="5" t="s">
        <v>78</v>
      </c>
      <c r="D1945" s="5" t="s">
        <v>79</v>
      </c>
      <c r="E1945" s="5" t="s">
        <v>80</v>
      </c>
      <c r="F1945" s="5">
        <v>29482</v>
      </c>
      <c r="G1945" s="5" t="s">
        <v>5925</v>
      </c>
      <c r="H1945" s="5" t="s">
        <v>5926</v>
      </c>
      <c r="I1945" s="5" t="s">
        <v>212</v>
      </c>
      <c r="N1945" s="5" t="s">
        <v>5927</v>
      </c>
      <c r="O1945" s="5">
        <v>26</v>
      </c>
      <c r="P1945" s="5">
        <v>26.12</v>
      </c>
      <c r="Q1945" s="5">
        <v>25.75</v>
      </c>
      <c r="R1945" s="5">
        <v>25.94</v>
      </c>
      <c r="S1945" s="5">
        <v>25.99</v>
      </c>
      <c r="T1945" s="5">
        <v>25.92</v>
      </c>
      <c r="V1945" s="5">
        <v>25.94</v>
      </c>
      <c r="Y1945" s="5">
        <v>914261</v>
      </c>
      <c r="Z1945" s="5">
        <v>23689461.460000001</v>
      </c>
      <c r="AA1945" s="5">
        <v>2501</v>
      </c>
      <c r="AB1945" s="5" t="s">
        <v>85</v>
      </c>
      <c r="AC1945" s="5">
        <v>1</v>
      </c>
    </row>
    <row r="1946" spans="1:29" x14ac:dyDescent="0.3">
      <c r="A1946" s="34">
        <v>46274</v>
      </c>
      <c r="B1946" s="34">
        <v>46274</v>
      </c>
      <c r="C1946" s="5" t="s">
        <v>78</v>
      </c>
      <c r="D1946" s="5" t="s">
        <v>79</v>
      </c>
      <c r="E1946" s="5" t="s">
        <v>80</v>
      </c>
      <c r="F1946" s="5">
        <v>14957</v>
      </c>
      <c r="G1946" s="5" t="s">
        <v>5928</v>
      </c>
      <c r="H1946" s="5" t="s">
        <v>5929</v>
      </c>
      <c r="I1946" s="5" t="s">
        <v>212</v>
      </c>
      <c r="N1946" s="5" t="s">
        <v>5930</v>
      </c>
      <c r="O1946" s="5">
        <v>19.100000000000001</v>
      </c>
      <c r="P1946" s="5">
        <v>19.36</v>
      </c>
      <c r="Q1946" s="5">
        <v>18.55</v>
      </c>
      <c r="R1946" s="5">
        <v>18.989999999999998</v>
      </c>
      <c r="S1946" s="5">
        <v>18.899999999999999</v>
      </c>
      <c r="T1946" s="5">
        <v>18.989999999999998</v>
      </c>
      <c r="V1946" s="5">
        <v>18.989999999999998</v>
      </c>
      <c r="Y1946" s="5">
        <v>24891</v>
      </c>
      <c r="Z1946" s="5">
        <v>471742.29</v>
      </c>
      <c r="AA1946" s="5">
        <v>109</v>
      </c>
      <c r="AB1946" s="5" t="s">
        <v>85</v>
      </c>
      <c r="AC1946" s="5">
        <v>1</v>
      </c>
    </row>
    <row r="1947" spans="1:29" x14ac:dyDescent="0.3">
      <c r="A1947" s="34">
        <v>46274</v>
      </c>
      <c r="B1947" s="34">
        <v>46274</v>
      </c>
      <c r="C1947" s="5" t="s">
        <v>78</v>
      </c>
      <c r="D1947" s="5" t="s">
        <v>79</v>
      </c>
      <c r="E1947" s="5" t="s">
        <v>80</v>
      </c>
      <c r="F1947" s="5">
        <v>17088</v>
      </c>
      <c r="G1947" s="5" t="s">
        <v>5931</v>
      </c>
      <c r="H1947" s="5" t="s">
        <v>5932</v>
      </c>
      <c r="I1947" s="5" t="s">
        <v>313</v>
      </c>
      <c r="N1947" s="5" t="s">
        <v>5933</v>
      </c>
      <c r="O1947" s="5">
        <v>176.05</v>
      </c>
      <c r="P1947" s="5">
        <v>176.05</v>
      </c>
      <c r="Q1947" s="5">
        <v>176.05</v>
      </c>
      <c r="R1947" s="5">
        <v>176.05</v>
      </c>
      <c r="S1947" s="5">
        <v>176.05</v>
      </c>
      <c r="T1947" s="5">
        <v>178</v>
      </c>
      <c r="V1947" s="5">
        <v>176.05</v>
      </c>
      <c r="Y1947" s="5">
        <v>1000</v>
      </c>
      <c r="Z1947" s="5">
        <v>176050</v>
      </c>
      <c r="AA1947" s="5">
        <v>1</v>
      </c>
      <c r="AB1947" s="5" t="s">
        <v>85</v>
      </c>
      <c r="AC1947" s="5">
        <v>1000</v>
      </c>
    </row>
    <row r="1948" spans="1:29" x14ac:dyDescent="0.3">
      <c r="A1948" s="34">
        <v>46274</v>
      </c>
      <c r="B1948" s="34">
        <v>46274</v>
      </c>
      <c r="C1948" s="5" t="s">
        <v>78</v>
      </c>
      <c r="D1948" s="5" t="s">
        <v>79</v>
      </c>
      <c r="E1948" s="5" t="s">
        <v>80</v>
      </c>
      <c r="F1948" s="5">
        <v>5239</v>
      </c>
      <c r="G1948" s="5" t="s">
        <v>5934</v>
      </c>
      <c r="H1948" s="5" t="s">
        <v>5935</v>
      </c>
      <c r="I1948" s="5" t="s">
        <v>212</v>
      </c>
      <c r="N1948" s="5" t="s">
        <v>5936</v>
      </c>
      <c r="O1948" s="5">
        <v>55.03</v>
      </c>
      <c r="P1948" s="5">
        <v>55.03</v>
      </c>
      <c r="Q1948" s="5">
        <v>50.76</v>
      </c>
      <c r="R1948" s="5">
        <v>52.53</v>
      </c>
      <c r="S1948" s="5">
        <v>52.01</v>
      </c>
      <c r="T1948" s="5">
        <v>55.41</v>
      </c>
      <c r="V1948" s="5">
        <v>52.52</v>
      </c>
      <c r="Y1948" s="5">
        <v>61068</v>
      </c>
      <c r="Z1948" s="5">
        <v>3198611.89</v>
      </c>
      <c r="AA1948" s="5">
        <v>854</v>
      </c>
      <c r="AB1948" s="5" t="s">
        <v>85</v>
      </c>
      <c r="AC1948" s="5">
        <v>1</v>
      </c>
    </row>
    <row r="1949" spans="1:29" x14ac:dyDescent="0.3">
      <c r="A1949" s="34">
        <v>46274</v>
      </c>
      <c r="B1949" s="34">
        <v>46274</v>
      </c>
      <c r="C1949" s="5" t="s">
        <v>78</v>
      </c>
      <c r="D1949" s="5" t="s">
        <v>79</v>
      </c>
      <c r="E1949" s="5" t="s">
        <v>80</v>
      </c>
      <c r="F1949" s="5">
        <v>24937</v>
      </c>
      <c r="G1949" s="5" t="s">
        <v>5937</v>
      </c>
      <c r="H1949" s="5" t="s">
        <v>5938</v>
      </c>
      <c r="I1949" s="5" t="s">
        <v>212</v>
      </c>
      <c r="N1949" s="5" t="s">
        <v>5939</v>
      </c>
      <c r="O1949" s="5">
        <v>18.690000000000001</v>
      </c>
      <c r="P1949" s="5">
        <v>19.829999999999998</v>
      </c>
      <c r="Q1949" s="5">
        <v>18.18</v>
      </c>
      <c r="R1949" s="5">
        <v>18.38</v>
      </c>
      <c r="S1949" s="5">
        <v>18.54</v>
      </c>
      <c r="T1949" s="5">
        <v>18.690000000000001</v>
      </c>
      <c r="V1949" s="5">
        <v>18.39</v>
      </c>
      <c r="Y1949" s="5">
        <v>1806</v>
      </c>
      <c r="Z1949" s="5">
        <v>33268.730000000003</v>
      </c>
      <c r="AA1949" s="5">
        <v>61</v>
      </c>
      <c r="AB1949" s="5" t="s">
        <v>85</v>
      </c>
      <c r="AC1949" s="5">
        <v>1</v>
      </c>
    </row>
    <row r="1950" spans="1:29" x14ac:dyDescent="0.3">
      <c r="A1950" s="34">
        <v>46274</v>
      </c>
      <c r="B1950" s="34">
        <v>46274</v>
      </c>
      <c r="C1950" s="5" t="s">
        <v>78</v>
      </c>
      <c r="D1950" s="5" t="s">
        <v>79</v>
      </c>
      <c r="E1950" s="5" t="s">
        <v>80</v>
      </c>
      <c r="F1950" s="5">
        <v>7889</v>
      </c>
      <c r="G1950" s="5" t="s">
        <v>5940</v>
      </c>
      <c r="H1950" s="5" t="s">
        <v>5941</v>
      </c>
      <c r="I1950" s="5" t="s">
        <v>234</v>
      </c>
      <c r="N1950" s="5" t="s">
        <v>5942</v>
      </c>
      <c r="O1950" s="5">
        <v>164.7</v>
      </c>
      <c r="P1950" s="5">
        <v>166</v>
      </c>
      <c r="Q1950" s="5">
        <v>162</v>
      </c>
      <c r="R1950" s="5">
        <v>164.88</v>
      </c>
      <c r="S1950" s="5">
        <v>165</v>
      </c>
      <c r="T1950" s="5">
        <v>166.25</v>
      </c>
      <c r="V1950" s="5">
        <v>164.88</v>
      </c>
      <c r="Y1950" s="5">
        <v>4065</v>
      </c>
      <c r="Z1950" s="5">
        <v>668580.9</v>
      </c>
      <c r="AA1950" s="5">
        <v>81</v>
      </c>
      <c r="AB1950" s="5" t="s">
        <v>85</v>
      </c>
      <c r="AC1950" s="5">
        <v>1</v>
      </c>
    </row>
    <row r="1951" spans="1:29" x14ac:dyDescent="0.3">
      <c r="A1951" s="34">
        <v>46274</v>
      </c>
      <c r="B1951" s="34">
        <v>46274</v>
      </c>
      <c r="C1951" s="5" t="s">
        <v>78</v>
      </c>
      <c r="D1951" s="5" t="s">
        <v>79</v>
      </c>
      <c r="E1951" s="5" t="s">
        <v>80</v>
      </c>
      <c r="F1951" s="5">
        <v>17531</v>
      </c>
      <c r="G1951" s="5" t="s">
        <v>5943</v>
      </c>
      <c r="H1951" s="5" t="s">
        <v>5944</v>
      </c>
      <c r="I1951" s="5" t="s">
        <v>234</v>
      </c>
      <c r="N1951" s="5" t="s">
        <v>5945</v>
      </c>
      <c r="O1951" s="5">
        <v>1309.9000000000001</v>
      </c>
      <c r="P1951" s="5">
        <v>1340</v>
      </c>
      <c r="Q1951" s="5">
        <v>1226.9000000000001</v>
      </c>
      <c r="R1951" s="5">
        <v>1325.6</v>
      </c>
      <c r="S1951" s="5">
        <v>1330</v>
      </c>
      <c r="T1951" s="5">
        <v>1291.4000000000001</v>
      </c>
      <c r="V1951" s="5">
        <v>1325.86</v>
      </c>
      <c r="Y1951" s="5">
        <v>4953</v>
      </c>
      <c r="Z1951" s="5">
        <v>6328114</v>
      </c>
      <c r="AA1951" s="5">
        <v>395</v>
      </c>
      <c r="AB1951" s="5" t="s">
        <v>85</v>
      </c>
      <c r="AC1951" s="5">
        <v>1</v>
      </c>
    </row>
    <row r="1952" spans="1:29" x14ac:dyDescent="0.3">
      <c r="A1952" s="34">
        <v>46274</v>
      </c>
      <c r="B1952" s="34">
        <v>46274</v>
      </c>
      <c r="C1952" s="5" t="s">
        <v>78</v>
      </c>
      <c r="D1952" s="5" t="s">
        <v>79</v>
      </c>
      <c r="E1952" s="5" t="s">
        <v>80</v>
      </c>
      <c r="F1952" s="5">
        <v>17534</v>
      </c>
      <c r="G1952" s="5" t="s">
        <v>5946</v>
      </c>
      <c r="H1952" s="5" t="s">
        <v>5947</v>
      </c>
      <c r="I1952" s="5" t="s">
        <v>212</v>
      </c>
      <c r="N1952" s="5" t="s">
        <v>5948</v>
      </c>
      <c r="O1952" s="5">
        <v>1101.5</v>
      </c>
      <c r="P1952" s="5">
        <v>1109</v>
      </c>
      <c r="Q1952" s="5">
        <v>1081</v>
      </c>
      <c r="R1952" s="5">
        <v>1084.3</v>
      </c>
      <c r="S1952" s="5">
        <v>1081.4000000000001</v>
      </c>
      <c r="T1952" s="5">
        <v>1103.2</v>
      </c>
      <c r="V1952" s="5">
        <v>1084.31</v>
      </c>
      <c r="Y1952" s="5">
        <v>156163</v>
      </c>
      <c r="Z1952" s="5">
        <v>171277689.59999999</v>
      </c>
      <c r="AA1952" s="5">
        <v>6650</v>
      </c>
      <c r="AB1952" s="5" t="s">
        <v>85</v>
      </c>
      <c r="AC1952" s="5">
        <v>1</v>
      </c>
    </row>
    <row r="1953" spans="1:29" x14ac:dyDescent="0.3">
      <c r="A1953" s="34">
        <v>46274</v>
      </c>
      <c r="B1953" s="34">
        <v>46274</v>
      </c>
      <c r="C1953" s="5" t="s">
        <v>78</v>
      </c>
      <c r="D1953" s="5" t="s">
        <v>79</v>
      </c>
      <c r="E1953" s="5" t="s">
        <v>80</v>
      </c>
      <c r="F1953" s="5">
        <v>2294</v>
      </c>
      <c r="G1953" s="5" t="s">
        <v>5949</v>
      </c>
      <c r="H1953" s="5" t="s">
        <v>5950</v>
      </c>
      <c r="I1953" s="5" t="s">
        <v>212</v>
      </c>
      <c r="N1953" s="5" t="s">
        <v>5951</v>
      </c>
      <c r="O1953" s="5">
        <v>25.35</v>
      </c>
      <c r="P1953" s="5">
        <v>25.44</v>
      </c>
      <c r="Q1953" s="5">
        <v>25.15</v>
      </c>
      <c r="R1953" s="5">
        <v>25.21</v>
      </c>
      <c r="S1953" s="5">
        <v>25.26</v>
      </c>
      <c r="T1953" s="5">
        <v>25.35</v>
      </c>
      <c r="V1953" s="5">
        <v>25.21</v>
      </c>
      <c r="Y1953" s="5">
        <v>501277</v>
      </c>
      <c r="Z1953" s="5">
        <v>12664113.460000001</v>
      </c>
      <c r="AA1953" s="5">
        <v>2043</v>
      </c>
      <c r="AB1953" s="5" t="s">
        <v>85</v>
      </c>
      <c r="AC1953" s="5">
        <v>1</v>
      </c>
    </row>
    <row r="1954" spans="1:29" x14ac:dyDescent="0.3">
      <c r="A1954" s="34">
        <v>46274</v>
      </c>
      <c r="B1954" s="34">
        <v>46274</v>
      </c>
      <c r="C1954" s="5" t="s">
        <v>78</v>
      </c>
      <c r="D1954" s="5" t="s">
        <v>79</v>
      </c>
      <c r="E1954" s="5" t="s">
        <v>80</v>
      </c>
      <c r="F1954" s="5">
        <v>2085</v>
      </c>
      <c r="G1954" s="5" t="s">
        <v>5952</v>
      </c>
      <c r="H1954" s="5" t="s">
        <v>5953</v>
      </c>
      <c r="I1954" s="5" t="s">
        <v>212</v>
      </c>
      <c r="N1954" s="5" t="s">
        <v>5954</v>
      </c>
      <c r="O1954" s="5">
        <v>13354</v>
      </c>
      <c r="P1954" s="5">
        <v>13500</v>
      </c>
      <c r="Q1954" s="5">
        <v>13151</v>
      </c>
      <c r="R1954" s="5">
        <v>13270</v>
      </c>
      <c r="S1954" s="5">
        <v>13212</v>
      </c>
      <c r="T1954" s="5">
        <v>13267</v>
      </c>
      <c r="V1954" s="5">
        <v>13271.13</v>
      </c>
      <c r="Y1954" s="5">
        <v>2701</v>
      </c>
      <c r="Z1954" s="5">
        <v>36126864</v>
      </c>
      <c r="AA1954" s="5">
        <v>1295</v>
      </c>
      <c r="AB1954" s="5" t="s">
        <v>85</v>
      </c>
      <c r="AC1954" s="5">
        <v>1</v>
      </c>
    </row>
    <row r="1955" spans="1:29" x14ac:dyDescent="0.3">
      <c r="A1955" s="34">
        <v>46274</v>
      </c>
      <c r="B1955" s="34">
        <v>46274</v>
      </c>
      <c r="C1955" s="5" t="s">
        <v>78</v>
      </c>
      <c r="D1955" s="5" t="s">
        <v>79</v>
      </c>
      <c r="E1955" s="5" t="s">
        <v>80</v>
      </c>
      <c r="F1955" s="5">
        <v>2088</v>
      </c>
      <c r="G1955" s="5" t="s">
        <v>5955</v>
      </c>
      <c r="H1955" s="5" t="s">
        <v>5956</v>
      </c>
      <c r="I1955" s="5" t="s">
        <v>212</v>
      </c>
      <c r="N1955" s="5" t="s">
        <v>5957</v>
      </c>
      <c r="O1955" s="5">
        <v>679.65</v>
      </c>
      <c r="P1955" s="5">
        <v>683.2</v>
      </c>
      <c r="Q1955" s="5">
        <v>668.7</v>
      </c>
      <c r="R1955" s="5">
        <v>676.2</v>
      </c>
      <c r="S1955" s="5">
        <v>674</v>
      </c>
      <c r="T1955" s="5">
        <v>680.65</v>
      </c>
      <c r="V1955" s="5">
        <v>676.19</v>
      </c>
      <c r="Y1955" s="5">
        <v>167344</v>
      </c>
      <c r="Z1955" s="5">
        <v>112854034.7</v>
      </c>
      <c r="AA1955" s="5">
        <v>10624</v>
      </c>
      <c r="AB1955" s="5" t="s">
        <v>85</v>
      </c>
      <c r="AC1955" s="5">
        <v>1</v>
      </c>
    </row>
    <row r="1956" spans="1:29" x14ac:dyDescent="0.3">
      <c r="A1956" s="34">
        <v>46274</v>
      </c>
      <c r="B1956" s="34">
        <v>46274</v>
      </c>
      <c r="C1956" s="5" t="s">
        <v>78</v>
      </c>
      <c r="D1956" s="5" t="s">
        <v>79</v>
      </c>
      <c r="E1956" s="5" t="s">
        <v>80</v>
      </c>
      <c r="F1956" s="5">
        <v>758688</v>
      </c>
      <c r="G1956" s="5" t="s">
        <v>5958</v>
      </c>
      <c r="H1956" s="5" t="s">
        <v>5959</v>
      </c>
      <c r="I1956" s="5" t="s">
        <v>392</v>
      </c>
      <c r="N1956" s="5" t="s">
        <v>5960</v>
      </c>
      <c r="O1956" s="5">
        <v>63.2</v>
      </c>
      <c r="P1956" s="5">
        <v>66.3</v>
      </c>
      <c r="Q1956" s="5">
        <v>63.2</v>
      </c>
      <c r="R1956" s="5">
        <v>66.099999999999994</v>
      </c>
      <c r="S1956" s="5">
        <v>66.3</v>
      </c>
      <c r="T1956" s="5">
        <v>63.15</v>
      </c>
      <c r="V1956" s="5">
        <v>66.099999999999994</v>
      </c>
      <c r="Y1956" s="5">
        <v>19200</v>
      </c>
      <c r="Z1956" s="5">
        <v>1241360</v>
      </c>
      <c r="AA1956" s="5">
        <v>8</v>
      </c>
      <c r="AB1956" s="5" t="s">
        <v>85</v>
      </c>
      <c r="AC1956" s="5">
        <v>1600</v>
      </c>
    </row>
    <row r="1957" spans="1:29" x14ac:dyDescent="0.3">
      <c r="A1957" s="34">
        <v>46274</v>
      </c>
      <c r="B1957" s="34">
        <v>46274</v>
      </c>
      <c r="C1957" s="5" t="s">
        <v>78</v>
      </c>
      <c r="D1957" s="5" t="s">
        <v>79</v>
      </c>
      <c r="E1957" s="5" t="s">
        <v>80</v>
      </c>
      <c r="F1957" s="5">
        <v>9577</v>
      </c>
      <c r="G1957" s="5" t="s">
        <v>5961</v>
      </c>
      <c r="H1957" s="5" t="s">
        <v>5962</v>
      </c>
      <c r="I1957" s="5" t="s">
        <v>234</v>
      </c>
      <c r="N1957" s="5" t="s">
        <v>5963</v>
      </c>
      <c r="O1957" s="5">
        <v>72.48</v>
      </c>
      <c r="P1957" s="5">
        <v>72.48</v>
      </c>
      <c r="Q1957" s="5">
        <v>71.010000000000005</v>
      </c>
      <c r="R1957" s="5">
        <v>71.03</v>
      </c>
      <c r="S1957" s="5">
        <v>71.03</v>
      </c>
      <c r="T1957" s="5">
        <v>72.489999999999995</v>
      </c>
      <c r="V1957" s="5">
        <v>71.03</v>
      </c>
      <c r="Y1957" s="5">
        <v>1103</v>
      </c>
      <c r="Z1957" s="5">
        <v>79030.960000000006</v>
      </c>
      <c r="AA1957" s="5">
        <v>19</v>
      </c>
      <c r="AB1957" s="5" t="s">
        <v>85</v>
      </c>
      <c r="AC1957" s="5">
        <v>1</v>
      </c>
    </row>
    <row r="1958" spans="1:29" x14ac:dyDescent="0.3">
      <c r="A1958" s="34">
        <v>46274</v>
      </c>
      <c r="B1958" s="34">
        <v>46274</v>
      </c>
      <c r="C1958" s="5" t="s">
        <v>78</v>
      </c>
      <c r="D1958" s="5" t="s">
        <v>79</v>
      </c>
      <c r="E1958" s="5" t="s">
        <v>80</v>
      </c>
      <c r="F1958" s="5">
        <v>2839</v>
      </c>
      <c r="G1958" s="5" t="s">
        <v>5964</v>
      </c>
      <c r="H1958" s="5" t="s">
        <v>5965</v>
      </c>
      <c r="I1958" s="5" t="s">
        <v>313</v>
      </c>
      <c r="N1958" s="5" t="s">
        <v>5966</v>
      </c>
      <c r="O1958" s="5">
        <v>297</v>
      </c>
      <c r="P1958" s="5">
        <v>297</v>
      </c>
      <c r="Q1958" s="5">
        <v>297</v>
      </c>
      <c r="R1958" s="5">
        <v>297</v>
      </c>
      <c r="S1958" s="5">
        <v>297</v>
      </c>
      <c r="T1958" s="5">
        <v>300</v>
      </c>
      <c r="V1958" s="5">
        <v>297</v>
      </c>
      <c r="Y1958" s="5">
        <v>1500</v>
      </c>
      <c r="Z1958" s="5">
        <v>445500</v>
      </c>
      <c r="AA1958" s="5">
        <v>2</v>
      </c>
      <c r="AB1958" s="5" t="s">
        <v>85</v>
      </c>
      <c r="AC1958" s="5">
        <v>750</v>
      </c>
    </row>
    <row r="1959" spans="1:29" x14ac:dyDescent="0.3">
      <c r="A1959" s="34">
        <v>46274</v>
      </c>
      <c r="B1959" s="34">
        <v>46274</v>
      </c>
      <c r="C1959" s="5" t="s">
        <v>78</v>
      </c>
      <c r="D1959" s="5" t="s">
        <v>79</v>
      </c>
      <c r="E1959" s="5" t="s">
        <v>80</v>
      </c>
      <c r="F1959" s="5">
        <v>2031</v>
      </c>
      <c r="G1959" s="5" t="s">
        <v>5967</v>
      </c>
      <c r="H1959" s="5" t="s">
        <v>5968</v>
      </c>
      <c r="I1959" s="5" t="s">
        <v>212</v>
      </c>
      <c r="N1959" s="5" t="s">
        <v>5969</v>
      </c>
      <c r="O1959" s="5">
        <v>3135.3</v>
      </c>
      <c r="P1959" s="5">
        <v>3151.3</v>
      </c>
      <c r="Q1959" s="5">
        <v>3118</v>
      </c>
      <c r="R1959" s="5">
        <v>3150</v>
      </c>
      <c r="S1959" s="5">
        <v>3150</v>
      </c>
      <c r="T1959" s="5">
        <v>3160</v>
      </c>
      <c r="V1959" s="5">
        <v>3150</v>
      </c>
      <c r="Y1959" s="5">
        <v>1050769</v>
      </c>
      <c r="Z1959" s="5">
        <v>3299111600.4000001</v>
      </c>
      <c r="AA1959" s="5">
        <v>71693</v>
      </c>
      <c r="AB1959" s="5" t="s">
        <v>85</v>
      </c>
      <c r="AC1959" s="5">
        <v>1</v>
      </c>
    </row>
    <row r="1960" spans="1:29" x14ac:dyDescent="0.3">
      <c r="A1960" s="34">
        <v>46274</v>
      </c>
      <c r="B1960" s="34">
        <v>46274</v>
      </c>
      <c r="C1960" s="5" t="s">
        <v>78</v>
      </c>
      <c r="D1960" s="5" t="s">
        <v>79</v>
      </c>
      <c r="E1960" s="5" t="s">
        <v>80</v>
      </c>
      <c r="F1960" s="5">
        <v>17603</v>
      </c>
      <c r="G1960" s="5" t="s">
        <v>5970</v>
      </c>
      <c r="H1960" s="5" t="s">
        <v>5971</v>
      </c>
      <c r="I1960" s="5" t="s">
        <v>212</v>
      </c>
      <c r="N1960" s="5" t="s">
        <v>5972</v>
      </c>
      <c r="O1960" s="5">
        <v>104.18</v>
      </c>
      <c r="P1960" s="5">
        <v>104.45</v>
      </c>
      <c r="Q1960" s="5">
        <v>102</v>
      </c>
      <c r="R1960" s="5">
        <v>102.14</v>
      </c>
      <c r="S1960" s="5">
        <v>102.95</v>
      </c>
      <c r="T1960" s="5">
        <v>102.75</v>
      </c>
      <c r="V1960" s="5">
        <v>102.14</v>
      </c>
      <c r="Y1960" s="5">
        <v>8957</v>
      </c>
      <c r="Z1960" s="5">
        <v>924047.32</v>
      </c>
      <c r="AA1960" s="5">
        <v>216</v>
      </c>
      <c r="AB1960" s="5" t="s">
        <v>85</v>
      </c>
      <c r="AC1960" s="5">
        <v>1</v>
      </c>
    </row>
    <row r="1961" spans="1:29" x14ac:dyDescent="0.3">
      <c r="A1961" s="34">
        <v>46274</v>
      </c>
      <c r="B1961" s="34">
        <v>46274</v>
      </c>
      <c r="C1961" s="5" t="s">
        <v>78</v>
      </c>
      <c r="D1961" s="5" t="s">
        <v>79</v>
      </c>
      <c r="E1961" s="5" t="s">
        <v>80</v>
      </c>
      <c r="F1961" s="5">
        <v>17333</v>
      </c>
      <c r="G1961" s="5" t="s">
        <v>5973</v>
      </c>
      <c r="H1961" s="5" t="s">
        <v>5974</v>
      </c>
      <c r="I1961" s="5" t="s">
        <v>212</v>
      </c>
      <c r="N1961" s="5" t="s">
        <v>5975</v>
      </c>
      <c r="O1961" s="5">
        <v>205.45</v>
      </c>
      <c r="P1961" s="5">
        <v>206.69</v>
      </c>
      <c r="Q1961" s="5">
        <v>199</v>
      </c>
      <c r="R1961" s="5">
        <v>199.36</v>
      </c>
      <c r="S1961" s="5">
        <v>199.3</v>
      </c>
      <c r="T1961" s="5">
        <v>205.71</v>
      </c>
      <c r="V1961" s="5">
        <v>199.36</v>
      </c>
      <c r="Y1961" s="5">
        <v>258681</v>
      </c>
      <c r="Z1961" s="5">
        <v>52094413.07</v>
      </c>
      <c r="AA1961" s="5">
        <v>5200</v>
      </c>
      <c r="AB1961" s="5" t="s">
        <v>85</v>
      </c>
      <c r="AC1961" s="5">
        <v>1</v>
      </c>
    </row>
    <row r="1962" spans="1:29" x14ac:dyDescent="0.3">
      <c r="A1962" s="34">
        <v>46274</v>
      </c>
      <c r="B1962" s="34">
        <v>46274</v>
      </c>
      <c r="C1962" s="5" t="s">
        <v>78</v>
      </c>
      <c r="D1962" s="5" t="s">
        <v>79</v>
      </c>
      <c r="E1962" s="5" t="s">
        <v>80</v>
      </c>
      <c r="F1962" s="5">
        <v>8050</v>
      </c>
      <c r="G1962" s="5" t="s">
        <v>5976</v>
      </c>
      <c r="H1962" s="5" t="s">
        <v>5977</v>
      </c>
      <c r="I1962" s="5" t="s">
        <v>212</v>
      </c>
      <c r="N1962" s="5" t="s">
        <v>5978</v>
      </c>
      <c r="O1962" s="5">
        <v>364.15</v>
      </c>
      <c r="P1962" s="5">
        <v>373</v>
      </c>
      <c r="Q1962" s="5">
        <v>361.2</v>
      </c>
      <c r="R1962" s="5">
        <v>370.1</v>
      </c>
      <c r="S1962" s="5">
        <v>368.35</v>
      </c>
      <c r="T1962" s="5">
        <v>366.15</v>
      </c>
      <c r="V1962" s="5">
        <v>370.16</v>
      </c>
      <c r="Y1962" s="5">
        <v>147985</v>
      </c>
      <c r="Z1962" s="5">
        <v>54595004.200000003</v>
      </c>
      <c r="AA1962" s="5">
        <v>10046</v>
      </c>
      <c r="AB1962" s="5" t="s">
        <v>85</v>
      </c>
      <c r="AC1962" s="5">
        <v>1</v>
      </c>
    </row>
    <row r="1963" spans="1:29" x14ac:dyDescent="0.3">
      <c r="A1963" s="34">
        <v>46274</v>
      </c>
      <c r="B1963" s="34">
        <v>46274</v>
      </c>
      <c r="C1963" s="5" t="s">
        <v>78</v>
      </c>
      <c r="D1963" s="5" t="s">
        <v>79</v>
      </c>
      <c r="E1963" s="5" t="s">
        <v>80</v>
      </c>
      <c r="F1963" s="5">
        <v>385</v>
      </c>
      <c r="G1963" s="5" t="s">
        <v>5979</v>
      </c>
      <c r="H1963" s="5" t="s">
        <v>5980</v>
      </c>
      <c r="I1963" s="5" t="s">
        <v>212</v>
      </c>
      <c r="N1963" s="5" t="s">
        <v>5981</v>
      </c>
      <c r="O1963" s="5">
        <v>410.5</v>
      </c>
      <c r="P1963" s="5">
        <v>412.75</v>
      </c>
      <c r="Q1963" s="5">
        <v>399.2</v>
      </c>
      <c r="R1963" s="5">
        <v>401.75</v>
      </c>
      <c r="S1963" s="5">
        <v>401.2</v>
      </c>
      <c r="T1963" s="5">
        <v>408.85</v>
      </c>
      <c r="V1963" s="5">
        <v>401.76</v>
      </c>
      <c r="Y1963" s="5">
        <v>106299</v>
      </c>
      <c r="Z1963" s="5">
        <v>43069892.649999999</v>
      </c>
      <c r="AA1963" s="5">
        <v>4782</v>
      </c>
      <c r="AB1963" s="5" t="s">
        <v>85</v>
      </c>
      <c r="AC1963" s="5">
        <v>1</v>
      </c>
    </row>
    <row r="1964" spans="1:29" x14ac:dyDescent="0.3">
      <c r="A1964" s="34">
        <v>46274</v>
      </c>
      <c r="B1964" s="34">
        <v>46274</v>
      </c>
      <c r="C1964" s="5" t="s">
        <v>78</v>
      </c>
      <c r="D1964" s="5" t="s">
        <v>79</v>
      </c>
      <c r="E1964" s="5" t="s">
        <v>80</v>
      </c>
      <c r="F1964" s="5">
        <v>24538</v>
      </c>
      <c r="G1964" s="5" t="s">
        <v>5982</v>
      </c>
      <c r="H1964" s="5" t="s">
        <v>5983</v>
      </c>
      <c r="I1964" s="5" t="s">
        <v>212</v>
      </c>
      <c r="N1964" s="5" t="s">
        <v>5984</v>
      </c>
      <c r="O1964" s="5">
        <v>1065</v>
      </c>
      <c r="P1964" s="5">
        <v>1089.9000000000001</v>
      </c>
      <c r="Q1964" s="5">
        <v>1035.5999999999999</v>
      </c>
      <c r="R1964" s="5">
        <v>1077</v>
      </c>
      <c r="S1964" s="5">
        <v>1082</v>
      </c>
      <c r="T1964" s="5">
        <v>1061.2</v>
      </c>
      <c r="V1964" s="5">
        <v>1076.99</v>
      </c>
      <c r="Y1964" s="5">
        <v>283553</v>
      </c>
      <c r="Z1964" s="5">
        <v>303178760.75</v>
      </c>
      <c r="AA1964" s="5">
        <v>13880</v>
      </c>
      <c r="AB1964" s="5" t="s">
        <v>85</v>
      </c>
      <c r="AC1964" s="5">
        <v>1</v>
      </c>
    </row>
    <row r="1965" spans="1:29" x14ac:dyDescent="0.3">
      <c r="A1965" s="34">
        <v>46274</v>
      </c>
      <c r="B1965" s="34">
        <v>46274</v>
      </c>
      <c r="C1965" s="5" t="s">
        <v>78</v>
      </c>
      <c r="D1965" s="5" t="s">
        <v>79</v>
      </c>
      <c r="E1965" s="5" t="s">
        <v>80</v>
      </c>
      <c r="F1965" s="5">
        <v>19809</v>
      </c>
      <c r="G1965" s="5" t="s">
        <v>5985</v>
      </c>
      <c r="H1965" s="5" t="s">
        <v>5986</v>
      </c>
      <c r="I1965" s="5" t="s">
        <v>313</v>
      </c>
      <c r="N1965" s="5" t="s">
        <v>5987</v>
      </c>
      <c r="O1965" s="5">
        <v>121</v>
      </c>
      <c r="P1965" s="5">
        <v>121</v>
      </c>
      <c r="Q1965" s="5">
        <v>116</v>
      </c>
      <c r="R1965" s="5">
        <v>119.9</v>
      </c>
      <c r="S1965" s="5">
        <v>120</v>
      </c>
      <c r="T1965" s="5">
        <v>121</v>
      </c>
      <c r="V1965" s="5">
        <v>119.9</v>
      </c>
      <c r="Y1965" s="5">
        <v>11200</v>
      </c>
      <c r="Z1965" s="5">
        <v>1320580</v>
      </c>
      <c r="AA1965" s="5">
        <v>24</v>
      </c>
      <c r="AB1965" s="5" t="s">
        <v>85</v>
      </c>
      <c r="AC1965" s="5">
        <v>400</v>
      </c>
    </row>
    <row r="1966" spans="1:29" x14ac:dyDescent="0.3">
      <c r="A1966" s="34">
        <v>46274</v>
      </c>
      <c r="B1966" s="34">
        <v>46274</v>
      </c>
      <c r="C1966" s="5" t="s">
        <v>78</v>
      </c>
      <c r="D1966" s="5" t="s">
        <v>79</v>
      </c>
      <c r="E1966" s="5" t="s">
        <v>80</v>
      </c>
      <c r="F1966" s="5">
        <v>762780</v>
      </c>
      <c r="G1966" s="5" t="s">
        <v>5988</v>
      </c>
      <c r="H1966" s="5" t="s">
        <v>5989</v>
      </c>
      <c r="I1966" s="5" t="s">
        <v>234</v>
      </c>
      <c r="N1966" s="5" t="s">
        <v>5990</v>
      </c>
      <c r="O1966" s="5">
        <v>355.9</v>
      </c>
      <c r="P1966" s="5">
        <v>363</v>
      </c>
      <c r="Q1966" s="5">
        <v>351.3</v>
      </c>
      <c r="R1966" s="5">
        <v>360.5</v>
      </c>
      <c r="S1966" s="5">
        <v>360.5</v>
      </c>
      <c r="T1966" s="5">
        <v>355.9</v>
      </c>
      <c r="V1966" s="5">
        <v>360.75</v>
      </c>
      <c r="Y1966" s="5">
        <v>2762</v>
      </c>
      <c r="Z1966" s="5">
        <v>994289.5</v>
      </c>
      <c r="AA1966" s="5">
        <v>133</v>
      </c>
      <c r="AB1966" s="5" t="s">
        <v>85</v>
      </c>
      <c r="AC1966" s="5">
        <v>1</v>
      </c>
    </row>
    <row r="1967" spans="1:29" x14ac:dyDescent="0.3">
      <c r="A1967" s="34">
        <v>46274</v>
      </c>
      <c r="B1967" s="34">
        <v>46274</v>
      </c>
      <c r="C1967" s="5" t="s">
        <v>78</v>
      </c>
      <c r="D1967" s="5" t="s">
        <v>79</v>
      </c>
      <c r="E1967" s="5" t="s">
        <v>80</v>
      </c>
      <c r="F1967" s="5">
        <v>764773</v>
      </c>
      <c r="G1967" s="5" t="s">
        <v>5991</v>
      </c>
      <c r="H1967" s="5" t="s">
        <v>5992</v>
      </c>
      <c r="I1967" s="5" t="s">
        <v>212</v>
      </c>
      <c r="N1967" s="5" t="s">
        <v>5993</v>
      </c>
      <c r="O1967" s="5">
        <v>184.28</v>
      </c>
      <c r="P1967" s="5">
        <v>191</v>
      </c>
      <c r="Q1967" s="5">
        <v>183</v>
      </c>
      <c r="R1967" s="5">
        <v>184.89</v>
      </c>
      <c r="S1967" s="5">
        <v>185</v>
      </c>
      <c r="T1967" s="5">
        <v>184.63</v>
      </c>
      <c r="V1967" s="5">
        <v>185.25</v>
      </c>
      <c r="Y1967" s="5">
        <v>1305</v>
      </c>
      <c r="Z1967" s="5">
        <v>240665.88</v>
      </c>
      <c r="AA1967" s="5">
        <v>114</v>
      </c>
      <c r="AB1967" s="5" t="s">
        <v>85</v>
      </c>
      <c r="AC1967" s="5">
        <v>1</v>
      </c>
    </row>
    <row r="1968" spans="1:29" x14ac:dyDescent="0.3">
      <c r="A1968" s="34">
        <v>46274</v>
      </c>
      <c r="B1968" s="34">
        <v>46274</v>
      </c>
      <c r="C1968" s="5" t="s">
        <v>78</v>
      </c>
      <c r="D1968" s="5" t="s">
        <v>79</v>
      </c>
      <c r="E1968" s="5" t="s">
        <v>80</v>
      </c>
      <c r="F1968" s="5">
        <v>11218</v>
      </c>
      <c r="G1968" s="5" t="s">
        <v>5994</v>
      </c>
      <c r="H1968" s="5" t="s">
        <v>5995</v>
      </c>
      <c r="I1968" s="5" t="s">
        <v>313</v>
      </c>
      <c r="N1968" s="5" t="s">
        <v>5996</v>
      </c>
      <c r="O1968" s="5">
        <v>16.600000000000001</v>
      </c>
      <c r="P1968" s="5">
        <v>17.399999999999999</v>
      </c>
      <c r="Q1968" s="5">
        <v>16.600000000000001</v>
      </c>
      <c r="R1968" s="5">
        <v>16.600000000000001</v>
      </c>
      <c r="S1968" s="5">
        <v>16.600000000000001</v>
      </c>
      <c r="T1968" s="5">
        <v>16.600000000000001</v>
      </c>
      <c r="V1968" s="5">
        <v>16.600000000000001</v>
      </c>
      <c r="Y1968" s="5">
        <v>13500</v>
      </c>
      <c r="Z1968" s="5">
        <v>229425</v>
      </c>
      <c r="AA1968" s="5">
        <v>8</v>
      </c>
      <c r="AB1968" s="5" t="s">
        <v>85</v>
      </c>
      <c r="AC1968" s="5">
        <v>1500</v>
      </c>
    </row>
    <row r="1969" spans="1:29" x14ac:dyDescent="0.3">
      <c r="A1969" s="34">
        <v>46274</v>
      </c>
      <c r="B1969" s="34">
        <v>46274</v>
      </c>
      <c r="C1969" s="5" t="s">
        <v>78</v>
      </c>
      <c r="D1969" s="5" t="s">
        <v>79</v>
      </c>
      <c r="E1969" s="5" t="s">
        <v>80</v>
      </c>
      <c r="F1969" s="5">
        <v>7965</v>
      </c>
      <c r="G1969" s="5" t="s">
        <v>5997</v>
      </c>
      <c r="H1969" s="5" t="s">
        <v>5998</v>
      </c>
      <c r="I1969" s="5" t="s">
        <v>212</v>
      </c>
      <c r="N1969" s="5" t="s">
        <v>5999</v>
      </c>
      <c r="O1969" s="5">
        <v>980.3</v>
      </c>
      <c r="P1969" s="5">
        <v>983.45</v>
      </c>
      <c r="Q1969" s="5">
        <v>971.25</v>
      </c>
      <c r="R1969" s="5">
        <v>977.85</v>
      </c>
      <c r="S1969" s="5">
        <v>972</v>
      </c>
      <c r="T1969" s="5">
        <v>981.65</v>
      </c>
      <c r="V1969" s="5">
        <v>977.76</v>
      </c>
      <c r="Y1969" s="5">
        <v>3467</v>
      </c>
      <c r="Z1969" s="5">
        <v>3387480.25</v>
      </c>
      <c r="AA1969" s="5">
        <v>168</v>
      </c>
      <c r="AB1969" s="5" t="s">
        <v>85</v>
      </c>
      <c r="AC1969" s="5">
        <v>1</v>
      </c>
    </row>
    <row r="1970" spans="1:29" x14ac:dyDescent="0.3">
      <c r="A1970" s="34">
        <v>46274</v>
      </c>
      <c r="B1970" s="34">
        <v>46274</v>
      </c>
      <c r="C1970" s="5" t="s">
        <v>78</v>
      </c>
      <c r="D1970" s="5" t="s">
        <v>79</v>
      </c>
      <c r="E1970" s="5" t="s">
        <v>80</v>
      </c>
      <c r="F1970" s="5">
        <v>13352</v>
      </c>
      <c r="G1970" s="5" t="s">
        <v>6000</v>
      </c>
      <c r="H1970" s="5" t="s">
        <v>6001</v>
      </c>
      <c r="I1970" s="5" t="s">
        <v>212</v>
      </c>
      <c r="N1970" s="5" t="s">
        <v>6002</v>
      </c>
      <c r="O1970" s="5">
        <v>34.75</v>
      </c>
      <c r="P1970" s="5">
        <v>35.1</v>
      </c>
      <c r="Q1970" s="5">
        <v>34.1</v>
      </c>
      <c r="R1970" s="5">
        <v>34.81</v>
      </c>
      <c r="S1970" s="5">
        <v>34.92</v>
      </c>
      <c r="T1970" s="5">
        <v>34.590000000000003</v>
      </c>
      <c r="V1970" s="5">
        <v>34.799999999999997</v>
      </c>
      <c r="Y1970" s="5">
        <v>20336</v>
      </c>
      <c r="Z1970" s="5">
        <v>708130.37</v>
      </c>
      <c r="AA1970" s="5">
        <v>149</v>
      </c>
      <c r="AB1970" s="5" t="s">
        <v>85</v>
      </c>
      <c r="AC1970" s="5">
        <v>1</v>
      </c>
    </row>
    <row r="1971" spans="1:29" x14ac:dyDescent="0.3">
      <c r="A1971" s="34">
        <v>46274</v>
      </c>
      <c r="B1971" s="34">
        <v>46274</v>
      </c>
      <c r="C1971" s="5" t="s">
        <v>78</v>
      </c>
      <c r="D1971" s="5" t="s">
        <v>79</v>
      </c>
      <c r="E1971" s="5" t="s">
        <v>80</v>
      </c>
      <c r="F1971" s="5">
        <v>28687</v>
      </c>
      <c r="G1971" s="5" t="s">
        <v>6003</v>
      </c>
      <c r="H1971" s="5" t="s">
        <v>6004</v>
      </c>
      <c r="I1971" s="5" t="s">
        <v>212</v>
      </c>
      <c r="N1971" s="5" t="s">
        <v>6005</v>
      </c>
      <c r="O1971" s="5">
        <v>428.55</v>
      </c>
      <c r="P1971" s="5">
        <v>439.95</v>
      </c>
      <c r="Q1971" s="5">
        <v>417.5</v>
      </c>
      <c r="R1971" s="5">
        <v>419.4</v>
      </c>
      <c r="S1971" s="5">
        <v>418.9</v>
      </c>
      <c r="T1971" s="5">
        <v>425.7</v>
      </c>
      <c r="V1971" s="5">
        <v>419.42</v>
      </c>
      <c r="Y1971" s="5">
        <v>100223</v>
      </c>
      <c r="Z1971" s="5">
        <v>43019388.450000003</v>
      </c>
      <c r="AA1971" s="5">
        <v>4362</v>
      </c>
      <c r="AB1971" s="5" t="s">
        <v>85</v>
      </c>
      <c r="AC1971" s="5">
        <v>1</v>
      </c>
    </row>
    <row r="1972" spans="1:29" x14ac:dyDescent="0.3">
      <c r="A1972" s="34">
        <v>46274</v>
      </c>
      <c r="B1972" s="34">
        <v>46274</v>
      </c>
      <c r="C1972" s="5" t="s">
        <v>78</v>
      </c>
      <c r="D1972" s="5" t="s">
        <v>79</v>
      </c>
      <c r="E1972" s="5" t="s">
        <v>80</v>
      </c>
      <c r="F1972" s="5">
        <v>7413</v>
      </c>
      <c r="G1972" s="5" t="s">
        <v>6006</v>
      </c>
      <c r="H1972" s="5" t="s">
        <v>6007</v>
      </c>
      <c r="I1972" s="5" t="s">
        <v>212</v>
      </c>
      <c r="N1972" s="5" t="s">
        <v>6008</v>
      </c>
      <c r="O1972" s="5">
        <v>123</v>
      </c>
      <c r="P1972" s="5">
        <v>127.9</v>
      </c>
      <c r="Q1972" s="5">
        <v>123</v>
      </c>
      <c r="R1972" s="5">
        <v>126.42</v>
      </c>
      <c r="S1972" s="5">
        <v>127.79</v>
      </c>
      <c r="T1972" s="5">
        <v>122.93</v>
      </c>
      <c r="V1972" s="5">
        <v>126.42</v>
      </c>
      <c r="Y1972" s="5">
        <v>707413</v>
      </c>
      <c r="Z1972" s="5">
        <v>89088487.609999999</v>
      </c>
      <c r="AA1972" s="5">
        <v>3824</v>
      </c>
      <c r="AB1972" s="5" t="s">
        <v>85</v>
      </c>
      <c r="AC1972" s="5">
        <v>1</v>
      </c>
    </row>
    <row r="1973" spans="1:29" x14ac:dyDescent="0.3">
      <c r="A1973" s="34">
        <v>46274</v>
      </c>
      <c r="B1973" s="34">
        <v>46274</v>
      </c>
      <c r="C1973" s="5" t="s">
        <v>78</v>
      </c>
      <c r="D1973" s="5" t="s">
        <v>79</v>
      </c>
      <c r="E1973" s="5" t="s">
        <v>80</v>
      </c>
      <c r="F1973" s="5">
        <v>11884</v>
      </c>
      <c r="G1973" s="5" t="s">
        <v>6009</v>
      </c>
      <c r="H1973" s="5" t="s">
        <v>6010</v>
      </c>
      <c r="I1973" s="5" t="s">
        <v>212</v>
      </c>
      <c r="N1973" s="5" t="s">
        <v>6011</v>
      </c>
      <c r="O1973" s="5">
        <v>824.9</v>
      </c>
      <c r="P1973" s="5">
        <v>826</v>
      </c>
      <c r="Q1973" s="5">
        <v>784.15</v>
      </c>
      <c r="R1973" s="5">
        <v>792.55</v>
      </c>
      <c r="S1973" s="5">
        <v>795.6</v>
      </c>
      <c r="T1973" s="5">
        <v>821.7</v>
      </c>
      <c r="V1973" s="5">
        <v>792.57</v>
      </c>
      <c r="Y1973" s="5">
        <v>469853</v>
      </c>
      <c r="Z1973" s="5">
        <v>375536708</v>
      </c>
      <c r="AA1973" s="5">
        <v>24688</v>
      </c>
      <c r="AB1973" s="5" t="s">
        <v>85</v>
      </c>
      <c r="AC1973" s="5">
        <v>1</v>
      </c>
    </row>
    <row r="1974" spans="1:29" x14ac:dyDescent="0.3">
      <c r="A1974" s="34">
        <v>46274</v>
      </c>
      <c r="B1974" s="34">
        <v>46274</v>
      </c>
      <c r="C1974" s="5" t="s">
        <v>78</v>
      </c>
      <c r="D1974" s="5" t="s">
        <v>79</v>
      </c>
      <c r="E1974" s="5" t="s">
        <v>80</v>
      </c>
      <c r="F1974" s="5">
        <v>18226</v>
      </c>
      <c r="G1974" s="5" t="s">
        <v>6012</v>
      </c>
      <c r="H1974" s="5" t="s">
        <v>6013</v>
      </c>
      <c r="I1974" s="5" t="s">
        <v>212</v>
      </c>
      <c r="N1974" s="5" t="s">
        <v>6014</v>
      </c>
      <c r="O1974" s="5">
        <v>128</v>
      </c>
      <c r="P1974" s="5">
        <v>130.97999999999999</v>
      </c>
      <c r="Q1974" s="5">
        <v>127.72</v>
      </c>
      <c r="R1974" s="5">
        <v>128.72</v>
      </c>
      <c r="S1974" s="5">
        <v>128.79</v>
      </c>
      <c r="T1974" s="5">
        <v>127.75</v>
      </c>
      <c r="V1974" s="5">
        <v>128.72999999999999</v>
      </c>
      <c r="Y1974" s="5">
        <v>3598189</v>
      </c>
      <c r="Z1974" s="5">
        <v>466508777.31</v>
      </c>
      <c r="AA1974" s="5">
        <v>15558</v>
      </c>
      <c r="AB1974" s="5" t="s">
        <v>85</v>
      </c>
      <c r="AC1974" s="5">
        <v>1</v>
      </c>
    </row>
    <row r="1975" spans="1:29" x14ac:dyDescent="0.3">
      <c r="A1975" s="34">
        <v>46274</v>
      </c>
      <c r="B1975" s="34">
        <v>46274</v>
      </c>
      <c r="C1975" s="5" t="s">
        <v>78</v>
      </c>
      <c r="D1975" s="5" t="s">
        <v>79</v>
      </c>
      <c r="E1975" s="5" t="s">
        <v>80</v>
      </c>
      <c r="F1975" s="5">
        <v>7420</v>
      </c>
      <c r="G1975" s="5" t="s">
        <v>6015</v>
      </c>
      <c r="H1975" s="5" t="s">
        <v>6016</v>
      </c>
      <c r="I1975" s="5" t="s">
        <v>212</v>
      </c>
      <c r="N1975" s="5" t="s">
        <v>6017</v>
      </c>
      <c r="O1975" s="5">
        <v>39.65</v>
      </c>
      <c r="P1975" s="5">
        <v>39.65</v>
      </c>
      <c r="Q1975" s="5">
        <v>38.5</v>
      </c>
      <c r="R1975" s="5">
        <v>38.74</v>
      </c>
      <c r="S1975" s="5">
        <v>38.549999999999997</v>
      </c>
      <c r="T1975" s="5">
        <v>39.22</v>
      </c>
      <c r="V1975" s="5">
        <v>38.74</v>
      </c>
      <c r="Y1975" s="5">
        <v>69652</v>
      </c>
      <c r="Z1975" s="5">
        <v>2710773.06</v>
      </c>
      <c r="AA1975" s="5">
        <v>548</v>
      </c>
      <c r="AB1975" s="5" t="s">
        <v>85</v>
      </c>
      <c r="AC1975" s="5">
        <v>1</v>
      </c>
    </row>
    <row r="1976" spans="1:29" x14ac:dyDescent="0.3">
      <c r="A1976" s="34">
        <v>46274</v>
      </c>
      <c r="B1976" s="34">
        <v>46274</v>
      </c>
      <c r="C1976" s="5" t="s">
        <v>78</v>
      </c>
      <c r="D1976" s="5" t="s">
        <v>79</v>
      </c>
      <c r="E1976" s="5" t="s">
        <v>80</v>
      </c>
      <c r="F1976" s="5">
        <v>15199</v>
      </c>
      <c r="G1976" s="5" t="s">
        <v>6018</v>
      </c>
      <c r="H1976" s="5" t="s">
        <v>6019</v>
      </c>
      <c r="I1976" s="5" t="s">
        <v>212</v>
      </c>
      <c r="N1976" s="5" t="s">
        <v>6020</v>
      </c>
      <c r="O1976" s="5">
        <v>68.900000000000006</v>
      </c>
      <c r="P1976" s="5">
        <v>68.900000000000006</v>
      </c>
      <c r="Q1976" s="5">
        <v>65.739999999999995</v>
      </c>
      <c r="R1976" s="5">
        <v>66.209999999999994</v>
      </c>
      <c r="S1976" s="5">
        <v>66.06</v>
      </c>
      <c r="T1976" s="5">
        <v>67.72</v>
      </c>
      <c r="V1976" s="5">
        <v>66.209999999999994</v>
      </c>
      <c r="Y1976" s="5">
        <v>48915</v>
      </c>
      <c r="Z1976" s="5">
        <v>3266735.74</v>
      </c>
      <c r="AA1976" s="5">
        <v>679</v>
      </c>
      <c r="AB1976" s="5" t="s">
        <v>85</v>
      </c>
      <c r="AC1976" s="5">
        <v>1</v>
      </c>
    </row>
    <row r="1977" spans="1:29" x14ac:dyDescent="0.3">
      <c r="A1977" s="34">
        <v>46274</v>
      </c>
      <c r="B1977" s="34">
        <v>46274</v>
      </c>
      <c r="C1977" s="5" t="s">
        <v>78</v>
      </c>
      <c r="D1977" s="5" t="s">
        <v>79</v>
      </c>
      <c r="E1977" s="5" t="s">
        <v>80</v>
      </c>
      <c r="F1977" s="5">
        <v>7482</v>
      </c>
      <c r="G1977" s="5" t="s">
        <v>6021</v>
      </c>
      <c r="H1977" s="5" t="s">
        <v>6022</v>
      </c>
      <c r="I1977" s="5" t="s">
        <v>234</v>
      </c>
      <c r="N1977" s="5" t="s">
        <v>6023</v>
      </c>
      <c r="O1977" s="5">
        <v>103.9</v>
      </c>
      <c r="P1977" s="5">
        <v>109.54</v>
      </c>
      <c r="Q1977" s="5">
        <v>103.9</v>
      </c>
      <c r="R1977" s="5">
        <v>109.54</v>
      </c>
      <c r="S1977" s="5">
        <v>109.54</v>
      </c>
      <c r="T1977" s="5">
        <v>104.33</v>
      </c>
      <c r="V1977" s="5">
        <v>110.16</v>
      </c>
      <c r="Y1977" s="5">
        <v>59230</v>
      </c>
      <c r="Z1977" s="5">
        <v>6334084.8799999999</v>
      </c>
      <c r="AA1977" s="5">
        <v>292</v>
      </c>
      <c r="AB1977" s="5" t="s">
        <v>85</v>
      </c>
      <c r="AC1977" s="5">
        <v>1</v>
      </c>
    </row>
    <row r="1978" spans="1:29" x14ac:dyDescent="0.3">
      <c r="A1978" s="34">
        <v>46274</v>
      </c>
      <c r="B1978" s="34">
        <v>46274</v>
      </c>
      <c r="C1978" s="5" t="s">
        <v>78</v>
      </c>
      <c r="D1978" s="5" t="s">
        <v>79</v>
      </c>
      <c r="E1978" s="5" t="s">
        <v>80</v>
      </c>
      <c r="F1978" s="5">
        <v>13796</v>
      </c>
      <c r="G1978" s="5" t="s">
        <v>6024</v>
      </c>
      <c r="H1978" s="5" t="s">
        <v>6025</v>
      </c>
      <c r="I1978" s="5" t="s">
        <v>212</v>
      </c>
      <c r="N1978" s="5" t="s">
        <v>6026</v>
      </c>
      <c r="O1978" s="5">
        <v>90.6</v>
      </c>
      <c r="P1978" s="5">
        <v>92</v>
      </c>
      <c r="Q1978" s="5">
        <v>86.5</v>
      </c>
      <c r="R1978" s="5">
        <v>87.15</v>
      </c>
      <c r="S1978" s="5">
        <v>87.49</v>
      </c>
      <c r="T1978" s="5">
        <v>90.08</v>
      </c>
      <c r="V1978" s="5">
        <v>87.15</v>
      </c>
      <c r="Y1978" s="5">
        <v>3298224</v>
      </c>
      <c r="Z1978" s="5">
        <v>294754561.19</v>
      </c>
      <c r="AA1978" s="5">
        <v>19476</v>
      </c>
      <c r="AB1978" s="5" t="s">
        <v>85</v>
      </c>
      <c r="AC1978" s="5">
        <v>1</v>
      </c>
    </row>
    <row r="1979" spans="1:29" x14ac:dyDescent="0.3">
      <c r="A1979" s="34">
        <v>46274</v>
      </c>
      <c r="B1979" s="34">
        <v>46274</v>
      </c>
      <c r="C1979" s="5" t="s">
        <v>78</v>
      </c>
      <c r="D1979" s="5" t="s">
        <v>79</v>
      </c>
      <c r="E1979" s="5" t="s">
        <v>80</v>
      </c>
      <c r="F1979" s="5">
        <v>19061</v>
      </c>
      <c r="G1979" s="5" t="s">
        <v>6027</v>
      </c>
      <c r="H1979" s="5" t="s">
        <v>6028</v>
      </c>
      <c r="I1979" s="5" t="s">
        <v>212</v>
      </c>
      <c r="N1979" s="5" t="s">
        <v>6029</v>
      </c>
      <c r="O1979" s="5">
        <v>323</v>
      </c>
      <c r="P1979" s="5">
        <v>328</v>
      </c>
      <c r="Q1979" s="5">
        <v>312.3</v>
      </c>
      <c r="R1979" s="5">
        <v>320</v>
      </c>
      <c r="S1979" s="5">
        <v>320</v>
      </c>
      <c r="T1979" s="5">
        <v>325</v>
      </c>
      <c r="V1979" s="5">
        <v>320.01</v>
      </c>
      <c r="Y1979" s="5">
        <v>6844403</v>
      </c>
      <c r="Z1979" s="5">
        <v>2180294378.5999999</v>
      </c>
      <c r="AA1979" s="5">
        <v>49437</v>
      </c>
      <c r="AB1979" s="5" t="s">
        <v>85</v>
      </c>
      <c r="AC1979" s="5">
        <v>1</v>
      </c>
    </row>
    <row r="1980" spans="1:29" x14ac:dyDescent="0.3">
      <c r="A1980" s="34">
        <v>46274</v>
      </c>
      <c r="B1980" s="34">
        <v>46274</v>
      </c>
      <c r="C1980" s="5" t="s">
        <v>78</v>
      </c>
      <c r="D1980" s="5" t="s">
        <v>79</v>
      </c>
      <c r="E1980" s="5" t="s">
        <v>80</v>
      </c>
      <c r="F1980" s="5">
        <v>765927</v>
      </c>
      <c r="G1980" s="5" t="s">
        <v>6030</v>
      </c>
      <c r="H1980" s="5" t="s">
        <v>6031</v>
      </c>
      <c r="I1980" s="5" t="s">
        <v>392</v>
      </c>
      <c r="N1980" s="5" t="s">
        <v>6032</v>
      </c>
      <c r="O1980" s="5">
        <v>4.95</v>
      </c>
      <c r="P1980" s="5">
        <v>4.95</v>
      </c>
      <c r="Q1980" s="5">
        <v>4.1500000000000004</v>
      </c>
      <c r="R1980" s="5">
        <v>4.1500000000000004</v>
      </c>
      <c r="S1980" s="5">
        <v>4.1500000000000004</v>
      </c>
      <c r="T1980" s="5">
        <v>6.85</v>
      </c>
      <c r="V1980" s="5">
        <v>4.1500000000000004</v>
      </c>
      <c r="Y1980" s="5">
        <v>48000</v>
      </c>
      <c r="Z1980" s="5">
        <v>209280</v>
      </c>
      <c r="AA1980" s="5">
        <v>12</v>
      </c>
      <c r="AB1980" s="5" t="s">
        <v>85</v>
      </c>
      <c r="AC1980" s="5">
        <v>3200</v>
      </c>
    </row>
    <row r="1981" spans="1:29" x14ac:dyDescent="0.3">
      <c r="A1981" s="34">
        <v>46274</v>
      </c>
      <c r="B1981" s="34">
        <v>46274</v>
      </c>
      <c r="C1981" s="5" t="s">
        <v>78</v>
      </c>
      <c r="D1981" s="5" t="s">
        <v>79</v>
      </c>
      <c r="E1981" s="5" t="s">
        <v>80</v>
      </c>
      <c r="F1981" s="5">
        <v>759354</v>
      </c>
      <c r="G1981" s="5" t="s">
        <v>6033</v>
      </c>
      <c r="H1981" s="5" t="s">
        <v>6034</v>
      </c>
      <c r="I1981" s="5" t="s">
        <v>392</v>
      </c>
      <c r="N1981" s="5" t="s">
        <v>6035</v>
      </c>
      <c r="O1981" s="5">
        <v>24.7</v>
      </c>
      <c r="P1981" s="5">
        <v>24.7</v>
      </c>
      <c r="Q1981" s="5">
        <v>24.7</v>
      </c>
      <c r="R1981" s="5">
        <v>24.7</v>
      </c>
      <c r="S1981" s="5">
        <v>24.7</v>
      </c>
      <c r="T1981" s="5">
        <v>26</v>
      </c>
      <c r="V1981" s="5">
        <v>24.7</v>
      </c>
      <c r="Y1981" s="5">
        <v>1600</v>
      </c>
      <c r="Z1981" s="5">
        <v>39520</v>
      </c>
      <c r="AA1981" s="5">
        <v>1</v>
      </c>
      <c r="AB1981" s="5" t="s">
        <v>85</v>
      </c>
      <c r="AC1981" s="5">
        <v>1600</v>
      </c>
    </row>
    <row r="1982" spans="1:29" x14ac:dyDescent="0.3">
      <c r="A1982" s="34">
        <v>46274</v>
      </c>
      <c r="B1982" s="34">
        <v>46274</v>
      </c>
      <c r="C1982" s="5" t="s">
        <v>78</v>
      </c>
      <c r="D1982" s="5" t="s">
        <v>79</v>
      </c>
      <c r="E1982" s="5" t="s">
        <v>80</v>
      </c>
      <c r="F1982" s="5">
        <v>25597</v>
      </c>
      <c r="G1982" s="5" t="s">
        <v>6036</v>
      </c>
      <c r="H1982" s="5" t="s">
        <v>6037</v>
      </c>
      <c r="I1982" s="5" t="s">
        <v>212</v>
      </c>
      <c r="N1982" s="5" t="s">
        <v>6038</v>
      </c>
      <c r="O1982" s="5">
        <v>130.91999999999999</v>
      </c>
      <c r="P1982" s="5">
        <v>132.79</v>
      </c>
      <c r="Q1982" s="5">
        <v>129.19999999999999</v>
      </c>
      <c r="R1982" s="5">
        <v>130.16</v>
      </c>
      <c r="S1982" s="5">
        <v>129.5</v>
      </c>
      <c r="T1982" s="5">
        <v>130.66999999999999</v>
      </c>
      <c r="V1982" s="5">
        <v>130.15</v>
      </c>
      <c r="Y1982" s="5">
        <v>108399</v>
      </c>
      <c r="Z1982" s="5">
        <v>14199693.029999999</v>
      </c>
      <c r="AA1982" s="5">
        <v>1026</v>
      </c>
      <c r="AB1982" s="5" t="s">
        <v>85</v>
      </c>
      <c r="AC1982" s="5">
        <v>1</v>
      </c>
    </row>
    <row r="1983" spans="1:29" x14ac:dyDescent="0.3">
      <c r="A1983" s="34">
        <v>46274</v>
      </c>
      <c r="B1983" s="34">
        <v>46274</v>
      </c>
      <c r="C1983" s="5" t="s">
        <v>78</v>
      </c>
      <c r="D1983" s="5" t="s">
        <v>79</v>
      </c>
      <c r="E1983" s="5" t="s">
        <v>80</v>
      </c>
      <c r="F1983" s="5">
        <v>24823</v>
      </c>
      <c r="G1983" s="5" t="s">
        <v>6039</v>
      </c>
      <c r="H1983" s="5" t="s">
        <v>6040</v>
      </c>
      <c r="I1983" s="5" t="s">
        <v>212</v>
      </c>
      <c r="N1983" s="5" t="s">
        <v>6041</v>
      </c>
      <c r="O1983" s="5">
        <v>224</v>
      </c>
      <c r="P1983" s="5">
        <v>224</v>
      </c>
      <c r="Q1983" s="5">
        <v>218.24</v>
      </c>
      <c r="R1983" s="5">
        <v>220.19</v>
      </c>
      <c r="S1983" s="5">
        <v>222</v>
      </c>
      <c r="T1983" s="5">
        <v>221.22</v>
      </c>
      <c r="V1983" s="5">
        <v>220.19</v>
      </c>
      <c r="Y1983" s="5">
        <v>141076</v>
      </c>
      <c r="Z1983" s="5">
        <v>31206792.59</v>
      </c>
      <c r="AA1983" s="5">
        <v>1629</v>
      </c>
      <c r="AB1983" s="5" t="s">
        <v>85</v>
      </c>
      <c r="AC1983" s="5">
        <v>1</v>
      </c>
    </row>
    <row r="1984" spans="1:29" x14ac:dyDescent="0.3">
      <c r="A1984" s="34">
        <v>46274</v>
      </c>
      <c r="B1984" s="34">
        <v>46274</v>
      </c>
      <c r="C1984" s="5" t="s">
        <v>78</v>
      </c>
      <c r="D1984" s="5" t="s">
        <v>79</v>
      </c>
      <c r="E1984" s="5" t="s">
        <v>80</v>
      </c>
      <c r="F1984" s="5">
        <v>758748</v>
      </c>
      <c r="G1984" s="5" t="s">
        <v>6042</v>
      </c>
      <c r="H1984" s="5" t="s">
        <v>6043</v>
      </c>
      <c r="I1984" s="5" t="s">
        <v>212</v>
      </c>
      <c r="N1984" s="5" t="s">
        <v>6044</v>
      </c>
      <c r="O1984" s="5">
        <v>287.75</v>
      </c>
      <c r="P1984" s="5">
        <v>289.39999999999998</v>
      </c>
      <c r="Q1984" s="5">
        <v>280.25</v>
      </c>
      <c r="R1984" s="5">
        <v>283.45</v>
      </c>
      <c r="S1984" s="5">
        <v>284</v>
      </c>
      <c r="T1984" s="5">
        <v>286.7</v>
      </c>
      <c r="V1984" s="5">
        <v>283.52999999999997</v>
      </c>
      <c r="Y1984" s="5">
        <v>24599</v>
      </c>
      <c r="Z1984" s="5">
        <v>6961717.1500000004</v>
      </c>
      <c r="AA1984" s="5">
        <v>702</v>
      </c>
      <c r="AB1984" s="5" t="s">
        <v>85</v>
      </c>
      <c r="AC1984" s="5">
        <v>1</v>
      </c>
    </row>
    <row r="1985" spans="1:29" x14ac:dyDescent="0.3">
      <c r="A1985" s="34">
        <v>46274</v>
      </c>
      <c r="B1985" s="34">
        <v>46274</v>
      </c>
      <c r="C1985" s="5" t="s">
        <v>78</v>
      </c>
      <c r="D1985" s="5" t="s">
        <v>79</v>
      </c>
      <c r="E1985" s="5" t="s">
        <v>80</v>
      </c>
      <c r="F1985" s="5">
        <v>19134</v>
      </c>
      <c r="G1985" s="5" t="s">
        <v>6045</v>
      </c>
      <c r="H1985" s="5" t="s">
        <v>6046</v>
      </c>
      <c r="I1985" s="5" t="s">
        <v>313</v>
      </c>
      <c r="N1985" s="5" t="s">
        <v>6047</v>
      </c>
      <c r="O1985" s="5">
        <v>44.2</v>
      </c>
      <c r="P1985" s="5">
        <v>44.2</v>
      </c>
      <c r="Q1985" s="5">
        <v>44.2</v>
      </c>
      <c r="R1985" s="5">
        <v>44.2</v>
      </c>
      <c r="S1985" s="5">
        <v>44.2</v>
      </c>
      <c r="T1985" s="5">
        <v>42.1</v>
      </c>
      <c r="V1985" s="5">
        <v>44.2</v>
      </c>
      <c r="Y1985" s="5">
        <v>9600</v>
      </c>
      <c r="Z1985" s="5">
        <v>424320</v>
      </c>
      <c r="AA1985" s="5">
        <v>4</v>
      </c>
      <c r="AB1985" s="5" t="s">
        <v>85</v>
      </c>
      <c r="AC1985" s="5">
        <v>1600</v>
      </c>
    </row>
    <row r="1986" spans="1:29" x14ac:dyDescent="0.3">
      <c r="A1986" s="34">
        <v>46274</v>
      </c>
      <c r="B1986" s="34">
        <v>46274</v>
      </c>
      <c r="C1986" s="5" t="s">
        <v>78</v>
      </c>
      <c r="D1986" s="5" t="s">
        <v>79</v>
      </c>
      <c r="E1986" s="5" t="s">
        <v>80</v>
      </c>
      <c r="F1986" s="5">
        <v>2106</v>
      </c>
      <c r="G1986" s="5" t="s">
        <v>6048</v>
      </c>
      <c r="H1986" s="5" t="s">
        <v>6049</v>
      </c>
      <c r="I1986" s="5" t="s">
        <v>212</v>
      </c>
      <c r="N1986" s="5" t="s">
        <v>6050</v>
      </c>
      <c r="O1986" s="5">
        <v>1053.0999999999999</v>
      </c>
      <c r="P1986" s="5">
        <v>1068</v>
      </c>
      <c r="Q1986" s="5">
        <v>1034.5999999999999</v>
      </c>
      <c r="R1986" s="5">
        <v>1049.5999999999999</v>
      </c>
      <c r="S1986" s="5">
        <v>1042</v>
      </c>
      <c r="T1986" s="5">
        <v>1062.5</v>
      </c>
      <c r="V1986" s="5">
        <v>1049.5999999999999</v>
      </c>
      <c r="Y1986" s="5">
        <v>86283</v>
      </c>
      <c r="Z1986" s="5">
        <v>90702482.5</v>
      </c>
      <c r="AA1986" s="5">
        <v>4180</v>
      </c>
      <c r="AB1986" s="5" t="s">
        <v>85</v>
      </c>
      <c r="AC1986" s="5">
        <v>1</v>
      </c>
    </row>
    <row r="1987" spans="1:29" x14ac:dyDescent="0.3">
      <c r="A1987" s="34">
        <v>46274</v>
      </c>
      <c r="B1987" s="34">
        <v>46274</v>
      </c>
      <c r="C1987" s="5" t="s">
        <v>78</v>
      </c>
      <c r="D1987" s="5" t="s">
        <v>79</v>
      </c>
      <c r="E1987" s="5" t="s">
        <v>80</v>
      </c>
      <c r="F1987" s="5">
        <v>11817</v>
      </c>
      <c r="G1987" s="5" t="s">
        <v>6051</v>
      </c>
      <c r="H1987" s="5" t="s">
        <v>6052</v>
      </c>
      <c r="I1987" s="5" t="s">
        <v>212</v>
      </c>
      <c r="N1987" s="5" t="s">
        <v>6053</v>
      </c>
      <c r="O1987" s="5">
        <v>29.33</v>
      </c>
      <c r="P1987" s="5">
        <v>31.99</v>
      </c>
      <c r="Q1987" s="5">
        <v>28.51</v>
      </c>
      <c r="R1987" s="5">
        <v>31.71</v>
      </c>
      <c r="S1987" s="5">
        <v>31.85</v>
      </c>
      <c r="T1987" s="5">
        <v>29.33</v>
      </c>
      <c r="V1987" s="5">
        <v>31.7</v>
      </c>
      <c r="Y1987" s="5">
        <v>64156</v>
      </c>
      <c r="Z1987" s="5">
        <v>1981687.58</v>
      </c>
      <c r="AA1987" s="5">
        <v>565</v>
      </c>
      <c r="AB1987" s="5" t="s">
        <v>85</v>
      </c>
      <c r="AC1987" s="5">
        <v>1</v>
      </c>
    </row>
    <row r="1988" spans="1:29" x14ac:dyDescent="0.3">
      <c r="A1988" s="34">
        <v>46274</v>
      </c>
      <c r="B1988" s="34">
        <v>46274</v>
      </c>
      <c r="C1988" s="5" t="s">
        <v>78</v>
      </c>
      <c r="D1988" s="5" t="s">
        <v>79</v>
      </c>
      <c r="E1988" s="5" t="s">
        <v>80</v>
      </c>
      <c r="F1988" s="5">
        <v>1593</v>
      </c>
      <c r="G1988" s="5" t="s">
        <v>6054</v>
      </c>
      <c r="H1988" s="5" t="s">
        <v>6055</v>
      </c>
      <c r="I1988" s="5" t="s">
        <v>212</v>
      </c>
      <c r="N1988" s="5" t="s">
        <v>6056</v>
      </c>
      <c r="O1988" s="5">
        <v>15.5</v>
      </c>
      <c r="P1988" s="5">
        <v>17</v>
      </c>
      <c r="Q1988" s="5">
        <v>14.51</v>
      </c>
      <c r="R1988" s="5">
        <v>15.84</v>
      </c>
      <c r="S1988" s="5">
        <v>15.87</v>
      </c>
      <c r="T1988" s="5">
        <v>15.5</v>
      </c>
      <c r="V1988" s="5">
        <v>15.84</v>
      </c>
      <c r="Y1988" s="5">
        <v>14242508</v>
      </c>
      <c r="Z1988" s="5">
        <v>221427367.21000001</v>
      </c>
      <c r="AA1988" s="5">
        <v>19669</v>
      </c>
      <c r="AB1988" s="5" t="s">
        <v>85</v>
      </c>
      <c r="AC1988" s="5">
        <v>1</v>
      </c>
    </row>
    <row r="1989" spans="1:29" x14ac:dyDescent="0.3">
      <c r="A1989" s="34">
        <v>46274</v>
      </c>
      <c r="B1989" s="34">
        <v>46274</v>
      </c>
      <c r="C1989" s="5" t="s">
        <v>78</v>
      </c>
      <c r="D1989" s="5" t="s">
        <v>79</v>
      </c>
      <c r="E1989" s="5" t="s">
        <v>80</v>
      </c>
      <c r="F1989" s="5">
        <v>6422</v>
      </c>
      <c r="G1989" s="5" t="s">
        <v>6057</v>
      </c>
      <c r="H1989" s="5" t="s">
        <v>6058</v>
      </c>
      <c r="I1989" s="5" t="s">
        <v>212</v>
      </c>
      <c r="N1989" s="5" t="s">
        <v>6059</v>
      </c>
      <c r="O1989" s="5">
        <v>498.9</v>
      </c>
      <c r="P1989" s="5">
        <v>498.9</v>
      </c>
      <c r="Q1989" s="5">
        <v>476.55</v>
      </c>
      <c r="R1989" s="5">
        <v>480.7</v>
      </c>
      <c r="S1989" s="5">
        <v>477</v>
      </c>
      <c r="T1989" s="5">
        <v>496.75</v>
      </c>
      <c r="V1989" s="5">
        <v>480.73</v>
      </c>
      <c r="Y1989" s="5">
        <v>5184</v>
      </c>
      <c r="Z1989" s="5">
        <v>2518381.2999999998</v>
      </c>
      <c r="AA1989" s="5">
        <v>334</v>
      </c>
      <c r="AB1989" s="5" t="s">
        <v>85</v>
      </c>
      <c r="AC1989" s="5">
        <v>1</v>
      </c>
    </row>
    <row r="1990" spans="1:29" x14ac:dyDescent="0.3">
      <c r="A1990" s="34">
        <v>46274</v>
      </c>
      <c r="B1990" s="34">
        <v>46274</v>
      </c>
      <c r="C1990" s="5" t="s">
        <v>78</v>
      </c>
      <c r="D1990" s="5" t="s">
        <v>79</v>
      </c>
      <c r="E1990" s="5" t="s">
        <v>80</v>
      </c>
      <c r="F1990" s="5">
        <v>764783</v>
      </c>
      <c r="G1990" s="5" t="s">
        <v>6060</v>
      </c>
      <c r="H1990" s="5" t="s">
        <v>6061</v>
      </c>
      <c r="I1990" s="5" t="s">
        <v>212</v>
      </c>
      <c r="N1990" s="5" t="s">
        <v>6062</v>
      </c>
      <c r="O1990" s="5">
        <v>134.5</v>
      </c>
      <c r="P1990" s="5">
        <v>149</v>
      </c>
      <c r="Q1990" s="5">
        <v>134.5</v>
      </c>
      <c r="R1990" s="5">
        <v>148</v>
      </c>
      <c r="S1990" s="5">
        <v>148</v>
      </c>
      <c r="T1990" s="5">
        <v>140.1</v>
      </c>
      <c r="V1990" s="5">
        <v>148.49</v>
      </c>
      <c r="Y1990" s="5">
        <v>307</v>
      </c>
      <c r="Z1990" s="5">
        <v>44707.58</v>
      </c>
      <c r="AA1990" s="5">
        <v>23</v>
      </c>
      <c r="AB1990" s="5" t="s">
        <v>85</v>
      </c>
      <c r="AC1990" s="5">
        <v>1</v>
      </c>
    </row>
    <row r="1991" spans="1:29" x14ac:dyDescent="0.3">
      <c r="A1991" s="34">
        <v>46274</v>
      </c>
      <c r="B1991" s="34">
        <v>46274</v>
      </c>
      <c r="C1991" s="5" t="s">
        <v>78</v>
      </c>
      <c r="D1991" s="5" t="s">
        <v>79</v>
      </c>
      <c r="E1991" s="5" t="s">
        <v>80</v>
      </c>
      <c r="F1991" s="5">
        <v>759169</v>
      </c>
      <c r="G1991" s="5" t="s">
        <v>6063</v>
      </c>
      <c r="H1991" s="5" t="s">
        <v>6064</v>
      </c>
      <c r="I1991" s="5" t="s">
        <v>212</v>
      </c>
      <c r="N1991" s="5" t="s">
        <v>6065</v>
      </c>
      <c r="O1991" s="5">
        <v>37.869999999999997</v>
      </c>
      <c r="P1991" s="5">
        <v>38.5</v>
      </c>
      <c r="Q1991" s="5">
        <v>37.200000000000003</v>
      </c>
      <c r="R1991" s="5">
        <v>37.76</v>
      </c>
      <c r="S1991" s="5">
        <v>38.1</v>
      </c>
      <c r="T1991" s="5">
        <v>37.65</v>
      </c>
      <c r="V1991" s="5">
        <v>37.770000000000003</v>
      </c>
      <c r="Y1991" s="5">
        <v>254374</v>
      </c>
      <c r="Z1991" s="5">
        <v>9616891.9399999995</v>
      </c>
      <c r="AA1991" s="5">
        <v>1388</v>
      </c>
      <c r="AB1991" s="5" t="s">
        <v>85</v>
      </c>
      <c r="AC1991" s="5">
        <v>1</v>
      </c>
    </row>
    <row r="1992" spans="1:29" x14ac:dyDescent="0.3">
      <c r="A1992" s="34">
        <v>46274</v>
      </c>
      <c r="B1992" s="34">
        <v>46274</v>
      </c>
      <c r="C1992" s="5" t="s">
        <v>78</v>
      </c>
      <c r="D1992" s="5" t="s">
        <v>79</v>
      </c>
      <c r="E1992" s="5" t="s">
        <v>80</v>
      </c>
      <c r="F1992" s="5">
        <v>24629</v>
      </c>
      <c r="G1992" s="5" t="s">
        <v>6066</v>
      </c>
      <c r="H1992" s="5" t="s">
        <v>6067</v>
      </c>
      <c r="I1992" s="5" t="s">
        <v>313</v>
      </c>
      <c r="N1992" s="5" t="s">
        <v>6068</v>
      </c>
      <c r="O1992" s="5">
        <v>12</v>
      </c>
      <c r="P1992" s="5">
        <v>12</v>
      </c>
      <c r="Q1992" s="5">
        <v>12</v>
      </c>
      <c r="R1992" s="5">
        <v>12</v>
      </c>
      <c r="S1992" s="5">
        <v>12</v>
      </c>
      <c r="T1992" s="5">
        <v>11.85</v>
      </c>
      <c r="V1992" s="5">
        <v>12</v>
      </c>
      <c r="Y1992" s="5">
        <v>2000</v>
      </c>
      <c r="Z1992" s="5">
        <v>24000</v>
      </c>
      <c r="AA1992" s="5">
        <v>1</v>
      </c>
      <c r="AB1992" s="5" t="s">
        <v>85</v>
      </c>
      <c r="AC1992" s="5">
        <v>2000</v>
      </c>
    </row>
    <row r="1993" spans="1:29" x14ac:dyDescent="0.3">
      <c r="A1993" s="34">
        <v>46274</v>
      </c>
      <c r="B1993" s="34">
        <v>46274</v>
      </c>
      <c r="C1993" s="5" t="s">
        <v>78</v>
      </c>
      <c r="D1993" s="5" t="s">
        <v>79</v>
      </c>
      <c r="E1993" s="5" t="s">
        <v>80</v>
      </c>
      <c r="F1993" s="5">
        <v>760174</v>
      </c>
      <c r="G1993" s="5" t="s">
        <v>6069</v>
      </c>
      <c r="H1993" s="5" t="s">
        <v>6070</v>
      </c>
      <c r="I1993" s="5" t="s">
        <v>313</v>
      </c>
      <c r="N1993" s="5" t="s">
        <v>6071</v>
      </c>
      <c r="O1993" s="5">
        <v>45</v>
      </c>
      <c r="P1993" s="5">
        <v>45</v>
      </c>
      <c r="Q1993" s="5">
        <v>44</v>
      </c>
      <c r="R1993" s="5">
        <v>44.5</v>
      </c>
      <c r="S1993" s="5">
        <v>45</v>
      </c>
      <c r="T1993" s="5">
        <v>46</v>
      </c>
      <c r="V1993" s="5">
        <v>44.5</v>
      </c>
      <c r="Y1993" s="5">
        <v>22000</v>
      </c>
      <c r="Z1993" s="5">
        <v>977800</v>
      </c>
      <c r="AA1993" s="5">
        <v>11</v>
      </c>
      <c r="AB1993" s="5" t="s">
        <v>85</v>
      </c>
      <c r="AC1993" s="5">
        <v>2000</v>
      </c>
    </row>
    <row r="1994" spans="1:29" x14ac:dyDescent="0.3">
      <c r="A1994" s="34">
        <v>46274</v>
      </c>
      <c r="B1994" s="34">
        <v>46274</v>
      </c>
      <c r="C1994" s="5" t="s">
        <v>78</v>
      </c>
      <c r="D1994" s="5" t="s">
        <v>79</v>
      </c>
      <c r="E1994" s="5" t="s">
        <v>80</v>
      </c>
      <c r="F1994" s="5">
        <v>764357</v>
      </c>
      <c r="G1994" s="5" t="s">
        <v>6072</v>
      </c>
      <c r="H1994" s="5" t="s">
        <v>6073</v>
      </c>
      <c r="I1994" s="5" t="s">
        <v>212</v>
      </c>
      <c r="N1994" s="5" t="s">
        <v>6074</v>
      </c>
      <c r="O1994" s="5">
        <v>721.3</v>
      </c>
      <c r="P1994" s="5">
        <v>737.75</v>
      </c>
      <c r="Q1994" s="5">
        <v>719.45</v>
      </c>
      <c r="R1994" s="5">
        <v>729.95</v>
      </c>
      <c r="S1994" s="5">
        <v>729.8</v>
      </c>
      <c r="T1994" s="5">
        <v>718.95</v>
      </c>
      <c r="V1994" s="5">
        <v>729.99</v>
      </c>
      <c r="Y1994" s="5">
        <v>1112481</v>
      </c>
      <c r="Z1994" s="5">
        <v>813125349.20000005</v>
      </c>
      <c r="AA1994" s="5">
        <v>37770</v>
      </c>
      <c r="AB1994" s="5" t="s">
        <v>85</v>
      </c>
      <c r="AC1994" s="5">
        <v>1</v>
      </c>
    </row>
    <row r="1995" spans="1:29" x14ac:dyDescent="0.3">
      <c r="A1995" s="34">
        <v>46274</v>
      </c>
      <c r="B1995" s="34">
        <v>46274</v>
      </c>
      <c r="C1995" s="5" t="s">
        <v>78</v>
      </c>
      <c r="D1995" s="5" t="s">
        <v>79</v>
      </c>
      <c r="E1995" s="5" t="s">
        <v>80</v>
      </c>
      <c r="F1995" s="5">
        <v>15380</v>
      </c>
      <c r="G1995" s="5" t="s">
        <v>6075</v>
      </c>
      <c r="H1995" s="5" t="s">
        <v>6076</v>
      </c>
      <c r="I1995" s="5" t="s">
        <v>212</v>
      </c>
      <c r="N1995" s="5" t="s">
        <v>6077</v>
      </c>
      <c r="O1995" s="5">
        <v>2305</v>
      </c>
      <c r="P1995" s="5">
        <v>2317.6</v>
      </c>
      <c r="Q1995" s="5">
        <v>2250</v>
      </c>
      <c r="R1995" s="5">
        <v>2265</v>
      </c>
      <c r="S1995" s="5">
        <v>2265</v>
      </c>
      <c r="T1995" s="5">
        <v>2309</v>
      </c>
      <c r="V1995" s="5">
        <v>2265</v>
      </c>
      <c r="Y1995" s="5">
        <v>266219</v>
      </c>
      <c r="Z1995" s="5">
        <v>607349764.29999995</v>
      </c>
      <c r="AA1995" s="5">
        <v>18670</v>
      </c>
      <c r="AB1995" s="5" t="s">
        <v>85</v>
      </c>
      <c r="AC1995" s="5">
        <v>1</v>
      </c>
    </row>
    <row r="1996" spans="1:29" x14ac:dyDescent="0.3">
      <c r="A1996" s="34">
        <v>46274</v>
      </c>
      <c r="B1996" s="34">
        <v>46274</v>
      </c>
      <c r="C1996" s="5" t="s">
        <v>78</v>
      </c>
      <c r="D1996" s="5" t="s">
        <v>79</v>
      </c>
      <c r="E1996" s="5" t="s">
        <v>80</v>
      </c>
      <c r="F1996" s="5">
        <v>19015</v>
      </c>
      <c r="G1996" s="5" t="s">
        <v>6078</v>
      </c>
      <c r="H1996" s="5" t="s">
        <v>6079</v>
      </c>
      <c r="I1996" s="5" t="s">
        <v>212</v>
      </c>
      <c r="N1996" s="5" t="s">
        <v>6080</v>
      </c>
      <c r="O1996" s="5">
        <v>208</v>
      </c>
      <c r="P1996" s="5">
        <v>224.33</v>
      </c>
      <c r="Q1996" s="5">
        <v>201.6</v>
      </c>
      <c r="R1996" s="5">
        <v>214.64</v>
      </c>
      <c r="S1996" s="5">
        <v>215</v>
      </c>
      <c r="T1996" s="5">
        <v>210.72</v>
      </c>
      <c r="V1996" s="5">
        <v>214.6</v>
      </c>
      <c r="Y1996" s="5">
        <v>1334420</v>
      </c>
      <c r="Z1996" s="5">
        <v>289693351.04000002</v>
      </c>
      <c r="AA1996" s="5">
        <v>28395</v>
      </c>
      <c r="AB1996" s="5" t="s">
        <v>85</v>
      </c>
      <c r="AC1996" s="5">
        <v>1</v>
      </c>
    </row>
    <row r="1997" spans="1:29" x14ac:dyDescent="0.3">
      <c r="A1997" s="34">
        <v>46274</v>
      </c>
      <c r="B1997" s="34">
        <v>46274</v>
      </c>
      <c r="C1997" s="5" t="s">
        <v>78</v>
      </c>
      <c r="D1997" s="5" t="s">
        <v>79</v>
      </c>
      <c r="E1997" s="5" t="s">
        <v>80</v>
      </c>
      <c r="F1997" s="5">
        <v>13753</v>
      </c>
      <c r="G1997" s="5" t="s">
        <v>6081</v>
      </c>
      <c r="H1997" s="5" t="s">
        <v>6082</v>
      </c>
      <c r="I1997" s="5" t="s">
        <v>212</v>
      </c>
      <c r="N1997" s="5" t="s">
        <v>6083</v>
      </c>
      <c r="O1997" s="5">
        <v>232.46</v>
      </c>
      <c r="P1997" s="5">
        <v>235.89</v>
      </c>
      <c r="Q1997" s="5">
        <v>227.38</v>
      </c>
      <c r="R1997" s="5">
        <v>229.73</v>
      </c>
      <c r="S1997" s="5">
        <v>232.83</v>
      </c>
      <c r="T1997" s="5">
        <v>232.8</v>
      </c>
      <c r="V1997" s="5">
        <v>229.75</v>
      </c>
      <c r="Y1997" s="5">
        <v>147302</v>
      </c>
      <c r="Z1997" s="5">
        <v>34009421.939999998</v>
      </c>
      <c r="AA1997" s="5">
        <v>5380</v>
      </c>
      <c r="AB1997" s="5" t="s">
        <v>85</v>
      </c>
      <c r="AC1997" s="5">
        <v>1</v>
      </c>
    </row>
    <row r="1998" spans="1:29" x14ac:dyDescent="0.3">
      <c r="A1998" s="34">
        <v>46274</v>
      </c>
      <c r="B1998" s="34">
        <v>46274</v>
      </c>
      <c r="C1998" s="5" t="s">
        <v>78</v>
      </c>
      <c r="D1998" s="5" t="s">
        <v>79</v>
      </c>
      <c r="E1998" s="5" t="s">
        <v>80</v>
      </c>
      <c r="F1998" s="5">
        <v>10227</v>
      </c>
      <c r="G1998" s="5" t="s">
        <v>6084</v>
      </c>
      <c r="H1998" s="5" t="s">
        <v>6085</v>
      </c>
      <c r="I1998" s="5" t="s">
        <v>212</v>
      </c>
      <c r="N1998" s="5" t="s">
        <v>6086</v>
      </c>
      <c r="O1998" s="5">
        <v>2132.1</v>
      </c>
      <c r="P1998" s="5">
        <v>2138.9</v>
      </c>
      <c r="Q1998" s="5">
        <v>2062.5</v>
      </c>
      <c r="R1998" s="5">
        <v>2093.3000000000002</v>
      </c>
      <c r="S1998" s="5">
        <v>2085.1999999999998</v>
      </c>
      <c r="T1998" s="5">
        <v>2132.9</v>
      </c>
      <c r="V1998" s="5">
        <v>2093.2600000000002</v>
      </c>
      <c r="Y1998" s="5">
        <v>166097</v>
      </c>
      <c r="Z1998" s="5">
        <v>347967905.10000002</v>
      </c>
      <c r="AA1998" s="5">
        <v>18004</v>
      </c>
      <c r="AB1998" s="5" t="s">
        <v>85</v>
      </c>
      <c r="AC1998" s="5">
        <v>1</v>
      </c>
    </row>
    <row r="1999" spans="1:29" x14ac:dyDescent="0.3">
      <c r="A1999" s="34">
        <v>46274</v>
      </c>
      <c r="B1999" s="34">
        <v>46274</v>
      </c>
      <c r="C1999" s="5" t="s">
        <v>78</v>
      </c>
      <c r="D1999" s="5" t="s">
        <v>79</v>
      </c>
      <c r="E1999" s="5" t="s">
        <v>80</v>
      </c>
      <c r="F1999" s="5">
        <v>13575</v>
      </c>
      <c r="G1999" s="5" t="s">
        <v>6087</v>
      </c>
      <c r="H1999" s="5" t="s">
        <v>6088</v>
      </c>
      <c r="I1999" s="5" t="s">
        <v>234</v>
      </c>
      <c r="N1999" s="5" t="s">
        <v>6089</v>
      </c>
      <c r="O1999" s="5">
        <v>15.4</v>
      </c>
      <c r="P1999" s="5">
        <v>15.5</v>
      </c>
      <c r="Q1999" s="5">
        <v>14.68</v>
      </c>
      <c r="R1999" s="5">
        <v>15.1</v>
      </c>
      <c r="S1999" s="5">
        <v>15.47</v>
      </c>
      <c r="T1999" s="5">
        <v>15</v>
      </c>
      <c r="V1999" s="5">
        <v>15</v>
      </c>
      <c r="Y1999" s="5">
        <v>5881</v>
      </c>
      <c r="Z1999" s="5">
        <v>88561.29</v>
      </c>
      <c r="AA1999" s="5">
        <v>32</v>
      </c>
      <c r="AB1999" s="5" t="s">
        <v>85</v>
      </c>
      <c r="AC1999" s="5">
        <v>1</v>
      </c>
    </row>
    <row r="2000" spans="1:29" x14ac:dyDescent="0.3">
      <c r="A2000" s="34">
        <v>46274</v>
      </c>
      <c r="B2000" s="34">
        <v>46274</v>
      </c>
      <c r="C2000" s="5" t="s">
        <v>78</v>
      </c>
      <c r="D2000" s="5" t="s">
        <v>79</v>
      </c>
      <c r="E2000" s="5" t="s">
        <v>80</v>
      </c>
      <c r="F2000" s="5">
        <v>2112</v>
      </c>
      <c r="G2000" s="5" t="s">
        <v>6090</v>
      </c>
      <c r="H2000" s="5" t="s">
        <v>6091</v>
      </c>
      <c r="I2000" s="5" t="s">
        <v>212</v>
      </c>
      <c r="N2000" s="5" t="s">
        <v>6092</v>
      </c>
      <c r="O2000" s="5">
        <v>67.099999999999994</v>
      </c>
      <c r="P2000" s="5">
        <v>67.89</v>
      </c>
      <c r="Q2000" s="5">
        <v>62.7</v>
      </c>
      <c r="R2000" s="5">
        <v>64.790000000000006</v>
      </c>
      <c r="S2000" s="5">
        <v>64</v>
      </c>
      <c r="T2000" s="5">
        <v>65.83</v>
      </c>
      <c r="V2000" s="5">
        <v>64.819999999999993</v>
      </c>
      <c r="Y2000" s="5">
        <v>35454</v>
      </c>
      <c r="Z2000" s="5">
        <v>2290756.15</v>
      </c>
      <c r="AA2000" s="5">
        <v>510</v>
      </c>
      <c r="AB2000" s="5" t="s">
        <v>85</v>
      </c>
      <c r="AC2000" s="5">
        <v>1</v>
      </c>
    </row>
    <row r="2001" spans="1:29" x14ac:dyDescent="0.3">
      <c r="A2001" s="34">
        <v>46274</v>
      </c>
      <c r="B2001" s="34">
        <v>46274</v>
      </c>
      <c r="C2001" s="5" t="s">
        <v>78</v>
      </c>
      <c r="D2001" s="5" t="s">
        <v>79</v>
      </c>
      <c r="E2001" s="5" t="s">
        <v>80</v>
      </c>
      <c r="F2001" s="5">
        <v>18659</v>
      </c>
      <c r="G2001" s="5" t="s">
        <v>6093</v>
      </c>
      <c r="H2001" s="5" t="s">
        <v>6094</v>
      </c>
      <c r="I2001" s="5" t="s">
        <v>212</v>
      </c>
      <c r="N2001" s="5" t="s">
        <v>6095</v>
      </c>
      <c r="O2001" s="5">
        <v>447</v>
      </c>
      <c r="P2001" s="5">
        <v>448.3</v>
      </c>
      <c r="Q2001" s="5">
        <v>435.2</v>
      </c>
      <c r="R2001" s="5">
        <v>436.9</v>
      </c>
      <c r="S2001" s="5">
        <v>437</v>
      </c>
      <c r="T2001" s="5">
        <v>446.35</v>
      </c>
      <c r="V2001" s="5">
        <v>436.86</v>
      </c>
      <c r="Y2001" s="5">
        <v>92861</v>
      </c>
      <c r="Z2001" s="5">
        <v>40828813.5</v>
      </c>
      <c r="AA2001" s="5">
        <v>2877</v>
      </c>
      <c r="AB2001" s="5" t="s">
        <v>85</v>
      </c>
      <c r="AC2001" s="5">
        <v>1</v>
      </c>
    </row>
    <row r="2002" spans="1:29" x14ac:dyDescent="0.3">
      <c r="A2002" s="34">
        <v>46274</v>
      </c>
      <c r="B2002" s="34">
        <v>46274</v>
      </c>
      <c r="C2002" s="5" t="s">
        <v>78</v>
      </c>
      <c r="D2002" s="5" t="s">
        <v>79</v>
      </c>
      <c r="E2002" s="5" t="s">
        <v>80</v>
      </c>
      <c r="F2002" s="5">
        <v>760453</v>
      </c>
      <c r="G2002" s="5" t="s">
        <v>6096</v>
      </c>
      <c r="H2002" s="5" t="s">
        <v>6097</v>
      </c>
      <c r="I2002" s="5" t="s">
        <v>313</v>
      </c>
      <c r="N2002" s="5" t="s">
        <v>6098</v>
      </c>
      <c r="O2002" s="5">
        <v>135</v>
      </c>
      <c r="P2002" s="5">
        <v>149.25</v>
      </c>
      <c r="Q2002" s="5">
        <v>135</v>
      </c>
      <c r="R2002" s="5">
        <v>146.15</v>
      </c>
      <c r="S2002" s="5">
        <v>149.25</v>
      </c>
      <c r="T2002" s="5">
        <v>140</v>
      </c>
      <c r="V2002" s="5">
        <v>146.15</v>
      </c>
      <c r="Y2002" s="5">
        <v>38400</v>
      </c>
      <c r="Z2002" s="5">
        <v>5510100</v>
      </c>
      <c r="AA2002" s="5">
        <v>32</v>
      </c>
      <c r="AB2002" s="5" t="s">
        <v>85</v>
      </c>
      <c r="AC2002" s="5">
        <v>1200</v>
      </c>
    </row>
    <row r="2003" spans="1:29" x14ac:dyDescent="0.3">
      <c r="A2003" s="34">
        <v>46274</v>
      </c>
      <c r="B2003" s="34">
        <v>46274</v>
      </c>
      <c r="C2003" s="5" t="s">
        <v>78</v>
      </c>
      <c r="D2003" s="5" t="s">
        <v>79</v>
      </c>
      <c r="E2003" s="5" t="s">
        <v>80</v>
      </c>
      <c r="F2003" s="5">
        <v>4067</v>
      </c>
      <c r="G2003" s="5" t="s">
        <v>6099</v>
      </c>
      <c r="H2003" s="5" t="s">
        <v>6100</v>
      </c>
      <c r="I2003" s="5" t="s">
        <v>212</v>
      </c>
      <c r="N2003" s="5" t="s">
        <v>6101</v>
      </c>
      <c r="O2003" s="5">
        <v>821.85</v>
      </c>
      <c r="P2003" s="5">
        <v>823</v>
      </c>
      <c r="Q2003" s="5">
        <v>808.45</v>
      </c>
      <c r="R2003" s="5">
        <v>813.9</v>
      </c>
      <c r="S2003" s="5">
        <v>813.9</v>
      </c>
      <c r="T2003" s="5">
        <v>823.9</v>
      </c>
      <c r="V2003" s="5">
        <v>813.9</v>
      </c>
      <c r="Y2003" s="5">
        <v>2389739</v>
      </c>
      <c r="Z2003" s="5">
        <v>1943248882.75</v>
      </c>
      <c r="AA2003" s="5">
        <v>57770</v>
      </c>
      <c r="AB2003" s="5" t="s">
        <v>85</v>
      </c>
      <c r="AC2003" s="5">
        <v>1</v>
      </c>
    </row>
    <row r="2004" spans="1:29" x14ac:dyDescent="0.3">
      <c r="A2004" s="34">
        <v>46274</v>
      </c>
      <c r="B2004" s="34">
        <v>46274</v>
      </c>
      <c r="C2004" s="5" t="s">
        <v>78</v>
      </c>
      <c r="D2004" s="5" t="s">
        <v>79</v>
      </c>
      <c r="E2004" s="5" t="s">
        <v>80</v>
      </c>
      <c r="F2004" s="5">
        <v>1328</v>
      </c>
      <c r="G2004" s="5" t="s">
        <v>6102</v>
      </c>
      <c r="H2004" s="5" t="s">
        <v>6103</v>
      </c>
      <c r="I2004" s="5" t="s">
        <v>212</v>
      </c>
      <c r="N2004" s="5" t="s">
        <v>6104</v>
      </c>
      <c r="O2004" s="5">
        <v>416.8</v>
      </c>
      <c r="P2004" s="5">
        <v>431.7</v>
      </c>
      <c r="Q2004" s="5">
        <v>416.8</v>
      </c>
      <c r="R2004" s="5">
        <v>421.05</v>
      </c>
      <c r="S2004" s="5">
        <v>420.5</v>
      </c>
      <c r="T2004" s="5">
        <v>416.45</v>
      </c>
      <c r="V2004" s="5">
        <v>421.05</v>
      </c>
      <c r="Y2004" s="5">
        <v>483131</v>
      </c>
      <c r="Z2004" s="5">
        <v>204968413.94999999</v>
      </c>
      <c r="AA2004" s="5">
        <v>16138</v>
      </c>
      <c r="AB2004" s="5" t="s">
        <v>85</v>
      </c>
      <c r="AC2004" s="5">
        <v>1</v>
      </c>
    </row>
    <row r="2005" spans="1:29" x14ac:dyDescent="0.3">
      <c r="A2005" s="34">
        <v>46274</v>
      </c>
      <c r="B2005" s="34">
        <v>46274</v>
      </c>
      <c r="C2005" s="5" t="s">
        <v>78</v>
      </c>
      <c r="D2005" s="5" t="s">
        <v>79</v>
      </c>
      <c r="E2005" s="5" t="s">
        <v>80</v>
      </c>
      <c r="F2005" s="5">
        <v>760204</v>
      </c>
      <c r="G2005" s="5" t="s">
        <v>6105</v>
      </c>
      <c r="H2005" s="5" t="s">
        <v>6106</v>
      </c>
      <c r="I2005" s="5" t="s">
        <v>212</v>
      </c>
      <c r="N2005" s="5" t="s">
        <v>6107</v>
      </c>
      <c r="O2005" s="5">
        <v>178.33</v>
      </c>
      <c r="P2005" s="5">
        <v>178.37</v>
      </c>
      <c r="Q2005" s="5">
        <v>172.64</v>
      </c>
      <c r="R2005" s="5">
        <v>173.48</v>
      </c>
      <c r="S2005" s="5">
        <v>173.5</v>
      </c>
      <c r="T2005" s="5">
        <v>177.17</v>
      </c>
      <c r="V2005" s="5">
        <v>173.48</v>
      </c>
      <c r="Y2005" s="5">
        <v>104732</v>
      </c>
      <c r="Z2005" s="5">
        <v>18268135.82</v>
      </c>
      <c r="AA2005" s="5">
        <v>948</v>
      </c>
      <c r="AB2005" s="5" t="s">
        <v>85</v>
      </c>
      <c r="AC2005" s="5">
        <v>1</v>
      </c>
    </row>
    <row r="2006" spans="1:29" x14ac:dyDescent="0.3">
      <c r="A2006" s="34">
        <v>46274</v>
      </c>
      <c r="B2006" s="34">
        <v>46274</v>
      </c>
      <c r="C2006" s="5" t="s">
        <v>78</v>
      </c>
      <c r="D2006" s="5" t="s">
        <v>79</v>
      </c>
      <c r="E2006" s="5" t="s">
        <v>80</v>
      </c>
      <c r="F2006" s="5">
        <v>10579</v>
      </c>
      <c r="G2006" s="5" t="s">
        <v>6108</v>
      </c>
      <c r="H2006" s="5" t="s">
        <v>6109</v>
      </c>
      <c r="I2006" s="5" t="s">
        <v>212</v>
      </c>
      <c r="N2006" s="5" t="s">
        <v>6110</v>
      </c>
      <c r="O2006" s="5">
        <v>336</v>
      </c>
      <c r="P2006" s="5">
        <v>340</v>
      </c>
      <c r="Q2006" s="5">
        <v>328.65</v>
      </c>
      <c r="R2006" s="5">
        <v>330.15</v>
      </c>
      <c r="S2006" s="5">
        <v>329.2</v>
      </c>
      <c r="T2006" s="5">
        <v>335.9</v>
      </c>
      <c r="V2006" s="5">
        <v>330.16</v>
      </c>
      <c r="Y2006" s="5">
        <v>1784442</v>
      </c>
      <c r="Z2006" s="5">
        <v>594061067.04999995</v>
      </c>
      <c r="AA2006" s="5">
        <v>31745</v>
      </c>
      <c r="AB2006" s="5" t="s">
        <v>85</v>
      </c>
      <c r="AC2006" s="5">
        <v>1</v>
      </c>
    </row>
    <row r="2007" spans="1:29" x14ac:dyDescent="0.3">
      <c r="A2007" s="34">
        <v>46274</v>
      </c>
      <c r="B2007" s="34">
        <v>46274</v>
      </c>
      <c r="C2007" s="5" t="s">
        <v>78</v>
      </c>
      <c r="D2007" s="5" t="s">
        <v>79</v>
      </c>
      <c r="E2007" s="5" t="s">
        <v>80</v>
      </c>
      <c r="F2007" s="5">
        <v>761386</v>
      </c>
      <c r="G2007" s="5" t="s">
        <v>6111</v>
      </c>
      <c r="H2007" s="5" t="s">
        <v>6112</v>
      </c>
      <c r="I2007" s="5" t="s">
        <v>212</v>
      </c>
      <c r="N2007" s="5" t="s">
        <v>6113</v>
      </c>
      <c r="O2007" s="5">
        <v>131</v>
      </c>
      <c r="P2007" s="5">
        <v>135.80000000000001</v>
      </c>
      <c r="Q2007" s="5">
        <v>129.25</v>
      </c>
      <c r="R2007" s="5">
        <v>135.08000000000001</v>
      </c>
      <c r="S2007" s="5">
        <v>135.80000000000001</v>
      </c>
      <c r="T2007" s="5">
        <v>131.07</v>
      </c>
      <c r="V2007" s="5">
        <v>135.08000000000001</v>
      </c>
      <c r="Y2007" s="5">
        <v>2107683</v>
      </c>
      <c r="Z2007" s="5">
        <v>279701101.76999998</v>
      </c>
      <c r="AA2007" s="5">
        <v>11858</v>
      </c>
      <c r="AB2007" s="5" t="s">
        <v>85</v>
      </c>
      <c r="AC2007" s="5">
        <v>1</v>
      </c>
    </row>
    <row r="2008" spans="1:29" x14ac:dyDescent="0.3">
      <c r="A2008" s="34">
        <v>46274</v>
      </c>
      <c r="B2008" s="34">
        <v>46274</v>
      </c>
      <c r="C2008" s="5" t="s">
        <v>78</v>
      </c>
      <c r="D2008" s="5" t="s">
        <v>79</v>
      </c>
      <c r="E2008" s="5" t="s">
        <v>80</v>
      </c>
      <c r="F2008" s="5">
        <v>761042</v>
      </c>
      <c r="G2008" s="5" t="s">
        <v>6114</v>
      </c>
      <c r="H2008" s="5" t="s">
        <v>6115</v>
      </c>
      <c r="I2008" s="5" t="s">
        <v>313</v>
      </c>
      <c r="N2008" s="5" t="s">
        <v>6116</v>
      </c>
      <c r="O2008" s="5">
        <v>111</v>
      </c>
      <c r="P2008" s="5">
        <v>119.7</v>
      </c>
      <c r="Q2008" s="5">
        <v>111</v>
      </c>
      <c r="R2008" s="5">
        <v>117.8</v>
      </c>
      <c r="S2008" s="5">
        <v>116</v>
      </c>
      <c r="T2008" s="5">
        <v>113</v>
      </c>
      <c r="V2008" s="5">
        <v>117.8</v>
      </c>
      <c r="Y2008" s="5">
        <v>55200</v>
      </c>
      <c r="Z2008" s="5">
        <v>6481080</v>
      </c>
      <c r="AA2008" s="5">
        <v>35</v>
      </c>
      <c r="AB2008" s="5" t="s">
        <v>85</v>
      </c>
      <c r="AC2008" s="5">
        <v>1200</v>
      </c>
    </row>
    <row r="2009" spans="1:29" x14ac:dyDescent="0.3">
      <c r="A2009" s="34">
        <v>46274</v>
      </c>
      <c r="B2009" s="34">
        <v>46274</v>
      </c>
      <c r="C2009" s="5" t="s">
        <v>78</v>
      </c>
      <c r="D2009" s="5" t="s">
        <v>79</v>
      </c>
      <c r="E2009" s="5" t="s">
        <v>80</v>
      </c>
      <c r="F2009" s="5">
        <v>10999</v>
      </c>
      <c r="G2009" s="5" t="s">
        <v>6117</v>
      </c>
      <c r="H2009" s="5" t="s">
        <v>6118</v>
      </c>
      <c r="I2009" s="5" t="s">
        <v>212</v>
      </c>
      <c r="N2009" s="5" t="s">
        <v>6119</v>
      </c>
      <c r="O2009" s="5">
        <v>12609</v>
      </c>
      <c r="P2009" s="5">
        <v>12692</v>
      </c>
      <c r="Q2009" s="5">
        <v>12537</v>
      </c>
      <c r="R2009" s="5">
        <v>12618</v>
      </c>
      <c r="S2009" s="5">
        <v>12618</v>
      </c>
      <c r="T2009" s="5">
        <v>12641</v>
      </c>
      <c r="V2009" s="5">
        <v>12618.02</v>
      </c>
      <c r="Y2009" s="5">
        <v>534832</v>
      </c>
      <c r="Z2009" s="5">
        <v>6747013101</v>
      </c>
      <c r="AA2009" s="5">
        <v>51635</v>
      </c>
      <c r="AB2009" s="5" t="s">
        <v>85</v>
      </c>
      <c r="AC2009" s="5">
        <v>1</v>
      </c>
    </row>
    <row r="2010" spans="1:29" x14ac:dyDescent="0.3">
      <c r="A2010" s="34">
        <v>46274</v>
      </c>
      <c r="B2010" s="34">
        <v>46274</v>
      </c>
      <c r="C2010" s="5" t="s">
        <v>78</v>
      </c>
      <c r="D2010" s="5" t="s">
        <v>79</v>
      </c>
      <c r="E2010" s="5" t="s">
        <v>80</v>
      </c>
      <c r="F2010" s="5">
        <v>199</v>
      </c>
      <c r="G2010" s="5" t="s">
        <v>6120</v>
      </c>
      <c r="H2010" s="5" t="s">
        <v>25</v>
      </c>
      <c r="I2010" s="5" t="s">
        <v>212</v>
      </c>
      <c r="N2010" s="5" t="s">
        <v>6121</v>
      </c>
      <c r="O2010" s="5">
        <v>290.14999999999998</v>
      </c>
      <c r="P2010" s="5">
        <v>290.14999999999998</v>
      </c>
      <c r="Q2010" s="5">
        <v>282</v>
      </c>
      <c r="R2010" s="5">
        <v>288.89999999999998</v>
      </c>
      <c r="S2010" s="5">
        <v>289.64999999999998</v>
      </c>
      <c r="T2010" s="5">
        <v>290.14999999999998</v>
      </c>
      <c r="V2010" s="5">
        <v>288.91000000000003</v>
      </c>
      <c r="Y2010" s="5">
        <v>375902</v>
      </c>
      <c r="Z2010" s="5">
        <v>108202918.05</v>
      </c>
      <c r="AA2010" s="5">
        <v>21085</v>
      </c>
      <c r="AB2010" s="5" t="s">
        <v>85</v>
      </c>
      <c r="AC2010" s="5">
        <v>1</v>
      </c>
    </row>
    <row r="2011" spans="1:29" x14ac:dyDescent="0.3">
      <c r="A2011" s="34">
        <v>46274</v>
      </c>
      <c r="B2011" s="34">
        <v>46274</v>
      </c>
      <c r="C2011" s="5" t="s">
        <v>78</v>
      </c>
      <c r="D2011" s="5" t="s">
        <v>79</v>
      </c>
      <c r="E2011" s="5" t="s">
        <v>80</v>
      </c>
      <c r="F2011" s="5">
        <v>18727</v>
      </c>
      <c r="G2011" s="5" t="s">
        <v>6122</v>
      </c>
      <c r="H2011" s="5" t="s">
        <v>6123</v>
      </c>
      <c r="I2011" s="5" t="s">
        <v>212</v>
      </c>
      <c r="N2011" s="5" t="s">
        <v>6124</v>
      </c>
      <c r="O2011" s="5">
        <v>141.19999999999999</v>
      </c>
      <c r="P2011" s="5">
        <v>155.29</v>
      </c>
      <c r="Q2011" s="5">
        <v>140.6</v>
      </c>
      <c r="R2011" s="5">
        <v>153.29</v>
      </c>
      <c r="S2011" s="5">
        <v>145.5</v>
      </c>
      <c r="T2011" s="5">
        <v>148</v>
      </c>
      <c r="V2011" s="5">
        <v>153.29</v>
      </c>
      <c r="Y2011" s="5">
        <v>3699</v>
      </c>
      <c r="Z2011" s="5">
        <v>541281.55000000005</v>
      </c>
      <c r="AA2011" s="5">
        <v>62</v>
      </c>
      <c r="AB2011" s="5" t="s">
        <v>85</v>
      </c>
      <c r="AC2011" s="5">
        <v>1</v>
      </c>
    </row>
    <row r="2012" spans="1:29" x14ac:dyDescent="0.3">
      <c r="A2012" s="34">
        <v>46274</v>
      </c>
      <c r="B2012" s="34">
        <v>46274</v>
      </c>
      <c r="C2012" s="5" t="s">
        <v>78</v>
      </c>
      <c r="D2012" s="5" t="s">
        <v>79</v>
      </c>
      <c r="E2012" s="5" t="s">
        <v>80</v>
      </c>
      <c r="F2012" s="5">
        <v>24278</v>
      </c>
      <c r="G2012" s="5" t="s">
        <v>6125</v>
      </c>
      <c r="H2012" s="5" t="s">
        <v>6126</v>
      </c>
      <c r="I2012" s="5" t="s">
        <v>313</v>
      </c>
      <c r="N2012" s="5" t="s">
        <v>6127</v>
      </c>
      <c r="O2012" s="5">
        <v>107.5</v>
      </c>
      <c r="P2012" s="5">
        <v>115</v>
      </c>
      <c r="Q2012" s="5">
        <v>105</v>
      </c>
      <c r="R2012" s="5">
        <v>114.65</v>
      </c>
      <c r="S2012" s="5">
        <v>113.8</v>
      </c>
      <c r="T2012" s="5">
        <v>112.05</v>
      </c>
      <c r="V2012" s="5">
        <v>114.65</v>
      </c>
      <c r="Y2012" s="5">
        <v>138000</v>
      </c>
      <c r="Z2012" s="5">
        <v>15421275</v>
      </c>
      <c r="AA2012" s="5">
        <v>101</v>
      </c>
      <c r="AB2012" s="5" t="s">
        <v>85</v>
      </c>
      <c r="AC2012" s="5">
        <v>500</v>
      </c>
    </row>
    <row r="2013" spans="1:29" x14ac:dyDescent="0.3">
      <c r="A2013" s="34">
        <v>46274</v>
      </c>
      <c r="B2013" s="34">
        <v>46274</v>
      </c>
      <c r="C2013" s="5" t="s">
        <v>78</v>
      </c>
      <c r="D2013" s="5" t="s">
        <v>79</v>
      </c>
      <c r="E2013" s="5" t="s">
        <v>80</v>
      </c>
      <c r="F2013" s="5">
        <v>2124</v>
      </c>
      <c r="G2013" s="5" t="s">
        <v>6128</v>
      </c>
      <c r="H2013" s="5" t="s">
        <v>6129</v>
      </c>
      <c r="I2013" s="5" t="s">
        <v>212</v>
      </c>
      <c r="N2013" s="5" t="s">
        <v>6130</v>
      </c>
      <c r="O2013" s="5">
        <v>1654</v>
      </c>
      <c r="P2013" s="5">
        <v>1654</v>
      </c>
      <c r="Q2013" s="5">
        <v>1605</v>
      </c>
      <c r="R2013" s="5">
        <v>1623.5</v>
      </c>
      <c r="S2013" s="5">
        <v>1626</v>
      </c>
      <c r="T2013" s="5">
        <v>1654.2</v>
      </c>
      <c r="V2013" s="5">
        <v>1623.56</v>
      </c>
      <c r="Y2013" s="5">
        <v>133390</v>
      </c>
      <c r="Z2013" s="5">
        <v>216268716.30000001</v>
      </c>
      <c r="AA2013" s="5">
        <v>13601</v>
      </c>
      <c r="AB2013" s="5" t="s">
        <v>85</v>
      </c>
      <c r="AC2013" s="5">
        <v>1</v>
      </c>
    </row>
    <row r="2014" spans="1:29" x14ac:dyDescent="0.3">
      <c r="A2014" s="34">
        <v>46274</v>
      </c>
      <c r="B2014" s="34">
        <v>46274</v>
      </c>
      <c r="C2014" s="5" t="s">
        <v>78</v>
      </c>
      <c r="D2014" s="5" t="s">
        <v>79</v>
      </c>
      <c r="E2014" s="5" t="s">
        <v>80</v>
      </c>
      <c r="F2014" s="5">
        <v>19011</v>
      </c>
      <c r="G2014" s="5" t="s">
        <v>6131</v>
      </c>
      <c r="H2014" s="5" t="s">
        <v>6132</v>
      </c>
      <c r="I2014" s="5" t="s">
        <v>313</v>
      </c>
      <c r="N2014" s="5" t="s">
        <v>6133</v>
      </c>
      <c r="O2014" s="5">
        <v>420.15</v>
      </c>
      <c r="P2014" s="5">
        <v>420.15</v>
      </c>
      <c r="Q2014" s="5">
        <v>415</v>
      </c>
      <c r="R2014" s="5">
        <v>415</v>
      </c>
      <c r="S2014" s="5">
        <v>415</v>
      </c>
      <c r="T2014" s="5">
        <v>423</v>
      </c>
      <c r="V2014" s="5">
        <v>415</v>
      </c>
      <c r="Y2014" s="5">
        <v>2000</v>
      </c>
      <c r="Z2014" s="5">
        <v>833150</v>
      </c>
      <c r="AA2014" s="5">
        <v>4</v>
      </c>
      <c r="AB2014" s="5" t="s">
        <v>85</v>
      </c>
      <c r="AC2014" s="5">
        <v>500</v>
      </c>
    </row>
    <row r="2015" spans="1:29" x14ac:dyDescent="0.3">
      <c r="A2015" s="34">
        <v>46274</v>
      </c>
      <c r="B2015" s="34">
        <v>46274</v>
      </c>
      <c r="C2015" s="5" t="s">
        <v>78</v>
      </c>
      <c r="D2015" s="5" t="s">
        <v>79</v>
      </c>
      <c r="E2015" s="5" t="s">
        <v>80</v>
      </c>
      <c r="F2015" s="5">
        <v>27047</v>
      </c>
      <c r="G2015" s="5" t="s">
        <v>6134</v>
      </c>
      <c r="H2015" s="5" t="s">
        <v>6135</v>
      </c>
      <c r="I2015" s="5" t="s">
        <v>212</v>
      </c>
      <c r="N2015" s="5" t="s">
        <v>6136</v>
      </c>
      <c r="O2015" s="5">
        <v>91.99</v>
      </c>
      <c r="P2015" s="5">
        <v>96.5</v>
      </c>
      <c r="Q2015" s="5">
        <v>90.64</v>
      </c>
      <c r="R2015" s="5">
        <v>93.07</v>
      </c>
      <c r="S2015" s="5">
        <v>93</v>
      </c>
      <c r="T2015" s="5">
        <v>92.09</v>
      </c>
      <c r="V2015" s="5">
        <v>93.07</v>
      </c>
      <c r="Y2015" s="5">
        <v>1314880</v>
      </c>
      <c r="Z2015" s="5">
        <v>123297356.88</v>
      </c>
      <c r="AA2015" s="5">
        <v>9621</v>
      </c>
      <c r="AB2015" s="5" t="s">
        <v>85</v>
      </c>
      <c r="AC2015" s="5">
        <v>1</v>
      </c>
    </row>
    <row r="2016" spans="1:29" x14ac:dyDescent="0.3">
      <c r="A2016" s="34">
        <v>46274</v>
      </c>
      <c r="B2016" s="34">
        <v>46274</v>
      </c>
      <c r="C2016" s="5" t="s">
        <v>78</v>
      </c>
      <c r="D2016" s="5" t="s">
        <v>79</v>
      </c>
      <c r="E2016" s="5" t="s">
        <v>80</v>
      </c>
      <c r="F2016" s="5">
        <v>21726</v>
      </c>
      <c r="G2016" s="5" t="s">
        <v>6137</v>
      </c>
      <c r="H2016" s="5" t="s">
        <v>6138</v>
      </c>
      <c r="I2016" s="5" t="s">
        <v>212</v>
      </c>
      <c r="N2016" s="5" t="s">
        <v>6139</v>
      </c>
      <c r="O2016" s="5">
        <v>514.29999999999995</v>
      </c>
      <c r="P2016" s="5">
        <v>528.29999999999995</v>
      </c>
      <c r="Q2016" s="5">
        <v>508</v>
      </c>
      <c r="R2016" s="5">
        <v>515.75</v>
      </c>
      <c r="S2016" s="5">
        <v>527.9</v>
      </c>
      <c r="T2016" s="5">
        <v>516.04999999999995</v>
      </c>
      <c r="V2016" s="5">
        <v>515.74</v>
      </c>
      <c r="Y2016" s="5">
        <v>15412</v>
      </c>
      <c r="Z2016" s="5">
        <v>7961601.1500000004</v>
      </c>
      <c r="AA2016" s="5">
        <v>651</v>
      </c>
      <c r="AB2016" s="5" t="s">
        <v>85</v>
      </c>
      <c r="AC2016" s="5">
        <v>1</v>
      </c>
    </row>
    <row r="2017" spans="1:29" x14ac:dyDescent="0.3">
      <c r="A2017" s="34">
        <v>46274</v>
      </c>
      <c r="B2017" s="34">
        <v>46274</v>
      </c>
      <c r="C2017" s="5" t="s">
        <v>78</v>
      </c>
      <c r="D2017" s="5" t="s">
        <v>79</v>
      </c>
      <c r="E2017" s="5" t="s">
        <v>80</v>
      </c>
      <c r="F2017" s="5">
        <v>759945</v>
      </c>
      <c r="G2017" s="5" t="s">
        <v>6140</v>
      </c>
      <c r="H2017" s="5" t="s">
        <v>6141</v>
      </c>
      <c r="I2017" s="5" t="s">
        <v>313</v>
      </c>
      <c r="N2017" s="5" t="s">
        <v>6142</v>
      </c>
      <c r="O2017" s="5">
        <v>73.400000000000006</v>
      </c>
      <c r="P2017" s="5">
        <v>73.400000000000006</v>
      </c>
      <c r="Q2017" s="5">
        <v>70.099999999999994</v>
      </c>
      <c r="R2017" s="5">
        <v>70.55</v>
      </c>
      <c r="S2017" s="5">
        <v>70.55</v>
      </c>
      <c r="T2017" s="5">
        <v>72.5</v>
      </c>
      <c r="V2017" s="5">
        <v>70.55</v>
      </c>
      <c r="Y2017" s="5">
        <v>18000</v>
      </c>
      <c r="Z2017" s="5">
        <v>1302480</v>
      </c>
      <c r="AA2017" s="5">
        <v>12</v>
      </c>
      <c r="AB2017" s="5" t="s">
        <v>85</v>
      </c>
      <c r="AC2017" s="5">
        <v>1200</v>
      </c>
    </row>
    <row r="2018" spans="1:29" x14ac:dyDescent="0.3">
      <c r="A2018" s="34">
        <v>46274</v>
      </c>
      <c r="B2018" s="34">
        <v>46274</v>
      </c>
      <c r="C2018" s="5" t="s">
        <v>78</v>
      </c>
      <c r="D2018" s="5" t="s">
        <v>79</v>
      </c>
      <c r="E2018" s="5" t="s">
        <v>80</v>
      </c>
      <c r="F2018" s="5">
        <v>17022</v>
      </c>
      <c r="G2018" s="5" t="s">
        <v>6143</v>
      </c>
      <c r="H2018" s="5" t="s">
        <v>6144</v>
      </c>
      <c r="I2018" s="5" t="s">
        <v>212</v>
      </c>
      <c r="N2018" s="5" t="s">
        <v>6145</v>
      </c>
      <c r="O2018" s="5">
        <v>141.58000000000001</v>
      </c>
      <c r="P2018" s="5">
        <v>142.11000000000001</v>
      </c>
      <c r="Q2018" s="5">
        <v>138.47999999999999</v>
      </c>
      <c r="R2018" s="5">
        <v>139.79</v>
      </c>
      <c r="S2018" s="5">
        <v>139.69999999999999</v>
      </c>
      <c r="T2018" s="5">
        <v>142.51</v>
      </c>
      <c r="V2018" s="5">
        <v>139.83000000000001</v>
      </c>
      <c r="Y2018" s="5">
        <v>179141</v>
      </c>
      <c r="Z2018" s="5">
        <v>25021152.57</v>
      </c>
      <c r="AA2018" s="5">
        <v>3049</v>
      </c>
      <c r="AB2018" s="5" t="s">
        <v>85</v>
      </c>
      <c r="AC2018" s="5">
        <v>1</v>
      </c>
    </row>
    <row r="2019" spans="1:29" x14ac:dyDescent="0.3">
      <c r="A2019" s="34">
        <v>46274</v>
      </c>
      <c r="B2019" s="34">
        <v>46274</v>
      </c>
      <c r="C2019" s="5" t="s">
        <v>78</v>
      </c>
      <c r="D2019" s="5" t="s">
        <v>79</v>
      </c>
      <c r="E2019" s="5" t="s">
        <v>80</v>
      </c>
      <c r="F2019" s="5">
        <v>19646</v>
      </c>
      <c r="G2019" s="5" t="s">
        <v>6146</v>
      </c>
      <c r="H2019" s="5" t="s">
        <v>6147</v>
      </c>
      <c r="I2019" s="5" t="s">
        <v>212</v>
      </c>
      <c r="N2019" s="5" t="s">
        <v>6148</v>
      </c>
      <c r="O2019" s="5">
        <v>541.65</v>
      </c>
      <c r="P2019" s="5">
        <v>551.79999999999995</v>
      </c>
      <c r="Q2019" s="5">
        <v>531</v>
      </c>
      <c r="R2019" s="5">
        <v>546.1</v>
      </c>
      <c r="S2019" s="5">
        <v>548.4</v>
      </c>
      <c r="T2019" s="5">
        <v>538.15</v>
      </c>
      <c r="V2019" s="5">
        <v>546.19000000000005</v>
      </c>
      <c r="Y2019" s="5">
        <v>63029</v>
      </c>
      <c r="Z2019" s="5">
        <v>34096665.799999997</v>
      </c>
      <c r="AA2019" s="5">
        <v>2187</v>
      </c>
      <c r="AB2019" s="5" t="s">
        <v>85</v>
      </c>
      <c r="AC2019" s="5">
        <v>1</v>
      </c>
    </row>
    <row r="2020" spans="1:29" x14ac:dyDescent="0.3">
      <c r="A2020" s="34">
        <v>46274</v>
      </c>
      <c r="B2020" s="34">
        <v>46274</v>
      </c>
      <c r="C2020" s="5" t="s">
        <v>78</v>
      </c>
      <c r="D2020" s="5" t="s">
        <v>79</v>
      </c>
      <c r="E2020" s="5" t="s">
        <v>80</v>
      </c>
      <c r="F2020" s="5">
        <v>2142</v>
      </c>
      <c r="G2020" s="5" t="s">
        <v>6149</v>
      </c>
      <c r="H2020" s="5" t="s">
        <v>6150</v>
      </c>
      <c r="I2020" s="5" t="s">
        <v>212</v>
      </c>
      <c r="N2020" s="5" t="s">
        <v>6151</v>
      </c>
      <c r="O2020" s="5">
        <v>1497</v>
      </c>
      <c r="P2020" s="5">
        <v>1497</v>
      </c>
      <c r="Q2020" s="5">
        <v>1463</v>
      </c>
      <c r="R2020" s="5">
        <v>1468.5</v>
      </c>
      <c r="S2020" s="5">
        <v>1468.5</v>
      </c>
      <c r="T2020" s="5">
        <v>1498.7</v>
      </c>
      <c r="V2020" s="5">
        <v>1468.41</v>
      </c>
      <c r="Y2020" s="5">
        <v>802373</v>
      </c>
      <c r="Z2020" s="5">
        <v>1180559468.7</v>
      </c>
      <c r="AA2020" s="5">
        <v>26953</v>
      </c>
      <c r="AB2020" s="5" t="s">
        <v>85</v>
      </c>
      <c r="AC2020" s="5">
        <v>1</v>
      </c>
    </row>
    <row r="2021" spans="1:29" x14ac:dyDescent="0.3">
      <c r="A2021" s="34">
        <v>46274</v>
      </c>
      <c r="B2021" s="34">
        <v>46274</v>
      </c>
      <c r="C2021" s="5" t="s">
        <v>78</v>
      </c>
      <c r="D2021" s="5" t="s">
        <v>79</v>
      </c>
      <c r="E2021" s="5" t="s">
        <v>80</v>
      </c>
      <c r="F2021" s="5">
        <v>22377</v>
      </c>
      <c r="G2021" s="5" t="s">
        <v>6152</v>
      </c>
      <c r="H2021" s="5" t="s">
        <v>6153</v>
      </c>
      <c r="I2021" s="5" t="s">
        <v>212</v>
      </c>
      <c r="N2021" s="5" t="s">
        <v>6154</v>
      </c>
      <c r="O2021" s="5">
        <v>992.7</v>
      </c>
      <c r="P2021" s="5">
        <v>1040.4000000000001</v>
      </c>
      <c r="Q2021" s="5">
        <v>992.2</v>
      </c>
      <c r="R2021" s="5">
        <v>1037.5</v>
      </c>
      <c r="S2021" s="5">
        <v>1037.5</v>
      </c>
      <c r="T2021" s="5">
        <v>993</v>
      </c>
      <c r="V2021" s="5">
        <v>1037.5</v>
      </c>
      <c r="Y2021" s="5">
        <v>4591285</v>
      </c>
      <c r="Z2021" s="5">
        <v>4734204171.6999998</v>
      </c>
      <c r="AA2021" s="5">
        <v>137058</v>
      </c>
      <c r="AB2021" s="5" t="s">
        <v>85</v>
      </c>
      <c r="AC2021" s="5">
        <v>1</v>
      </c>
    </row>
    <row r="2022" spans="1:29" x14ac:dyDescent="0.3">
      <c r="A2022" s="34">
        <v>46274</v>
      </c>
      <c r="B2022" s="34">
        <v>46274</v>
      </c>
      <c r="C2022" s="5" t="s">
        <v>78</v>
      </c>
      <c r="D2022" s="5" t="s">
        <v>79</v>
      </c>
      <c r="E2022" s="5" t="s">
        <v>80</v>
      </c>
      <c r="F2022" s="5">
        <v>22428</v>
      </c>
      <c r="G2022" s="5" t="s">
        <v>6155</v>
      </c>
      <c r="H2022" s="5" t="s">
        <v>6156</v>
      </c>
      <c r="I2022" s="5" t="s">
        <v>212</v>
      </c>
      <c r="N2022" s="5" t="s">
        <v>6157</v>
      </c>
      <c r="O2022" s="5">
        <v>147</v>
      </c>
      <c r="P2022" s="5">
        <v>150.84</v>
      </c>
      <c r="Q2022" s="5">
        <v>146.5</v>
      </c>
      <c r="R2022" s="5">
        <v>148.65</v>
      </c>
      <c r="S2022" s="5">
        <v>146.6</v>
      </c>
      <c r="T2022" s="5">
        <v>147.22</v>
      </c>
      <c r="V2022" s="5">
        <v>148.65</v>
      </c>
      <c r="Y2022" s="5">
        <v>57870</v>
      </c>
      <c r="Z2022" s="5">
        <v>8595378.5999999996</v>
      </c>
      <c r="AA2022" s="5">
        <v>1229</v>
      </c>
      <c r="AB2022" s="5" t="s">
        <v>85</v>
      </c>
      <c r="AC2022" s="5">
        <v>1</v>
      </c>
    </row>
    <row r="2023" spans="1:29" x14ac:dyDescent="0.3">
      <c r="A2023" s="34">
        <v>46274</v>
      </c>
      <c r="B2023" s="34">
        <v>46274</v>
      </c>
      <c r="C2023" s="5" t="s">
        <v>78</v>
      </c>
      <c r="D2023" s="5" t="s">
        <v>79</v>
      </c>
      <c r="E2023" s="5" t="s">
        <v>80</v>
      </c>
      <c r="F2023" s="5">
        <v>21691</v>
      </c>
      <c r="G2023" s="5" t="s">
        <v>6158</v>
      </c>
      <c r="H2023" s="5" t="s">
        <v>6159</v>
      </c>
      <c r="I2023" s="5" t="s">
        <v>313</v>
      </c>
      <c r="N2023" s="5" t="s">
        <v>6160</v>
      </c>
      <c r="O2023" s="5">
        <v>31</v>
      </c>
      <c r="P2023" s="5">
        <v>31</v>
      </c>
      <c r="Q2023" s="5">
        <v>28.5</v>
      </c>
      <c r="R2023" s="5">
        <v>29.15</v>
      </c>
      <c r="S2023" s="5">
        <v>29.15</v>
      </c>
      <c r="T2023" s="5">
        <v>30</v>
      </c>
      <c r="V2023" s="5">
        <v>29.15</v>
      </c>
      <c r="Y2023" s="5">
        <v>14000</v>
      </c>
      <c r="Z2023" s="5">
        <v>411050</v>
      </c>
      <c r="AA2023" s="5">
        <v>14</v>
      </c>
      <c r="AB2023" s="5" t="s">
        <v>85</v>
      </c>
      <c r="AC2023" s="5">
        <v>1000</v>
      </c>
    </row>
    <row r="2024" spans="1:29" x14ac:dyDescent="0.3">
      <c r="A2024" s="34">
        <v>46274</v>
      </c>
      <c r="B2024" s="34">
        <v>46274</v>
      </c>
      <c r="C2024" s="5" t="s">
        <v>78</v>
      </c>
      <c r="D2024" s="5" t="s">
        <v>79</v>
      </c>
      <c r="E2024" s="5" t="s">
        <v>80</v>
      </c>
      <c r="F2024" s="5">
        <v>29645</v>
      </c>
      <c r="G2024" s="5" t="s">
        <v>6161</v>
      </c>
      <c r="H2024" s="5" t="s">
        <v>6162</v>
      </c>
      <c r="I2024" s="5" t="s">
        <v>313</v>
      </c>
      <c r="N2024" s="5" t="s">
        <v>6163</v>
      </c>
      <c r="O2024" s="5">
        <v>318</v>
      </c>
      <c r="P2024" s="5">
        <v>326.64999999999998</v>
      </c>
      <c r="Q2024" s="5">
        <v>315</v>
      </c>
      <c r="R2024" s="5">
        <v>316.89999999999998</v>
      </c>
      <c r="S2024" s="5">
        <v>317.8</v>
      </c>
      <c r="T2024" s="5">
        <v>320.05</v>
      </c>
      <c r="V2024" s="5">
        <v>316.89999999999998</v>
      </c>
      <c r="Y2024" s="5">
        <v>36800</v>
      </c>
      <c r="Z2024" s="5">
        <v>11724060</v>
      </c>
      <c r="AA2024" s="5">
        <v>82</v>
      </c>
      <c r="AB2024" s="5" t="s">
        <v>85</v>
      </c>
      <c r="AC2024" s="5">
        <v>400</v>
      </c>
    </row>
    <row r="2025" spans="1:29" x14ac:dyDescent="0.3">
      <c r="A2025" s="34">
        <v>46274</v>
      </c>
      <c r="B2025" s="34">
        <v>46274</v>
      </c>
      <c r="C2025" s="5" t="s">
        <v>78</v>
      </c>
      <c r="D2025" s="5" t="s">
        <v>79</v>
      </c>
      <c r="E2025" s="5" t="s">
        <v>80</v>
      </c>
      <c r="F2025" s="5">
        <v>757587</v>
      </c>
      <c r="G2025" s="5" t="s">
        <v>6164</v>
      </c>
      <c r="H2025" s="5" t="s">
        <v>6165</v>
      </c>
      <c r="I2025" s="5" t="s">
        <v>313</v>
      </c>
      <c r="N2025" s="5" t="s">
        <v>6166</v>
      </c>
      <c r="O2025" s="5">
        <v>36.65</v>
      </c>
      <c r="P2025" s="5">
        <v>36.65</v>
      </c>
      <c r="Q2025" s="5">
        <v>35.5</v>
      </c>
      <c r="R2025" s="5">
        <v>35.5</v>
      </c>
      <c r="S2025" s="5">
        <v>35.5</v>
      </c>
      <c r="T2025" s="5">
        <v>36.15</v>
      </c>
      <c r="V2025" s="5">
        <v>35.5</v>
      </c>
      <c r="Y2025" s="5">
        <v>6000</v>
      </c>
      <c r="Z2025" s="5">
        <v>216450</v>
      </c>
      <c r="AA2025" s="5">
        <v>2</v>
      </c>
      <c r="AB2025" s="5" t="s">
        <v>85</v>
      </c>
      <c r="AC2025" s="5">
        <v>3000</v>
      </c>
    </row>
    <row r="2026" spans="1:29" x14ac:dyDescent="0.3">
      <c r="A2026" s="34">
        <v>46274</v>
      </c>
      <c r="B2026" s="34">
        <v>46274</v>
      </c>
      <c r="C2026" s="5" t="s">
        <v>78</v>
      </c>
      <c r="D2026" s="5" t="s">
        <v>79</v>
      </c>
      <c r="E2026" s="5" t="s">
        <v>80</v>
      </c>
      <c r="F2026" s="5">
        <v>28906</v>
      </c>
      <c r="G2026" s="5" t="s">
        <v>6167</v>
      </c>
      <c r="H2026" s="5" t="s">
        <v>6168</v>
      </c>
      <c r="I2026" s="5" t="s">
        <v>212</v>
      </c>
      <c r="N2026" s="5" t="s">
        <v>6169</v>
      </c>
      <c r="O2026" s="5">
        <v>750</v>
      </c>
      <c r="P2026" s="5">
        <v>760</v>
      </c>
      <c r="Q2026" s="5">
        <v>731.15</v>
      </c>
      <c r="R2026" s="5">
        <v>735.95</v>
      </c>
      <c r="S2026" s="5">
        <v>733.9</v>
      </c>
      <c r="T2026" s="5">
        <v>740.55</v>
      </c>
      <c r="V2026" s="5">
        <v>735.94</v>
      </c>
      <c r="Y2026" s="5">
        <v>98651</v>
      </c>
      <c r="Z2026" s="5">
        <v>73306476.75</v>
      </c>
      <c r="AA2026" s="5">
        <v>5962</v>
      </c>
      <c r="AB2026" s="5" t="s">
        <v>85</v>
      </c>
      <c r="AC2026" s="5">
        <v>1</v>
      </c>
    </row>
    <row r="2027" spans="1:29" x14ac:dyDescent="0.3">
      <c r="A2027" s="34">
        <v>46274</v>
      </c>
      <c r="B2027" s="34">
        <v>46274</v>
      </c>
      <c r="C2027" s="5" t="s">
        <v>78</v>
      </c>
      <c r="D2027" s="5" t="s">
        <v>79</v>
      </c>
      <c r="E2027" s="5" t="s">
        <v>80</v>
      </c>
      <c r="F2027" s="5">
        <v>509</v>
      </c>
      <c r="G2027" s="5" t="s">
        <v>6170</v>
      </c>
      <c r="H2027" s="5" t="s">
        <v>6171</v>
      </c>
      <c r="I2027" s="5" t="s">
        <v>212</v>
      </c>
      <c r="N2027" s="5" t="s">
        <v>6172</v>
      </c>
      <c r="O2027" s="5">
        <v>2451</v>
      </c>
      <c r="P2027" s="5">
        <v>2461.1999999999998</v>
      </c>
      <c r="Q2027" s="5">
        <v>2395</v>
      </c>
      <c r="R2027" s="5">
        <v>2408.8000000000002</v>
      </c>
      <c r="S2027" s="5">
        <v>2408.8000000000002</v>
      </c>
      <c r="T2027" s="5">
        <v>2466.4</v>
      </c>
      <c r="V2027" s="5">
        <v>2408.81</v>
      </c>
      <c r="Y2027" s="5">
        <v>563605</v>
      </c>
      <c r="Z2027" s="5">
        <v>1363375626.8</v>
      </c>
      <c r="AA2027" s="5">
        <v>29234</v>
      </c>
      <c r="AB2027" s="5" t="s">
        <v>85</v>
      </c>
      <c r="AC2027" s="5">
        <v>1</v>
      </c>
    </row>
    <row r="2028" spans="1:29" x14ac:dyDescent="0.3">
      <c r="A2028" s="34">
        <v>46274</v>
      </c>
      <c r="B2028" s="34">
        <v>46274</v>
      </c>
      <c r="C2028" s="5" t="s">
        <v>78</v>
      </c>
      <c r="D2028" s="5" t="s">
        <v>79</v>
      </c>
      <c r="E2028" s="5" t="s">
        <v>80</v>
      </c>
      <c r="F2028" s="5">
        <v>18870</v>
      </c>
      <c r="G2028" s="5" t="s">
        <v>6173</v>
      </c>
      <c r="H2028" s="5" t="s">
        <v>6174</v>
      </c>
      <c r="I2028" s="5" t="s">
        <v>234</v>
      </c>
      <c r="N2028" s="5" t="s">
        <v>6175</v>
      </c>
      <c r="O2028" s="5">
        <v>270.8</v>
      </c>
      <c r="P2028" s="5">
        <v>275</v>
      </c>
      <c r="Q2028" s="5">
        <v>260</v>
      </c>
      <c r="R2028" s="5">
        <v>271.7</v>
      </c>
      <c r="S2028" s="5">
        <v>267.60000000000002</v>
      </c>
      <c r="T2028" s="5">
        <v>271.75</v>
      </c>
      <c r="V2028" s="5">
        <v>271.57</v>
      </c>
      <c r="Y2028" s="5">
        <v>11617</v>
      </c>
      <c r="Z2028" s="5">
        <v>3108029.45</v>
      </c>
      <c r="AA2028" s="5">
        <v>221</v>
      </c>
      <c r="AB2028" s="5" t="s">
        <v>85</v>
      </c>
      <c r="AC2028" s="5">
        <v>1</v>
      </c>
    </row>
    <row r="2029" spans="1:29" x14ac:dyDescent="0.3">
      <c r="A2029" s="34">
        <v>46274</v>
      </c>
      <c r="B2029" s="34">
        <v>46274</v>
      </c>
      <c r="C2029" s="5" t="s">
        <v>78</v>
      </c>
      <c r="D2029" s="5" t="s">
        <v>79</v>
      </c>
      <c r="E2029" s="5" t="s">
        <v>80</v>
      </c>
      <c r="F2029" s="5">
        <v>18029</v>
      </c>
      <c r="G2029" s="5" t="s">
        <v>6176</v>
      </c>
      <c r="H2029" s="5" t="s">
        <v>6177</v>
      </c>
      <c r="I2029" s="5" t="s">
        <v>212</v>
      </c>
      <c r="N2029" s="5" t="s">
        <v>6178</v>
      </c>
      <c r="O2029" s="5">
        <v>24.59</v>
      </c>
      <c r="P2029" s="5">
        <v>24.59</v>
      </c>
      <c r="Q2029" s="5">
        <v>23.05</v>
      </c>
      <c r="R2029" s="5">
        <v>23.27</v>
      </c>
      <c r="S2029" s="5">
        <v>23.05</v>
      </c>
      <c r="T2029" s="5">
        <v>23.97</v>
      </c>
      <c r="V2029" s="5">
        <v>23.26</v>
      </c>
      <c r="Y2029" s="5">
        <v>15352</v>
      </c>
      <c r="Z2029" s="5">
        <v>361802.98</v>
      </c>
      <c r="AA2029" s="5">
        <v>132</v>
      </c>
      <c r="AB2029" s="5" t="s">
        <v>85</v>
      </c>
      <c r="AC2029" s="5">
        <v>1</v>
      </c>
    </row>
    <row r="2030" spans="1:29" x14ac:dyDescent="0.3">
      <c r="A2030" s="34">
        <v>46274</v>
      </c>
      <c r="B2030" s="34">
        <v>46274</v>
      </c>
      <c r="C2030" s="5" t="s">
        <v>78</v>
      </c>
      <c r="D2030" s="5" t="s">
        <v>79</v>
      </c>
      <c r="E2030" s="5" t="s">
        <v>80</v>
      </c>
      <c r="F2030" s="5">
        <v>11943</v>
      </c>
      <c r="G2030" s="5" t="s">
        <v>6179</v>
      </c>
      <c r="H2030" s="5" t="s">
        <v>6180</v>
      </c>
      <c r="I2030" s="5" t="s">
        <v>212</v>
      </c>
      <c r="N2030" s="5" t="s">
        <v>6181</v>
      </c>
      <c r="O2030" s="5">
        <v>44.96</v>
      </c>
      <c r="P2030" s="5">
        <v>45.22</v>
      </c>
      <c r="Q2030" s="5">
        <v>44.22</v>
      </c>
      <c r="R2030" s="5">
        <v>44.54</v>
      </c>
      <c r="S2030" s="5">
        <v>44.85</v>
      </c>
      <c r="T2030" s="5">
        <v>44.96</v>
      </c>
      <c r="V2030" s="5">
        <v>44.54</v>
      </c>
      <c r="Y2030" s="5">
        <v>230024</v>
      </c>
      <c r="Z2030" s="5">
        <v>10288660.1</v>
      </c>
      <c r="AA2030" s="5">
        <v>1393</v>
      </c>
      <c r="AB2030" s="5" t="s">
        <v>85</v>
      </c>
      <c r="AC2030" s="5">
        <v>1</v>
      </c>
    </row>
    <row r="2031" spans="1:29" x14ac:dyDescent="0.3">
      <c r="A2031" s="34">
        <v>46274</v>
      </c>
      <c r="B2031" s="34">
        <v>46274</v>
      </c>
      <c r="C2031" s="5" t="s">
        <v>78</v>
      </c>
      <c r="D2031" s="5" t="s">
        <v>79</v>
      </c>
      <c r="E2031" s="5" t="s">
        <v>80</v>
      </c>
      <c r="F2031" s="5">
        <v>13687</v>
      </c>
      <c r="G2031" s="5" t="s">
        <v>6182</v>
      </c>
      <c r="H2031" s="5" t="s">
        <v>6183</v>
      </c>
      <c r="I2031" s="5" t="s">
        <v>234</v>
      </c>
      <c r="N2031" s="5" t="s">
        <v>6184</v>
      </c>
      <c r="O2031" s="5">
        <v>299.69</v>
      </c>
      <c r="P2031" s="5">
        <v>299.69</v>
      </c>
      <c r="Q2031" s="5">
        <v>299.69</v>
      </c>
      <c r="R2031" s="5">
        <v>299.69</v>
      </c>
      <c r="S2031" s="5">
        <v>299.69</v>
      </c>
      <c r="T2031" s="5">
        <v>285.42</v>
      </c>
      <c r="V2031" s="5">
        <v>299.69</v>
      </c>
      <c r="Y2031" s="5">
        <v>1022</v>
      </c>
      <c r="Z2031" s="5">
        <v>306283.18</v>
      </c>
      <c r="AA2031" s="5">
        <v>45</v>
      </c>
      <c r="AB2031" s="5" t="s">
        <v>85</v>
      </c>
      <c r="AC2031" s="5">
        <v>1</v>
      </c>
    </row>
    <row r="2032" spans="1:29" x14ac:dyDescent="0.3">
      <c r="A2032" s="34">
        <v>46274</v>
      </c>
      <c r="B2032" s="34">
        <v>46274</v>
      </c>
      <c r="C2032" s="5" t="s">
        <v>78</v>
      </c>
      <c r="D2032" s="5" t="s">
        <v>79</v>
      </c>
      <c r="E2032" s="5" t="s">
        <v>80</v>
      </c>
      <c r="F2032" s="5">
        <v>14574</v>
      </c>
      <c r="G2032" s="5" t="s">
        <v>6185</v>
      </c>
      <c r="H2032" s="5" t="s">
        <v>6186</v>
      </c>
      <c r="I2032" s="5" t="s">
        <v>313</v>
      </c>
      <c r="N2032" s="5" t="s">
        <v>6187</v>
      </c>
      <c r="O2032" s="5">
        <v>41</v>
      </c>
      <c r="P2032" s="5">
        <v>41.95</v>
      </c>
      <c r="Q2032" s="5">
        <v>41</v>
      </c>
      <c r="R2032" s="5">
        <v>41.3</v>
      </c>
      <c r="S2032" s="5">
        <v>41.3</v>
      </c>
      <c r="T2032" s="5">
        <v>42.5</v>
      </c>
      <c r="V2032" s="5">
        <v>41.3</v>
      </c>
      <c r="Y2032" s="5">
        <v>15000</v>
      </c>
      <c r="Z2032" s="5">
        <v>620500</v>
      </c>
      <c r="AA2032" s="5">
        <v>14</v>
      </c>
      <c r="AB2032" s="5" t="s">
        <v>85</v>
      </c>
      <c r="AC2032" s="5">
        <v>1000</v>
      </c>
    </row>
    <row r="2033" spans="1:29" x14ac:dyDescent="0.3">
      <c r="A2033" s="34">
        <v>46274</v>
      </c>
      <c r="B2033" s="34">
        <v>46274</v>
      </c>
      <c r="C2033" s="5" t="s">
        <v>78</v>
      </c>
      <c r="D2033" s="5" t="s">
        <v>79</v>
      </c>
      <c r="E2033" s="5" t="s">
        <v>80</v>
      </c>
      <c r="F2033" s="5">
        <v>21705</v>
      </c>
      <c r="G2033" s="5" t="s">
        <v>6188</v>
      </c>
      <c r="H2033" s="5" t="s">
        <v>6189</v>
      </c>
      <c r="I2033" s="5" t="s">
        <v>212</v>
      </c>
      <c r="N2033" s="5" t="s">
        <v>6190</v>
      </c>
      <c r="O2033" s="5">
        <v>327</v>
      </c>
      <c r="P2033" s="5">
        <v>334.75</v>
      </c>
      <c r="Q2033" s="5">
        <v>326.95</v>
      </c>
      <c r="R2033" s="5">
        <v>328.65</v>
      </c>
      <c r="S2033" s="5">
        <v>328.5</v>
      </c>
      <c r="T2033" s="5">
        <v>331.25</v>
      </c>
      <c r="V2033" s="5">
        <v>328.61</v>
      </c>
      <c r="Y2033" s="5">
        <v>82663</v>
      </c>
      <c r="Z2033" s="5">
        <v>27192782.149999999</v>
      </c>
      <c r="AA2033" s="5">
        <v>3800</v>
      </c>
      <c r="AB2033" s="5" t="s">
        <v>85</v>
      </c>
      <c r="AC2033" s="5">
        <v>1</v>
      </c>
    </row>
    <row r="2034" spans="1:29" x14ac:dyDescent="0.3">
      <c r="A2034" s="34">
        <v>46274</v>
      </c>
      <c r="B2034" s="34">
        <v>46274</v>
      </c>
      <c r="C2034" s="5" t="s">
        <v>78</v>
      </c>
      <c r="D2034" s="5" t="s">
        <v>79</v>
      </c>
      <c r="E2034" s="5" t="s">
        <v>80</v>
      </c>
      <c r="F2034" s="5">
        <v>765110</v>
      </c>
      <c r="G2034" s="5" t="s">
        <v>6191</v>
      </c>
      <c r="H2034" s="5" t="s">
        <v>6192</v>
      </c>
      <c r="I2034" s="5" t="s">
        <v>212</v>
      </c>
      <c r="N2034" s="5" t="s">
        <v>6193</v>
      </c>
      <c r="O2034" s="5">
        <v>27.72</v>
      </c>
      <c r="P2034" s="5">
        <v>30.74</v>
      </c>
      <c r="Q2034" s="5">
        <v>26.99</v>
      </c>
      <c r="R2034" s="5">
        <v>30.74</v>
      </c>
      <c r="S2034" s="5">
        <v>30.74</v>
      </c>
      <c r="T2034" s="5">
        <v>25.62</v>
      </c>
      <c r="V2034" s="5">
        <v>31.16</v>
      </c>
      <c r="Y2034" s="5">
        <v>101210</v>
      </c>
      <c r="Z2034" s="5">
        <v>3059679.66</v>
      </c>
      <c r="AA2034" s="5">
        <v>799</v>
      </c>
      <c r="AB2034" s="5" t="s">
        <v>85</v>
      </c>
      <c r="AC2034" s="5">
        <v>1</v>
      </c>
    </row>
    <row r="2035" spans="1:29" x14ac:dyDescent="0.3">
      <c r="A2035" s="34">
        <v>46274</v>
      </c>
      <c r="B2035" s="34">
        <v>46274</v>
      </c>
      <c r="C2035" s="5" t="s">
        <v>78</v>
      </c>
      <c r="D2035" s="5" t="s">
        <v>79</v>
      </c>
      <c r="E2035" s="5" t="s">
        <v>80</v>
      </c>
      <c r="F2035" s="5">
        <v>762802</v>
      </c>
      <c r="G2035" s="5" t="s">
        <v>6194</v>
      </c>
      <c r="H2035" s="5" t="s">
        <v>6195</v>
      </c>
      <c r="I2035" s="5" t="s">
        <v>212</v>
      </c>
      <c r="N2035" s="5" t="s">
        <v>6196</v>
      </c>
      <c r="O2035" s="5">
        <v>13.99</v>
      </c>
      <c r="P2035" s="5">
        <v>14.26</v>
      </c>
      <c r="Q2035" s="5">
        <v>13.4</v>
      </c>
      <c r="R2035" s="5">
        <v>13.83</v>
      </c>
      <c r="S2035" s="5">
        <v>13.97</v>
      </c>
      <c r="T2035" s="5">
        <v>13.99</v>
      </c>
      <c r="V2035" s="5">
        <v>13.82</v>
      </c>
      <c r="Y2035" s="5">
        <v>42797</v>
      </c>
      <c r="Z2035" s="5">
        <v>583832.44999999995</v>
      </c>
      <c r="AA2035" s="5">
        <v>345</v>
      </c>
      <c r="AB2035" s="5" t="s">
        <v>85</v>
      </c>
      <c r="AC2035" s="5">
        <v>1</v>
      </c>
    </row>
    <row r="2036" spans="1:29" x14ac:dyDescent="0.3">
      <c r="A2036" s="34">
        <v>46274</v>
      </c>
      <c r="B2036" s="34">
        <v>46274</v>
      </c>
      <c r="C2036" s="5" t="s">
        <v>78</v>
      </c>
      <c r="D2036" s="5" t="s">
        <v>79</v>
      </c>
      <c r="E2036" s="5" t="s">
        <v>80</v>
      </c>
      <c r="F2036" s="5">
        <v>6278</v>
      </c>
      <c r="G2036" s="5" t="s">
        <v>6197</v>
      </c>
      <c r="H2036" s="5" t="s">
        <v>6198</v>
      </c>
      <c r="I2036" s="5" t="s">
        <v>212</v>
      </c>
      <c r="N2036" s="5" t="s">
        <v>6199</v>
      </c>
      <c r="O2036" s="5">
        <v>287.64999999999998</v>
      </c>
      <c r="P2036" s="5">
        <v>317.35000000000002</v>
      </c>
      <c r="Q2036" s="5">
        <v>280.05</v>
      </c>
      <c r="R2036" s="5">
        <v>312.89999999999998</v>
      </c>
      <c r="S2036" s="5">
        <v>314.89999999999998</v>
      </c>
      <c r="T2036" s="5">
        <v>285.75</v>
      </c>
      <c r="V2036" s="5">
        <v>312.86</v>
      </c>
      <c r="Y2036" s="5">
        <v>364218</v>
      </c>
      <c r="Z2036" s="5">
        <v>110058867.59999999</v>
      </c>
      <c r="AA2036" s="5">
        <v>7570</v>
      </c>
      <c r="AB2036" s="5" t="s">
        <v>85</v>
      </c>
      <c r="AC2036" s="5">
        <v>1</v>
      </c>
    </row>
    <row r="2037" spans="1:29" x14ac:dyDescent="0.3">
      <c r="A2037" s="34">
        <v>46274</v>
      </c>
      <c r="B2037" s="34">
        <v>46274</v>
      </c>
      <c r="C2037" s="5" t="s">
        <v>78</v>
      </c>
      <c r="D2037" s="5" t="s">
        <v>79</v>
      </c>
      <c r="E2037" s="5" t="s">
        <v>80</v>
      </c>
      <c r="F2037" s="5">
        <v>24239</v>
      </c>
      <c r="G2037" s="5" t="s">
        <v>6200</v>
      </c>
      <c r="H2037" s="5" t="s">
        <v>6201</v>
      </c>
      <c r="I2037" s="5" t="s">
        <v>313</v>
      </c>
      <c r="N2037" s="5" t="s">
        <v>6202</v>
      </c>
      <c r="O2037" s="5">
        <v>25.2</v>
      </c>
      <c r="P2037" s="5">
        <v>25.2</v>
      </c>
      <c r="Q2037" s="5">
        <v>25.2</v>
      </c>
      <c r="R2037" s="5">
        <v>25.2</v>
      </c>
      <c r="S2037" s="5">
        <v>25.2</v>
      </c>
      <c r="T2037" s="5">
        <v>26.5</v>
      </c>
      <c r="V2037" s="5">
        <v>25.2</v>
      </c>
      <c r="Y2037" s="5">
        <v>6000</v>
      </c>
      <c r="Z2037" s="5">
        <v>151200</v>
      </c>
      <c r="AA2037" s="5">
        <v>3</v>
      </c>
      <c r="AB2037" s="5" t="s">
        <v>85</v>
      </c>
      <c r="AC2037" s="5">
        <v>2000</v>
      </c>
    </row>
    <row r="2038" spans="1:29" x14ac:dyDescent="0.3">
      <c r="A2038" s="34">
        <v>46274</v>
      </c>
      <c r="B2038" s="34">
        <v>46274</v>
      </c>
      <c r="C2038" s="5" t="s">
        <v>78</v>
      </c>
      <c r="D2038" s="5" t="s">
        <v>79</v>
      </c>
      <c r="E2038" s="5" t="s">
        <v>80</v>
      </c>
      <c r="F2038" s="5">
        <v>9667</v>
      </c>
      <c r="G2038" s="5" t="s">
        <v>6203</v>
      </c>
      <c r="H2038" s="5" t="s">
        <v>6204</v>
      </c>
      <c r="I2038" s="5" t="s">
        <v>212</v>
      </c>
      <c r="N2038" s="5" t="s">
        <v>6205</v>
      </c>
      <c r="O2038" s="5">
        <v>39.229999999999997</v>
      </c>
      <c r="P2038" s="5">
        <v>39.24</v>
      </c>
      <c r="Q2038" s="5">
        <v>34.11</v>
      </c>
      <c r="R2038" s="5">
        <v>35.44</v>
      </c>
      <c r="S2038" s="5">
        <v>35.14</v>
      </c>
      <c r="T2038" s="5">
        <v>39.28</v>
      </c>
      <c r="V2038" s="5">
        <v>35.44</v>
      </c>
      <c r="Y2038" s="5">
        <v>2383216</v>
      </c>
      <c r="Z2038" s="5">
        <v>86030917.489999995</v>
      </c>
      <c r="AA2038" s="5">
        <v>10960</v>
      </c>
      <c r="AB2038" s="5" t="s">
        <v>85</v>
      </c>
      <c r="AC2038" s="5">
        <v>1</v>
      </c>
    </row>
    <row r="2039" spans="1:29" x14ac:dyDescent="0.3">
      <c r="A2039" s="34">
        <v>46274</v>
      </c>
      <c r="B2039" s="34">
        <v>46274</v>
      </c>
      <c r="C2039" s="5" t="s">
        <v>78</v>
      </c>
      <c r="D2039" s="5" t="s">
        <v>79</v>
      </c>
      <c r="E2039" s="5" t="s">
        <v>80</v>
      </c>
      <c r="F2039" s="5">
        <v>7254</v>
      </c>
      <c r="G2039" s="5" t="s">
        <v>6206</v>
      </c>
      <c r="H2039" s="5" t="s">
        <v>6207</v>
      </c>
      <c r="I2039" s="5" t="s">
        <v>212</v>
      </c>
      <c r="N2039" s="5" t="s">
        <v>6208</v>
      </c>
      <c r="O2039" s="5">
        <v>664</v>
      </c>
      <c r="P2039" s="5">
        <v>677.95</v>
      </c>
      <c r="Q2039" s="5">
        <v>660.9</v>
      </c>
      <c r="R2039" s="5">
        <v>669.95</v>
      </c>
      <c r="S2039" s="5">
        <v>674.95</v>
      </c>
      <c r="T2039" s="5">
        <v>663.45</v>
      </c>
      <c r="V2039" s="5">
        <v>669.97</v>
      </c>
      <c r="Y2039" s="5">
        <v>72744</v>
      </c>
      <c r="Z2039" s="5">
        <v>48624680</v>
      </c>
      <c r="AA2039" s="5">
        <v>7636</v>
      </c>
      <c r="AB2039" s="5" t="s">
        <v>85</v>
      </c>
      <c r="AC2039" s="5">
        <v>1</v>
      </c>
    </row>
    <row r="2040" spans="1:29" x14ac:dyDescent="0.3">
      <c r="A2040" s="34">
        <v>46274</v>
      </c>
      <c r="B2040" s="34">
        <v>46274</v>
      </c>
      <c r="C2040" s="5" t="s">
        <v>78</v>
      </c>
      <c r="D2040" s="5" t="s">
        <v>79</v>
      </c>
      <c r="E2040" s="5" t="s">
        <v>80</v>
      </c>
      <c r="F2040" s="5">
        <v>760229</v>
      </c>
      <c r="G2040" s="5" t="s">
        <v>6209</v>
      </c>
      <c r="H2040" s="5" t="s">
        <v>6210</v>
      </c>
      <c r="I2040" s="5" t="s">
        <v>212</v>
      </c>
      <c r="N2040" s="5" t="s">
        <v>6211</v>
      </c>
      <c r="O2040" s="5">
        <v>211.4</v>
      </c>
      <c r="P2040" s="5">
        <v>217.86</v>
      </c>
      <c r="Q2040" s="5">
        <v>210.5</v>
      </c>
      <c r="R2040" s="5">
        <v>216.7</v>
      </c>
      <c r="S2040" s="5">
        <v>217</v>
      </c>
      <c r="T2040" s="5">
        <v>211.06</v>
      </c>
      <c r="V2040" s="5">
        <v>216.71</v>
      </c>
      <c r="Y2040" s="5">
        <v>17157843</v>
      </c>
      <c r="Z2040" s="5">
        <v>3691472570.48</v>
      </c>
      <c r="AA2040" s="5">
        <v>114020</v>
      </c>
      <c r="AB2040" s="5" t="s">
        <v>85</v>
      </c>
      <c r="AC2040" s="5">
        <v>1</v>
      </c>
    </row>
    <row r="2041" spans="1:29" x14ac:dyDescent="0.3">
      <c r="A2041" s="34">
        <v>46274</v>
      </c>
      <c r="B2041" s="34">
        <v>46274</v>
      </c>
      <c r="C2041" s="5" t="s">
        <v>78</v>
      </c>
      <c r="D2041" s="5" t="s">
        <v>79</v>
      </c>
      <c r="E2041" s="5" t="s">
        <v>80</v>
      </c>
      <c r="F2041" s="5">
        <v>10971</v>
      </c>
      <c r="G2041" s="5" t="s">
        <v>6212</v>
      </c>
      <c r="H2041" s="5" t="s">
        <v>6213</v>
      </c>
      <c r="I2041" s="5" t="s">
        <v>313</v>
      </c>
      <c r="N2041" s="5" t="s">
        <v>6214</v>
      </c>
      <c r="O2041" s="5">
        <v>99</v>
      </c>
      <c r="P2041" s="5">
        <v>99</v>
      </c>
      <c r="Q2041" s="5">
        <v>99</v>
      </c>
      <c r="R2041" s="5">
        <v>99</v>
      </c>
      <c r="S2041" s="5">
        <v>99</v>
      </c>
      <c r="T2041" s="5">
        <v>95</v>
      </c>
      <c r="V2041" s="5">
        <v>99</v>
      </c>
      <c r="Y2041" s="5">
        <v>1000</v>
      </c>
      <c r="Z2041" s="5">
        <v>99000</v>
      </c>
      <c r="AA2041" s="5">
        <v>1</v>
      </c>
      <c r="AB2041" s="5" t="s">
        <v>85</v>
      </c>
      <c r="AC2041" s="5">
        <v>1000</v>
      </c>
    </row>
    <row r="2042" spans="1:29" x14ac:dyDescent="0.3">
      <c r="A2042" s="34">
        <v>46274</v>
      </c>
      <c r="B2042" s="34">
        <v>46274</v>
      </c>
      <c r="C2042" s="5" t="s">
        <v>78</v>
      </c>
      <c r="D2042" s="5" t="s">
        <v>79</v>
      </c>
      <c r="E2042" s="5" t="s">
        <v>80</v>
      </c>
      <c r="F2042" s="5">
        <v>8153</v>
      </c>
      <c r="G2042" s="5" t="s">
        <v>6215</v>
      </c>
      <c r="H2042" s="5" t="s">
        <v>6216</v>
      </c>
      <c r="I2042" s="5" t="s">
        <v>212</v>
      </c>
      <c r="N2042" s="5" t="s">
        <v>6217</v>
      </c>
      <c r="O2042" s="5">
        <v>285</v>
      </c>
      <c r="P2042" s="5">
        <v>292</v>
      </c>
      <c r="Q2042" s="5">
        <v>280.2</v>
      </c>
      <c r="R2042" s="5">
        <v>285.10000000000002</v>
      </c>
      <c r="S2042" s="5">
        <v>282.7</v>
      </c>
      <c r="T2042" s="5">
        <v>288.85000000000002</v>
      </c>
      <c r="V2042" s="5">
        <v>285.08</v>
      </c>
      <c r="Y2042" s="5">
        <v>3673</v>
      </c>
      <c r="Z2042" s="5">
        <v>1051190.8999999999</v>
      </c>
      <c r="AA2042" s="5">
        <v>155</v>
      </c>
      <c r="AB2042" s="5" t="s">
        <v>85</v>
      </c>
      <c r="AC2042" s="5">
        <v>1</v>
      </c>
    </row>
    <row r="2043" spans="1:29" x14ac:dyDescent="0.3">
      <c r="A2043" s="34">
        <v>46274</v>
      </c>
      <c r="B2043" s="34">
        <v>46274</v>
      </c>
      <c r="C2043" s="5" t="s">
        <v>78</v>
      </c>
      <c r="D2043" s="5" t="s">
        <v>79</v>
      </c>
      <c r="E2043" s="5" t="s">
        <v>80</v>
      </c>
      <c r="F2043" s="5">
        <v>22560</v>
      </c>
      <c r="G2043" s="5" t="s">
        <v>6218</v>
      </c>
      <c r="H2043" s="5" t="s">
        <v>6219</v>
      </c>
      <c r="I2043" s="5" t="s">
        <v>313</v>
      </c>
      <c r="N2043" s="5" t="s">
        <v>6220</v>
      </c>
      <c r="O2043" s="5">
        <v>232.95</v>
      </c>
      <c r="P2043" s="5">
        <v>247.8</v>
      </c>
      <c r="Q2043" s="5">
        <v>232.95</v>
      </c>
      <c r="R2043" s="5">
        <v>243</v>
      </c>
      <c r="S2043" s="5">
        <v>242</v>
      </c>
      <c r="T2043" s="5">
        <v>227.75</v>
      </c>
      <c r="V2043" s="5">
        <v>243</v>
      </c>
      <c r="Y2043" s="5">
        <v>110800</v>
      </c>
      <c r="Z2043" s="5">
        <v>26315080</v>
      </c>
      <c r="AA2043" s="5">
        <v>103</v>
      </c>
      <c r="AB2043" s="5" t="s">
        <v>85</v>
      </c>
      <c r="AC2043" s="5">
        <v>400</v>
      </c>
    </row>
    <row r="2044" spans="1:29" x14ac:dyDescent="0.3">
      <c r="A2044" s="34">
        <v>46274</v>
      </c>
      <c r="B2044" s="34">
        <v>46274</v>
      </c>
      <c r="C2044" s="5" t="s">
        <v>78</v>
      </c>
      <c r="D2044" s="5" t="s">
        <v>79</v>
      </c>
      <c r="E2044" s="5" t="s">
        <v>80</v>
      </c>
      <c r="F2044" s="5">
        <v>5394</v>
      </c>
      <c r="G2044" s="5" t="s">
        <v>6221</v>
      </c>
      <c r="H2044" s="5" t="s">
        <v>6222</v>
      </c>
      <c r="I2044" s="5" t="s">
        <v>212</v>
      </c>
      <c r="N2044" s="5" t="s">
        <v>6223</v>
      </c>
      <c r="O2044" s="5">
        <v>66</v>
      </c>
      <c r="P2044" s="5">
        <v>66</v>
      </c>
      <c r="Q2044" s="5">
        <v>63.18</v>
      </c>
      <c r="R2044" s="5">
        <v>63.54</v>
      </c>
      <c r="S2044" s="5">
        <v>63.5</v>
      </c>
      <c r="T2044" s="5">
        <v>65.819999999999993</v>
      </c>
      <c r="V2044" s="5">
        <v>63.54</v>
      </c>
      <c r="Y2044" s="5">
        <v>1003497</v>
      </c>
      <c r="Z2044" s="5">
        <v>64662457.5</v>
      </c>
      <c r="AA2044" s="5">
        <v>6041</v>
      </c>
      <c r="AB2044" s="5" t="s">
        <v>85</v>
      </c>
      <c r="AC2044" s="5">
        <v>1</v>
      </c>
    </row>
    <row r="2045" spans="1:29" x14ac:dyDescent="0.3">
      <c r="A2045" s="34">
        <v>46274</v>
      </c>
      <c r="B2045" s="34">
        <v>46274</v>
      </c>
      <c r="C2045" s="5" t="s">
        <v>78</v>
      </c>
      <c r="D2045" s="5" t="s">
        <v>79</v>
      </c>
      <c r="E2045" s="5" t="s">
        <v>80</v>
      </c>
      <c r="F2045" s="5">
        <v>764778</v>
      </c>
      <c r="G2045" s="5" t="s">
        <v>6224</v>
      </c>
      <c r="H2045" s="5" t="s">
        <v>6225</v>
      </c>
      <c r="I2045" s="5" t="s">
        <v>212</v>
      </c>
      <c r="N2045" s="5" t="s">
        <v>6226</v>
      </c>
      <c r="O2045" s="5">
        <v>709.2</v>
      </c>
      <c r="P2045" s="5">
        <v>714.95</v>
      </c>
      <c r="Q2045" s="5">
        <v>666.55</v>
      </c>
      <c r="R2045" s="5">
        <v>688.4</v>
      </c>
      <c r="S2045" s="5">
        <v>699</v>
      </c>
      <c r="T2045" s="5">
        <v>704.6</v>
      </c>
      <c r="V2045" s="5">
        <v>688.42</v>
      </c>
      <c r="Y2045" s="5">
        <v>116329</v>
      </c>
      <c r="Z2045" s="5">
        <v>80431289.099999994</v>
      </c>
      <c r="AA2045" s="5">
        <v>4993</v>
      </c>
      <c r="AB2045" s="5" t="s">
        <v>85</v>
      </c>
      <c r="AC2045" s="5">
        <v>1</v>
      </c>
    </row>
    <row r="2046" spans="1:29" x14ac:dyDescent="0.3">
      <c r="A2046" s="34">
        <v>46274</v>
      </c>
      <c r="B2046" s="34">
        <v>46274</v>
      </c>
      <c r="C2046" s="5" t="s">
        <v>78</v>
      </c>
      <c r="D2046" s="5" t="s">
        <v>79</v>
      </c>
      <c r="E2046" s="5" t="s">
        <v>80</v>
      </c>
      <c r="F2046" s="5">
        <v>6971</v>
      </c>
      <c r="G2046" s="5" t="s">
        <v>6227</v>
      </c>
      <c r="H2046" s="5" t="s">
        <v>6228</v>
      </c>
      <c r="I2046" s="5" t="s">
        <v>234</v>
      </c>
      <c r="N2046" s="5" t="s">
        <v>6229</v>
      </c>
      <c r="O2046" s="5">
        <v>278.55</v>
      </c>
      <c r="P2046" s="5">
        <v>305.60000000000002</v>
      </c>
      <c r="Q2046" s="5">
        <v>276.5</v>
      </c>
      <c r="R2046" s="5">
        <v>305.5</v>
      </c>
      <c r="S2046" s="5">
        <v>305.60000000000002</v>
      </c>
      <c r="T2046" s="5">
        <v>291.05</v>
      </c>
      <c r="V2046" s="5">
        <v>305.57</v>
      </c>
      <c r="Y2046" s="5">
        <v>133876</v>
      </c>
      <c r="Z2046" s="5">
        <v>38650366.049999997</v>
      </c>
      <c r="AA2046" s="5">
        <v>1595</v>
      </c>
      <c r="AB2046" s="5" t="s">
        <v>85</v>
      </c>
      <c r="AC2046" s="5">
        <v>1</v>
      </c>
    </row>
    <row r="2047" spans="1:29" x14ac:dyDescent="0.3">
      <c r="A2047" s="34">
        <v>46274</v>
      </c>
      <c r="B2047" s="34">
        <v>46274</v>
      </c>
      <c r="C2047" s="5" t="s">
        <v>78</v>
      </c>
      <c r="D2047" s="5" t="s">
        <v>79</v>
      </c>
      <c r="E2047" s="5" t="s">
        <v>80</v>
      </c>
      <c r="F2047" s="5">
        <v>762787</v>
      </c>
      <c r="G2047" s="5" t="s">
        <v>6230</v>
      </c>
      <c r="H2047" s="5" t="s">
        <v>6231</v>
      </c>
      <c r="I2047" s="5" t="s">
        <v>212</v>
      </c>
      <c r="N2047" s="5" t="s">
        <v>6232</v>
      </c>
      <c r="O2047" s="5">
        <v>85</v>
      </c>
      <c r="P2047" s="5">
        <v>85</v>
      </c>
      <c r="Q2047" s="5">
        <v>79.209999999999994</v>
      </c>
      <c r="R2047" s="5">
        <v>80.430000000000007</v>
      </c>
      <c r="S2047" s="5">
        <v>80.48</v>
      </c>
      <c r="T2047" s="5">
        <v>84.28</v>
      </c>
      <c r="V2047" s="5">
        <v>80.430000000000007</v>
      </c>
      <c r="Y2047" s="5">
        <v>158787</v>
      </c>
      <c r="Z2047" s="5">
        <v>12839921.52</v>
      </c>
      <c r="AA2047" s="5">
        <v>2197</v>
      </c>
      <c r="AB2047" s="5" t="s">
        <v>85</v>
      </c>
      <c r="AC2047" s="5">
        <v>1</v>
      </c>
    </row>
    <row r="2048" spans="1:29" x14ac:dyDescent="0.3">
      <c r="A2048" s="34">
        <v>46274</v>
      </c>
      <c r="B2048" s="34">
        <v>46274</v>
      </c>
      <c r="C2048" s="5" t="s">
        <v>78</v>
      </c>
      <c r="D2048" s="5" t="s">
        <v>79</v>
      </c>
      <c r="E2048" s="5" t="s">
        <v>80</v>
      </c>
      <c r="F2048" s="5">
        <v>25882</v>
      </c>
      <c r="G2048" s="5" t="s">
        <v>6233</v>
      </c>
      <c r="H2048" s="5" t="s">
        <v>6234</v>
      </c>
      <c r="I2048" s="5" t="s">
        <v>614</v>
      </c>
      <c r="N2048" s="5" t="s">
        <v>6235</v>
      </c>
      <c r="O2048" s="5">
        <v>0.68</v>
      </c>
      <c r="P2048" s="5">
        <v>0.68</v>
      </c>
      <c r="Q2048" s="5">
        <v>0.68</v>
      </c>
      <c r="R2048" s="5">
        <v>0.68</v>
      </c>
      <c r="S2048" s="5">
        <v>0.68</v>
      </c>
      <c r="T2048" s="5">
        <v>0.69</v>
      </c>
      <c r="V2048" s="5">
        <v>0.68</v>
      </c>
      <c r="Y2048" s="5">
        <v>9555</v>
      </c>
      <c r="Z2048" s="5">
        <v>6497.4</v>
      </c>
      <c r="AA2048" s="5">
        <v>29</v>
      </c>
      <c r="AB2048" s="5" t="s">
        <v>85</v>
      </c>
      <c r="AC2048" s="5">
        <v>1</v>
      </c>
    </row>
    <row r="2049" spans="1:29" x14ac:dyDescent="0.3">
      <c r="A2049" s="34">
        <v>46274</v>
      </c>
      <c r="B2049" s="34">
        <v>46274</v>
      </c>
      <c r="C2049" s="5" t="s">
        <v>78</v>
      </c>
      <c r="D2049" s="5" t="s">
        <v>79</v>
      </c>
      <c r="E2049" s="5" t="s">
        <v>80</v>
      </c>
      <c r="F2049" s="5">
        <v>762792</v>
      </c>
      <c r="G2049" s="5" t="s">
        <v>6236</v>
      </c>
      <c r="H2049" s="5" t="s">
        <v>6237</v>
      </c>
      <c r="I2049" s="5" t="s">
        <v>212</v>
      </c>
      <c r="N2049" s="5" t="s">
        <v>6238</v>
      </c>
      <c r="O2049" s="5">
        <v>25.5</v>
      </c>
      <c r="P2049" s="5">
        <v>25.75</v>
      </c>
      <c r="Q2049" s="5">
        <v>24.06</v>
      </c>
      <c r="R2049" s="5">
        <v>24.12</v>
      </c>
      <c r="S2049" s="5">
        <v>24.42</v>
      </c>
      <c r="T2049" s="5">
        <v>24.72</v>
      </c>
      <c r="V2049" s="5">
        <v>24.11</v>
      </c>
      <c r="Y2049" s="5">
        <v>112840</v>
      </c>
      <c r="Z2049" s="5">
        <v>2795302.51</v>
      </c>
      <c r="AA2049" s="5">
        <v>275</v>
      </c>
      <c r="AB2049" s="5" t="s">
        <v>85</v>
      </c>
      <c r="AC2049" s="5">
        <v>1</v>
      </c>
    </row>
    <row r="2050" spans="1:29" x14ac:dyDescent="0.3">
      <c r="A2050" s="34">
        <v>46274</v>
      </c>
      <c r="B2050" s="34">
        <v>46274</v>
      </c>
      <c r="C2050" s="5" t="s">
        <v>78</v>
      </c>
      <c r="D2050" s="5" t="s">
        <v>79</v>
      </c>
      <c r="E2050" s="5" t="s">
        <v>80</v>
      </c>
      <c r="F2050" s="5">
        <v>763663</v>
      </c>
      <c r="G2050" s="5" t="s">
        <v>6239</v>
      </c>
      <c r="H2050" s="5" t="s">
        <v>6240</v>
      </c>
      <c r="I2050" s="5" t="s">
        <v>212</v>
      </c>
      <c r="N2050" s="5" t="s">
        <v>6241</v>
      </c>
      <c r="O2050" s="5">
        <v>38.94</v>
      </c>
      <c r="P2050" s="5">
        <v>38.94</v>
      </c>
      <c r="Q2050" s="5">
        <v>37</v>
      </c>
      <c r="R2050" s="5">
        <v>37.83</v>
      </c>
      <c r="S2050" s="5">
        <v>37.99</v>
      </c>
      <c r="T2050" s="5">
        <v>38.380000000000003</v>
      </c>
      <c r="V2050" s="5">
        <v>37.81</v>
      </c>
      <c r="Y2050" s="5">
        <v>463042</v>
      </c>
      <c r="Z2050" s="5">
        <v>17653298.34</v>
      </c>
      <c r="AA2050" s="5">
        <v>1803</v>
      </c>
      <c r="AB2050" s="5" t="s">
        <v>85</v>
      </c>
      <c r="AC2050" s="5">
        <v>1</v>
      </c>
    </row>
    <row r="2051" spans="1:29" x14ac:dyDescent="0.3">
      <c r="A2051" s="34">
        <v>46274</v>
      </c>
      <c r="B2051" s="34">
        <v>46274</v>
      </c>
      <c r="C2051" s="5" t="s">
        <v>78</v>
      </c>
      <c r="D2051" s="5" t="s">
        <v>79</v>
      </c>
      <c r="E2051" s="5" t="s">
        <v>80</v>
      </c>
      <c r="F2051" s="5">
        <v>764278</v>
      </c>
      <c r="G2051" s="5" t="s">
        <v>6242</v>
      </c>
      <c r="H2051" s="5" t="s">
        <v>6243</v>
      </c>
      <c r="I2051" s="5" t="s">
        <v>392</v>
      </c>
      <c r="N2051" s="5" t="s">
        <v>6244</v>
      </c>
      <c r="O2051" s="5">
        <v>133</v>
      </c>
      <c r="P2051" s="5">
        <v>138.4</v>
      </c>
      <c r="Q2051" s="5">
        <v>131.19999999999999</v>
      </c>
      <c r="R2051" s="5">
        <v>136.05000000000001</v>
      </c>
      <c r="S2051" s="5">
        <v>138.4</v>
      </c>
      <c r="T2051" s="5">
        <v>136.94999999999999</v>
      </c>
      <c r="V2051" s="5">
        <v>136.05000000000001</v>
      </c>
      <c r="Y2051" s="5">
        <v>68800</v>
      </c>
      <c r="Z2051" s="5">
        <v>9218800</v>
      </c>
      <c r="AA2051" s="5">
        <v>39</v>
      </c>
      <c r="AB2051" s="5" t="s">
        <v>85</v>
      </c>
      <c r="AC2051" s="5">
        <v>1600</v>
      </c>
    </row>
    <row r="2052" spans="1:29" x14ac:dyDescent="0.3">
      <c r="A2052" s="34">
        <v>46274</v>
      </c>
      <c r="B2052" s="34">
        <v>46274</v>
      </c>
      <c r="C2052" s="5" t="s">
        <v>78</v>
      </c>
      <c r="D2052" s="5" t="s">
        <v>79</v>
      </c>
      <c r="E2052" s="5" t="s">
        <v>80</v>
      </c>
      <c r="F2052" s="5">
        <v>7242</v>
      </c>
      <c r="G2052" s="5" t="s">
        <v>6245</v>
      </c>
      <c r="H2052" s="5" t="s">
        <v>6246</v>
      </c>
      <c r="I2052" s="5" t="s">
        <v>212</v>
      </c>
      <c r="N2052" s="5" t="s">
        <v>6247</v>
      </c>
      <c r="O2052" s="5">
        <v>948.95</v>
      </c>
      <c r="P2052" s="5">
        <v>961.9</v>
      </c>
      <c r="Q2052" s="5">
        <v>932.3</v>
      </c>
      <c r="R2052" s="5">
        <v>959</v>
      </c>
      <c r="S2052" s="5">
        <v>956.8</v>
      </c>
      <c r="T2052" s="5">
        <v>948.55</v>
      </c>
      <c r="V2052" s="5">
        <v>958.97</v>
      </c>
      <c r="Y2052" s="5">
        <v>34602</v>
      </c>
      <c r="Z2052" s="5">
        <v>32966398.5</v>
      </c>
      <c r="AA2052" s="5">
        <v>6457</v>
      </c>
      <c r="AB2052" s="5" t="s">
        <v>85</v>
      </c>
      <c r="AC2052" s="5">
        <v>1</v>
      </c>
    </row>
    <row r="2053" spans="1:29" x14ac:dyDescent="0.3">
      <c r="A2053" s="34">
        <v>46274</v>
      </c>
      <c r="B2053" s="34">
        <v>46274</v>
      </c>
      <c r="C2053" s="5" t="s">
        <v>78</v>
      </c>
      <c r="D2053" s="5" t="s">
        <v>79</v>
      </c>
      <c r="E2053" s="5" t="s">
        <v>80</v>
      </c>
      <c r="F2053" s="5">
        <v>762797</v>
      </c>
      <c r="G2053" s="5" t="s">
        <v>6248</v>
      </c>
      <c r="H2053" s="5" t="s">
        <v>6249</v>
      </c>
      <c r="I2053" s="5" t="s">
        <v>212</v>
      </c>
      <c r="N2053" s="5" t="s">
        <v>6250</v>
      </c>
      <c r="O2053" s="5">
        <v>139.9</v>
      </c>
      <c r="P2053" s="5">
        <v>142.94999999999999</v>
      </c>
      <c r="Q2053" s="5">
        <v>136.02000000000001</v>
      </c>
      <c r="R2053" s="5">
        <v>142.31</v>
      </c>
      <c r="S2053" s="5">
        <v>142.94999999999999</v>
      </c>
      <c r="T2053" s="5">
        <v>139.9</v>
      </c>
      <c r="V2053" s="5">
        <v>141.72</v>
      </c>
      <c r="Y2053" s="5">
        <v>105</v>
      </c>
      <c r="Z2053" s="5">
        <v>14817.51</v>
      </c>
      <c r="AA2053" s="5">
        <v>12</v>
      </c>
      <c r="AB2053" s="5" t="s">
        <v>85</v>
      </c>
      <c r="AC2053" s="5">
        <v>1</v>
      </c>
    </row>
    <row r="2054" spans="1:29" x14ac:dyDescent="0.3">
      <c r="A2054" s="34">
        <v>46274</v>
      </c>
      <c r="B2054" s="34">
        <v>46274</v>
      </c>
      <c r="C2054" s="5" t="s">
        <v>78</v>
      </c>
      <c r="D2054" s="5" t="s">
        <v>79</v>
      </c>
      <c r="E2054" s="5" t="s">
        <v>80</v>
      </c>
      <c r="F2054" s="5">
        <v>9581</v>
      </c>
      <c r="G2054" s="5" t="s">
        <v>6251</v>
      </c>
      <c r="H2054" s="5" t="s">
        <v>6252</v>
      </c>
      <c r="I2054" s="5" t="s">
        <v>212</v>
      </c>
      <c r="N2054" s="5" t="s">
        <v>6253</v>
      </c>
      <c r="O2054" s="5">
        <v>582.20000000000005</v>
      </c>
      <c r="P2054" s="5">
        <v>605</v>
      </c>
      <c r="Q2054" s="5">
        <v>580.70000000000005</v>
      </c>
      <c r="R2054" s="5">
        <v>602.1</v>
      </c>
      <c r="S2054" s="5">
        <v>605</v>
      </c>
      <c r="T2054" s="5">
        <v>582.20000000000005</v>
      </c>
      <c r="V2054" s="5">
        <v>602.09</v>
      </c>
      <c r="Y2054" s="5">
        <v>472099</v>
      </c>
      <c r="Z2054" s="5">
        <v>281484181.55000001</v>
      </c>
      <c r="AA2054" s="5">
        <v>20384</v>
      </c>
      <c r="AB2054" s="5" t="s">
        <v>85</v>
      </c>
      <c r="AC2054" s="5">
        <v>1</v>
      </c>
    </row>
    <row r="2055" spans="1:29" x14ac:dyDescent="0.3">
      <c r="A2055" s="34">
        <v>46274</v>
      </c>
      <c r="B2055" s="34">
        <v>46274</v>
      </c>
      <c r="C2055" s="5" t="s">
        <v>78</v>
      </c>
      <c r="D2055" s="5" t="s">
        <v>79</v>
      </c>
      <c r="E2055" s="5" t="s">
        <v>80</v>
      </c>
      <c r="F2055" s="5">
        <v>7165</v>
      </c>
      <c r="G2055" s="5" t="s">
        <v>6254</v>
      </c>
      <c r="H2055" s="5" t="s">
        <v>6255</v>
      </c>
      <c r="I2055" s="5" t="s">
        <v>234</v>
      </c>
      <c r="N2055" s="5" t="s">
        <v>6256</v>
      </c>
      <c r="O2055" s="5">
        <v>36.299999999999997</v>
      </c>
      <c r="P2055" s="5">
        <v>36.299999999999997</v>
      </c>
      <c r="Q2055" s="5">
        <v>36</v>
      </c>
      <c r="R2055" s="5">
        <v>36</v>
      </c>
      <c r="S2055" s="5">
        <v>36</v>
      </c>
      <c r="T2055" s="5">
        <v>36.32</v>
      </c>
      <c r="V2055" s="5">
        <v>36</v>
      </c>
      <c r="Y2055" s="5">
        <v>94150</v>
      </c>
      <c r="Z2055" s="5">
        <v>3396924.3</v>
      </c>
      <c r="AA2055" s="5">
        <v>559</v>
      </c>
      <c r="AB2055" s="5" t="s">
        <v>85</v>
      </c>
      <c r="AC2055" s="5">
        <v>1</v>
      </c>
    </row>
    <row r="2056" spans="1:29" x14ac:dyDescent="0.3">
      <c r="A2056" s="34">
        <v>46274</v>
      </c>
      <c r="B2056" s="34">
        <v>46274</v>
      </c>
      <c r="C2056" s="5" t="s">
        <v>78</v>
      </c>
      <c r="D2056" s="5" t="s">
        <v>79</v>
      </c>
      <c r="E2056" s="5" t="s">
        <v>80</v>
      </c>
      <c r="F2056" s="5">
        <v>759517</v>
      </c>
      <c r="G2056" s="5" t="s">
        <v>6257</v>
      </c>
      <c r="H2056" s="5" t="s">
        <v>6258</v>
      </c>
      <c r="I2056" s="5" t="s">
        <v>212</v>
      </c>
      <c r="N2056" s="5" t="s">
        <v>6259</v>
      </c>
      <c r="O2056" s="5">
        <v>1084.2</v>
      </c>
      <c r="P2056" s="5">
        <v>1084.2</v>
      </c>
      <c r="Q2056" s="5">
        <v>1055</v>
      </c>
      <c r="R2056" s="5">
        <v>1059.0999999999999</v>
      </c>
      <c r="S2056" s="5">
        <v>1060</v>
      </c>
      <c r="T2056" s="5">
        <v>1078.4000000000001</v>
      </c>
      <c r="V2056" s="5">
        <v>1059.0999999999999</v>
      </c>
      <c r="Y2056" s="5">
        <v>13692</v>
      </c>
      <c r="Z2056" s="5">
        <v>14514777.1</v>
      </c>
      <c r="AA2056" s="5">
        <v>1520</v>
      </c>
      <c r="AB2056" s="5" t="s">
        <v>85</v>
      </c>
      <c r="AC2056" s="5">
        <v>1</v>
      </c>
    </row>
    <row r="2057" spans="1:29" x14ac:dyDescent="0.3">
      <c r="A2057" s="34">
        <v>46274</v>
      </c>
      <c r="B2057" s="34">
        <v>46274</v>
      </c>
      <c r="C2057" s="5" t="s">
        <v>78</v>
      </c>
      <c r="D2057" s="5" t="s">
        <v>79</v>
      </c>
      <c r="E2057" s="5" t="s">
        <v>80</v>
      </c>
      <c r="F2057" s="5">
        <v>765125</v>
      </c>
      <c r="G2057" s="5" t="s">
        <v>6260</v>
      </c>
      <c r="H2057" s="5" t="s">
        <v>6261</v>
      </c>
      <c r="I2057" s="5" t="s">
        <v>212</v>
      </c>
      <c r="N2057" s="5" t="s">
        <v>6262</v>
      </c>
      <c r="O2057" s="5">
        <v>86</v>
      </c>
      <c r="P2057" s="5">
        <v>87.4</v>
      </c>
      <c r="Q2057" s="5">
        <v>82.5</v>
      </c>
      <c r="R2057" s="5">
        <v>84.97</v>
      </c>
      <c r="S2057" s="5">
        <v>85.46</v>
      </c>
      <c r="T2057" s="5">
        <v>84.87</v>
      </c>
      <c r="V2057" s="5">
        <v>85.12</v>
      </c>
      <c r="Y2057" s="5">
        <v>1232</v>
      </c>
      <c r="Z2057" s="5">
        <v>104811.02</v>
      </c>
      <c r="AA2057" s="5">
        <v>64</v>
      </c>
      <c r="AB2057" s="5" t="s">
        <v>85</v>
      </c>
      <c r="AC2057" s="5">
        <v>1</v>
      </c>
    </row>
    <row r="2058" spans="1:29" x14ac:dyDescent="0.3">
      <c r="A2058" s="34">
        <v>46274</v>
      </c>
      <c r="B2058" s="34">
        <v>46274</v>
      </c>
      <c r="C2058" s="5" t="s">
        <v>78</v>
      </c>
      <c r="D2058" s="5" t="s">
        <v>79</v>
      </c>
      <c r="E2058" s="5" t="s">
        <v>80</v>
      </c>
      <c r="F2058" s="5">
        <v>765272</v>
      </c>
      <c r="G2058" s="5" t="s">
        <v>6263</v>
      </c>
      <c r="H2058" s="5" t="s">
        <v>6264</v>
      </c>
      <c r="I2058" s="5" t="s">
        <v>212</v>
      </c>
      <c r="N2058" s="5" t="s">
        <v>6265</v>
      </c>
      <c r="O2058" s="5">
        <v>274.94</v>
      </c>
      <c r="P2058" s="5">
        <v>274.94</v>
      </c>
      <c r="Q2058" s="5">
        <v>262.18</v>
      </c>
      <c r="R2058" s="5">
        <v>265.56</v>
      </c>
      <c r="S2058" s="5">
        <v>267</v>
      </c>
      <c r="T2058" s="5">
        <v>275.97000000000003</v>
      </c>
      <c r="V2058" s="5">
        <v>265.58</v>
      </c>
      <c r="Y2058" s="5">
        <v>8108465</v>
      </c>
      <c r="Z2058" s="5">
        <v>2157058979.5799999</v>
      </c>
      <c r="AA2058" s="5">
        <v>64994</v>
      </c>
      <c r="AB2058" s="5" t="s">
        <v>85</v>
      </c>
      <c r="AC2058" s="5">
        <v>1</v>
      </c>
    </row>
    <row r="2059" spans="1:29" x14ac:dyDescent="0.3">
      <c r="A2059" s="34">
        <v>46274</v>
      </c>
      <c r="B2059" s="34">
        <v>46274</v>
      </c>
      <c r="C2059" s="5" t="s">
        <v>78</v>
      </c>
      <c r="D2059" s="5" t="s">
        <v>79</v>
      </c>
      <c r="E2059" s="5" t="s">
        <v>80</v>
      </c>
      <c r="F2059" s="5">
        <v>765118</v>
      </c>
      <c r="G2059" s="5" t="s">
        <v>6266</v>
      </c>
      <c r="H2059" s="5" t="s">
        <v>6267</v>
      </c>
      <c r="I2059" s="5" t="s">
        <v>234</v>
      </c>
      <c r="N2059" s="5" t="s">
        <v>6268</v>
      </c>
      <c r="O2059" s="5">
        <v>5.88</v>
      </c>
      <c r="P2059" s="5">
        <v>5.88</v>
      </c>
      <c r="Q2059" s="5">
        <v>5.78</v>
      </c>
      <c r="R2059" s="5">
        <v>5.78</v>
      </c>
      <c r="S2059" s="5">
        <v>5.78</v>
      </c>
      <c r="T2059" s="5">
        <v>5.89</v>
      </c>
      <c r="V2059" s="5">
        <v>5.78</v>
      </c>
      <c r="Y2059" s="5">
        <v>198559</v>
      </c>
      <c r="Z2059" s="5">
        <v>1160027.42</v>
      </c>
      <c r="AA2059" s="5">
        <v>300</v>
      </c>
      <c r="AB2059" s="5" t="s">
        <v>85</v>
      </c>
      <c r="AC2059" s="5">
        <v>1</v>
      </c>
    </row>
    <row r="2060" spans="1:29" x14ac:dyDescent="0.3">
      <c r="A2060" s="34">
        <v>46274</v>
      </c>
      <c r="B2060" s="34">
        <v>46274</v>
      </c>
      <c r="C2060" s="5" t="s">
        <v>78</v>
      </c>
      <c r="D2060" s="5" t="s">
        <v>79</v>
      </c>
      <c r="E2060" s="5" t="s">
        <v>80</v>
      </c>
      <c r="F2060" s="5">
        <v>25897</v>
      </c>
      <c r="G2060" s="5" t="s">
        <v>6269</v>
      </c>
      <c r="H2060" s="5" t="s">
        <v>6270</v>
      </c>
      <c r="I2060" s="5" t="s">
        <v>212</v>
      </c>
      <c r="N2060" s="5" t="s">
        <v>6271</v>
      </c>
      <c r="O2060" s="5">
        <v>710</v>
      </c>
      <c r="P2060" s="5">
        <v>710.35</v>
      </c>
      <c r="Q2060" s="5">
        <v>697.05</v>
      </c>
      <c r="R2060" s="5">
        <v>700.8</v>
      </c>
      <c r="S2060" s="5">
        <v>701.5</v>
      </c>
      <c r="T2060" s="5">
        <v>708.3</v>
      </c>
      <c r="V2060" s="5">
        <v>700.8</v>
      </c>
      <c r="Y2060" s="5">
        <v>140743</v>
      </c>
      <c r="Z2060" s="5">
        <v>98788065.799999997</v>
      </c>
      <c r="AA2060" s="5">
        <v>14625</v>
      </c>
      <c r="AB2060" s="5" t="s">
        <v>85</v>
      </c>
      <c r="AC2060" s="5">
        <v>1</v>
      </c>
    </row>
    <row r="2061" spans="1:29" x14ac:dyDescent="0.3">
      <c r="A2061" s="34">
        <v>46274</v>
      </c>
      <c r="B2061" s="34">
        <v>46274</v>
      </c>
      <c r="C2061" s="5" t="s">
        <v>78</v>
      </c>
      <c r="D2061" s="5" t="s">
        <v>79</v>
      </c>
      <c r="E2061" s="5" t="s">
        <v>80</v>
      </c>
      <c r="F2061" s="5">
        <v>22308</v>
      </c>
      <c r="G2061" s="5" t="s">
        <v>6272</v>
      </c>
      <c r="H2061" s="5" t="s">
        <v>6273</v>
      </c>
      <c r="I2061" s="5" t="s">
        <v>1362</v>
      </c>
      <c r="N2061" s="5" t="s">
        <v>6274</v>
      </c>
      <c r="O2061" s="5">
        <v>498.8</v>
      </c>
      <c r="P2061" s="5">
        <v>500.43</v>
      </c>
      <c r="Q2061" s="5">
        <v>497.5</v>
      </c>
      <c r="R2061" s="5">
        <v>497.98</v>
      </c>
      <c r="S2061" s="5">
        <v>497.75</v>
      </c>
      <c r="T2061" s="5">
        <v>497.67</v>
      </c>
      <c r="V2061" s="5">
        <v>497.98</v>
      </c>
      <c r="Y2061" s="5">
        <v>320878</v>
      </c>
      <c r="Z2061" s="5">
        <v>159867628.93000001</v>
      </c>
      <c r="AA2061" s="5">
        <v>11323</v>
      </c>
      <c r="AB2061" s="5" t="s">
        <v>85</v>
      </c>
      <c r="AC2061" s="5">
        <v>1</v>
      </c>
    </row>
    <row r="2062" spans="1:29" x14ac:dyDescent="0.3">
      <c r="A2062" s="34">
        <v>46274</v>
      </c>
      <c r="B2062" s="34">
        <v>46274</v>
      </c>
      <c r="C2062" s="5" t="s">
        <v>78</v>
      </c>
      <c r="D2062" s="5" t="s">
        <v>79</v>
      </c>
      <c r="E2062" s="5" t="s">
        <v>80</v>
      </c>
      <c r="F2062" s="5">
        <v>18049</v>
      </c>
      <c r="G2062" s="5" t="s">
        <v>6275</v>
      </c>
      <c r="H2062" s="5" t="s">
        <v>6276</v>
      </c>
      <c r="I2062" s="5" t="s">
        <v>212</v>
      </c>
      <c r="N2062" s="5" t="s">
        <v>6277</v>
      </c>
      <c r="O2062" s="5">
        <v>165</v>
      </c>
      <c r="P2062" s="5">
        <v>167.09</v>
      </c>
      <c r="Q2062" s="5">
        <v>162.04</v>
      </c>
      <c r="R2062" s="5">
        <v>162.68</v>
      </c>
      <c r="S2062" s="5">
        <v>163</v>
      </c>
      <c r="T2062" s="5">
        <v>165</v>
      </c>
      <c r="V2062" s="5">
        <v>162.59</v>
      </c>
      <c r="Y2062" s="5">
        <v>24891</v>
      </c>
      <c r="Z2062" s="5">
        <v>4075609.76</v>
      </c>
      <c r="AA2062" s="5">
        <v>822</v>
      </c>
      <c r="AB2062" s="5" t="s">
        <v>85</v>
      </c>
      <c r="AC2062" s="5">
        <v>1</v>
      </c>
    </row>
    <row r="2063" spans="1:29" x14ac:dyDescent="0.3">
      <c r="A2063" s="34">
        <v>46274</v>
      </c>
      <c r="B2063" s="34">
        <v>46274</v>
      </c>
      <c r="C2063" s="5" t="s">
        <v>78</v>
      </c>
      <c r="D2063" s="5" t="s">
        <v>79</v>
      </c>
      <c r="E2063" s="5" t="s">
        <v>80</v>
      </c>
      <c r="F2063" s="5">
        <v>19640</v>
      </c>
      <c r="G2063" s="5" t="s">
        <v>6278</v>
      </c>
      <c r="H2063" s="5" t="s">
        <v>6279</v>
      </c>
      <c r="I2063" s="5" t="s">
        <v>212</v>
      </c>
      <c r="N2063" s="5" t="s">
        <v>6280</v>
      </c>
      <c r="O2063" s="5">
        <v>27.37</v>
      </c>
      <c r="P2063" s="5">
        <v>27.37</v>
      </c>
      <c r="Q2063" s="5">
        <v>26.71</v>
      </c>
      <c r="R2063" s="5">
        <v>26.84</v>
      </c>
      <c r="S2063" s="5">
        <v>26.93</v>
      </c>
      <c r="T2063" s="5">
        <v>26.71</v>
      </c>
      <c r="V2063" s="5">
        <v>26.84</v>
      </c>
      <c r="Y2063" s="5">
        <v>249325</v>
      </c>
      <c r="Z2063" s="5">
        <v>6699754.8099999996</v>
      </c>
      <c r="AA2063" s="5">
        <v>634</v>
      </c>
      <c r="AB2063" s="5" t="s">
        <v>85</v>
      </c>
      <c r="AC2063" s="5">
        <v>1</v>
      </c>
    </row>
    <row r="2064" spans="1:29" x14ac:dyDescent="0.3">
      <c r="A2064" s="34">
        <v>46274</v>
      </c>
      <c r="B2064" s="34">
        <v>46274</v>
      </c>
      <c r="C2064" s="5" t="s">
        <v>78</v>
      </c>
      <c r="D2064" s="5" t="s">
        <v>79</v>
      </c>
      <c r="E2064" s="5" t="s">
        <v>80</v>
      </c>
      <c r="F2064" s="5">
        <v>17419</v>
      </c>
      <c r="G2064" s="5" t="s">
        <v>6281</v>
      </c>
      <c r="H2064" s="5" t="s">
        <v>6282</v>
      </c>
      <c r="I2064" s="5" t="s">
        <v>212</v>
      </c>
      <c r="N2064" s="5" t="s">
        <v>6283</v>
      </c>
      <c r="O2064" s="5">
        <v>593.49</v>
      </c>
      <c r="P2064" s="5">
        <v>593.49</v>
      </c>
      <c r="Q2064" s="5">
        <v>575.1</v>
      </c>
      <c r="R2064" s="5">
        <v>575.63</v>
      </c>
      <c r="S2064" s="5">
        <v>575.22</v>
      </c>
      <c r="T2064" s="5">
        <v>579.02</v>
      </c>
      <c r="V2064" s="5">
        <v>575.63</v>
      </c>
      <c r="Y2064" s="5">
        <v>30401</v>
      </c>
      <c r="Z2064" s="5">
        <v>17555865.079999998</v>
      </c>
      <c r="AA2064" s="5">
        <v>346</v>
      </c>
      <c r="AB2064" s="5" t="s">
        <v>85</v>
      </c>
      <c r="AC2064" s="5">
        <v>1</v>
      </c>
    </row>
    <row r="2065" spans="1:29" x14ac:dyDescent="0.3">
      <c r="A2065" s="34">
        <v>46274</v>
      </c>
      <c r="B2065" s="34">
        <v>46274</v>
      </c>
      <c r="C2065" s="5" t="s">
        <v>78</v>
      </c>
      <c r="D2065" s="5" t="s">
        <v>79</v>
      </c>
      <c r="E2065" s="5" t="s">
        <v>80</v>
      </c>
      <c r="F2065" s="5">
        <v>25725</v>
      </c>
      <c r="G2065" s="5" t="s">
        <v>6284</v>
      </c>
      <c r="H2065" s="5" t="s">
        <v>6285</v>
      </c>
      <c r="I2065" s="5" t="s">
        <v>212</v>
      </c>
      <c r="N2065" s="5" t="s">
        <v>6286</v>
      </c>
      <c r="O2065" s="5">
        <v>84.6</v>
      </c>
      <c r="P2065" s="5">
        <v>85.02</v>
      </c>
      <c r="Q2065" s="5">
        <v>84.33</v>
      </c>
      <c r="R2065" s="5">
        <v>84.7</v>
      </c>
      <c r="S2065" s="5">
        <v>84.54</v>
      </c>
      <c r="T2065" s="5">
        <v>84.89</v>
      </c>
      <c r="V2065" s="5">
        <v>84.7</v>
      </c>
      <c r="Y2065" s="5">
        <v>32043</v>
      </c>
      <c r="Z2065" s="5">
        <v>2715965.34</v>
      </c>
      <c r="AA2065" s="5">
        <v>94</v>
      </c>
      <c r="AB2065" s="5" t="s">
        <v>85</v>
      </c>
      <c r="AC2065" s="5">
        <v>1</v>
      </c>
    </row>
    <row r="2066" spans="1:29" x14ac:dyDescent="0.3">
      <c r="A2066" s="34">
        <v>46274</v>
      </c>
      <c r="B2066" s="34">
        <v>46274</v>
      </c>
      <c r="C2066" s="5" t="s">
        <v>78</v>
      </c>
      <c r="D2066" s="5" t="s">
        <v>79</v>
      </c>
      <c r="E2066" s="5" t="s">
        <v>80</v>
      </c>
      <c r="F2066" s="5">
        <v>28969</v>
      </c>
      <c r="G2066" s="5" t="s">
        <v>6287</v>
      </c>
      <c r="H2066" s="5" t="s">
        <v>6288</v>
      </c>
      <c r="I2066" s="5" t="s">
        <v>212</v>
      </c>
      <c r="N2066" s="5" t="s">
        <v>6289</v>
      </c>
      <c r="O2066" s="5">
        <v>12.19</v>
      </c>
      <c r="P2066" s="5">
        <v>12.19</v>
      </c>
      <c r="Q2066" s="5">
        <v>11.88</v>
      </c>
      <c r="R2066" s="5">
        <v>11.9</v>
      </c>
      <c r="S2066" s="5">
        <v>11.9</v>
      </c>
      <c r="T2066" s="5">
        <v>11.98</v>
      </c>
      <c r="V2066" s="5">
        <v>11.9</v>
      </c>
      <c r="Y2066" s="5">
        <v>302910</v>
      </c>
      <c r="Z2066" s="5">
        <v>3612739.68</v>
      </c>
      <c r="AA2066" s="5">
        <v>388</v>
      </c>
      <c r="AB2066" s="5" t="s">
        <v>85</v>
      </c>
      <c r="AC2066" s="5">
        <v>1</v>
      </c>
    </row>
    <row r="2067" spans="1:29" x14ac:dyDescent="0.3">
      <c r="A2067" s="34">
        <v>46274</v>
      </c>
      <c r="B2067" s="34">
        <v>46274</v>
      </c>
      <c r="C2067" s="5" t="s">
        <v>78</v>
      </c>
      <c r="D2067" s="5" t="s">
        <v>79</v>
      </c>
      <c r="E2067" s="5" t="s">
        <v>80</v>
      </c>
      <c r="F2067" s="5">
        <v>761046</v>
      </c>
      <c r="G2067" s="5" t="s">
        <v>6290</v>
      </c>
      <c r="H2067" s="5" t="s">
        <v>6291</v>
      </c>
      <c r="I2067" s="5" t="s">
        <v>212</v>
      </c>
      <c r="N2067" s="5" t="s">
        <v>6292</v>
      </c>
      <c r="O2067" s="5">
        <v>84.59</v>
      </c>
      <c r="P2067" s="5">
        <v>84.59</v>
      </c>
      <c r="Q2067" s="5">
        <v>83.13</v>
      </c>
      <c r="R2067" s="5">
        <v>83.36</v>
      </c>
      <c r="S2067" s="5">
        <v>83.29</v>
      </c>
      <c r="T2067" s="5">
        <v>83.81</v>
      </c>
      <c r="V2067" s="5">
        <v>83.36</v>
      </c>
      <c r="Y2067" s="5">
        <v>205161</v>
      </c>
      <c r="Z2067" s="5">
        <v>17141532.66</v>
      </c>
      <c r="AA2067" s="5">
        <v>938</v>
      </c>
      <c r="AB2067" s="5" t="s">
        <v>85</v>
      </c>
      <c r="AC2067" s="5">
        <v>1</v>
      </c>
    </row>
    <row r="2068" spans="1:29" x14ac:dyDescent="0.3">
      <c r="A2068" s="34">
        <v>46274</v>
      </c>
      <c r="B2068" s="34">
        <v>46274</v>
      </c>
      <c r="C2068" s="5" t="s">
        <v>78</v>
      </c>
      <c r="D2068" s="5" t="s">
        <v>79</v>
      </c>
      <c r="E2068" s="5" t="s">
        <v>80</v>
      </c>
      <c r="F2068" s="5">
        <v>760412</v>
      </c>
      <c r="G2068" s="5" t="s">
        <v>6293</v>
      </c>
      <c r="H2068" s="5" t="s">
        <v>6294</v>
      </c>
      <c r="I2068" s="5" t="s">
        <v>212</v>
      </c>
      <c r="N2068" s="5" t="s">
        <v>6295</v>
      </c>
      <c r="O2068" s="5">
        <v>35.24</v>
      </c>
      <c r="P2068" s="5">
        <v>35.24</v>
      </c>
      <c r="Q2068" s="5">
        <v>34.96</v>
      </c>
      <c r="R2068" s="5">
        <v>35.07</v>
      </c>
      <c r="S2068" s="5">
        <v>35.08</v>
      </c>
      <c r="T2068" s="5">
        <v>35.24</v>
      </c>
      <c r="V2068" s="5">
        <v>35.07</v>
      </c>
      <c r="Y2068" s="5">
        <v>35489</v>
      </c>
      <c r="Z2068" s="5">
        <v>1246006.76</v>
      </c>
      <c r="AA2068" s="5">
        <v>78</v>
      </c>
      <c r="AB2068" s="5" t="s">
        <v>85</v>
      </c>
      <c r="AC2068" s="5">
        <v>1</v>
      </c>
    </row>
    <row r="2069" spans="1:29" x14ac:dyDescent="0.3">
      <c r="A2069" s="34">
        <v>46274</v>
      </c>
      <c r="B2069" s="34">
        <v>46274</v>
      </c>
      <c r="C2069" s="5" t="s">
        <v>78</v>
      </c>
      <c r="D2069" s="5" t="s">
        <v>79</v>
      </c>
      <c r="E2069" s="5" t="s">
        <v>80</v>
      </c>
      <c r="F2069" s="5">
        <v>759780</v>
      </c>
      <c r="G2069" s="5" t="s">
        <v>6296</v>
      </c>
      <c r="H2069" s="5" t="s">
        <v>6297</v>
      </c>
      <c r="I2069" s="5" t="s">
        <v>212</v>
      </c>
      <c r="N2069" s="5" t="s">
        <v>6298</v>
      </c>
      <c r="O2069" s="5">
        <v>39.409999999999997</v>
      </c>
      <c r="P2069" s="5">
        <v>39.409999999999997</v>
      </c>
      <c r="Q2069" s="5">
        <v>38.450000000000003</v>
      </c>
      <c r="R2069" s="5">
        <v>38.71</v>
      </c>
      <c r="S2069" s="5">
        <v>38.71</v>
      </c>
      <c r="T2069" s="5">
        <v>38.450000000000003</v>
      </c>
      <c r="V2069" s="5">
        <v>38.71</v>
      </c>
      <c r="Y2069" s="5">
        <v>382217</v>
      </c>
      <c r="Z2069" s="5">
        <v>14817925.130000001</v>
      </c>
      <c r="AA2069" s="5">
        <v>955</v>
      </c>
      <c r="AB2069" s="5" t="s">
        <v>85</v>
      </c>
      <c r="AC2069" s="5">
        <v>1</v>
      </c>
    </row>
    <row r="2070" spans="1:29" x14ac:dyDescent="0.3">
      <c r="A2070" s="34">
        <v>46274</v>
      </c>
      <c r="B2070" s="34">
        <v>46274</v>
      </c>
      <c r="C2070" s="5" t="s">
        <v>78</v>
      </c>
      <c r="D2070" s="5" t="s">
        <v>79</v>
      </c>
      <c r="E2070" s="5" t="s">
        <v>80</v>
      </c>
      <c r="F2070" s="5">
        <v>30121</v>
      </c>
      <c r="G2070" s="5" t="s">
        <v>6299</v>
      </c>
      <c r="H2070" s="5" t="s">
        <v>6300</v>
      </c>
      <c r="I2070" s="5" t="s">
        <v>212</v>
      </c>
      <c r="N2070" s="5" t="s">
        <v>6301</v>
      </c>
      <c r="O2070" s="5">
        <v>13.7</v>
      </c>
      <c r="P2070" s="5">
        <v>13.73</v>
      </c>
      <c r="Q2070" s="5">
        <v>13.67</v>
      </c>
      <c r="R2070" s="5">
        <v>13.69</v>
      </c>
      <c r="S2070" s="5">
        <v>13.7</v>
      </c>
      <c r="T2070" s="5">
        <v>13.74</v>
      </c>
      <c r="V2070" s="5">
        <v>13.69</v>
      </c>
      <c r="Y2070" s="5">
        <v>16852</v>
      </c>
      <c r="Z2070" s="5">
        <v>230981.32</v>
      </c>
      <c r="AA2070" s="5">
        <v>64</v>
      </c>
      <c r="AB2070" s="5" t="s">
        <v>85</v>
      </c>
      <c r="AC2070" s="5">
        <v>1</v>
      </c>
    </row>
    <row r="2071" spans="1:29" x14ac:dyDescent="0.3">
      <c r="A2071" s="34">
        <v>46274</v>
      </c>
      <c r="B2071" s="34">
        <v>46274</v>
      </c>
      <c r="C2071" s="5" t="s">
        <v>78</v>
      </c>
      <c r="D2071" s="5" t="s">
        <v>79</v>
      </c>
      <c r="E2071" s="5" t="s">
        <v>80</v>
      </c>
      <c r="F2071" s="5">
        <v>757142</v>
      </c>
      <c r="G2071" s="5" t="s">
        <v>6302</v>
      </c>
      <c r="H2071" s="5" t="s">
        <v>6303</v>
      </c>
      <c r="I2071" s="5" t="s">
        <v>212</v>
      </c>
      <c r="N2071" s="5" t="s">
        <v>6304</v>
      </c>
      <c r="O2071" s="5">
        <v>325.51</v>
      </c>
      <c r="P2071" s="5">
        <v>326.38</v>
      </c>
      <c r="Q2071" s="5">
        <v>324.94</v>
      </c>
      <c r="R2071" s="5">
        <v>325.08</v>
      </c>
      <c r="S2071" s="5">
        <v>325.58</v>
      </c>
      <c r="T2071" s="5">
        <v>327.02999999999997</v>
      </c>
      <c r="V2071" s="5">
        <v>325.08</v>
      </c>
      <c r="Y2071" s="5">
        <v>4722</v>
      </c>
      <c r="Z2071" s="5">
        <v>1536330.31</v>
      </c>
      <c r="AA2071" s="5">
        <v>43</v>
      </c>
      <c r="AB2071" s="5" t="s">
        <v>85</v>
      </c>
      <c r="AC2071" s="5">
        <v>1</v>
      </c>
    </row>
    <row r="2072" spans="1:29" x14ac:dyDescent="0.3">
      <c r="A2072" s="34">
        <v>46274</v>
      </c>
      <c r="B2072" s="34">
        <v>46274</v>
      </c>
      <c r="C2072" s="5" t="s">
        <v>78</v>
      </c>
      <c r="D2072" s="5" t="s">
        <v>79</v>
      </c>
      <c r="E2072" s="5" t="s">
        <v>80</v>
      </c>
      <c r="F2072" s="5">
        <v>24461</v>
      </c>
      <c r="G2072" s="5" t="s">
        <v>6305</v>
      </c>
      <c r="H2072" s="5" t="s">
        <v>6306</v>
      </c>
      <c r="I2072" s="5" t="s">
        <v>212</v>
      </c>
      <c r="N2072" s="5" t="s">
        <v>6307</v>
      </c>
      <c r="O2072" s="5">
        <v>32.47</v>
      </c>
      <c r="P2072" s="5">
        <v>32.47</v>
      </c>
      <c r="Q2072" s="5">
        <v>32.130000000000003</v>
      </c>
      <c r="R2072" s="5">
        <v>32.26</v>
      </c>
      <c r="S2072" s="5">
        <v>32.29</v>
      </c>
      <c r="T2072" s="5">
        <v>32.4</v>
      </c>
      <c r="V2072" s="5">
        <v>32.25</v>
      </c>
      <c r="Y2072" s="5">
        <v>126162</v>
      </c>
      <c r="Z2072" s="5">
        <v>4068448.48</v>
      </c>
      <c r="AA2072" s="5">
        <v>1672</v>
      </c>
      <c r="AB2072" s="5" t="s">
        <v>85</v>
      </c>
      <c r="AC2072" s="5">
        <v>1</v>
      </c>
    </row>
    <row r="2073" spans="1:29" x14ac:dyDescent="0.3">
      <c r="A2073" s="34">
        <v>46274</v>
      </c>
      <c r="B2073" s="34">
        <v>46274</v>
      </c>
      <c r="C2073" s="5" t="s">
        <v>78</v>
      </c>
      <c r="D2073" s="5" t="s">
        <v>79</v>
      </c>
      <c r="E2073" s="5" t="s">
        <v>80</v>
      </c>
      <c r="F2073" s="5">
        <v>760986</v>
      </c>
      <c r="G2073" s="5" t="s">
        <v>6308</v>
      </c>
      <c r="H2073" s="5" t="s">
        <v>6309</v>
      </c>
      <c r="I2073" s="5" t="s">
        <v>212</v>
      </c>
      <c r="N2073" s="5" t="s">
        <v>6310</v>
      </c>
      <c r="O2073" s="5">
        <v>21.82</v>
      </c>
      <c r="P2073" s="5">
        <v>22.26</v>
      </c>
      <c r="Q2073" s="5">
        <v>21.73</v>
      </c>
      <c r="R2073" s="5">
        <v>21.79</v>
      </c>
      <c r="S2073" s="5">
        <v>21.82</v>
      </c>
      <c r="T2073" s="5">
        <v>21.82</v>
      </c>
      <c r="V2073" s="5">
        <v>21.79</v>
      </c>
      <c r="Y2073" s="5">
        <v>64343</v>
      </c>
      <c r="Z2073" s="5">
        <v>1402110.09</v>
      </c>
      <c r="AA2073" s="5">
        <v>219</v>
      </c>
      <c r="AB2073" s="5" t="s">
        <v>85</v>
      </c>
      <c r="AC2073" s="5">
        <v>1</v>
      </c>
    </row>
    <row r="2074" spans="1:29" x14ac:dyDescent="0.3">
      <c r="A2074" s="34">
        <v>46274</v>
      </c>
      <c r="B2074" s="34">
        <v>46274</v>
      </c>
      <c r="C2074" s="5" t="s">
        <v>78</v>
      </c>
      <c r="D2074" s="5" t="s">
        <v>79</v>
      </c>
      <c r="E2074" s="5" t="s">
        <v>80</v>
      </c>
      <c r="F2074" s="5">
        <v>764333</v>
      </c>
      <c r="G2074" s="5" t="s">
        <v>6311</v>
      </c>
      <c r="H2074" s="5" t="s">
        <v>6312</v>
      </c>
      <c r="I2074" s="5" t="s">
        <v>212</v>
      </c>
      <c r="N2074" s="5" t="s">
        <v>6313</v>
      </c>
      <c r="O2074" s="5">
        <v>10.119999999999999</v>
      </c>
      <c r="P2074" s="5">
        <v>10.15</v>
      </c>
      <c r="Q2074" s="5">
        <v>10.06</v>
      </c>
      <c r="R2074" s="5">
        <v>10.119999999999999</v>
      </c>
      <c r="S2074" s="5">
        <v>10.119999999999999</v>
      </c>
      <c r="T2074" s="5">
        <v>10.07</v>
      </c>
      <c r="V2074" s="5">
        <v>10.119999999999999</v>
      </c>
      <c r="Y2074" s="5">
        <v>29314</v>
      </c>
      <c r="Z2074" s="5">
        <v>296509.83</v>
      </c>
      <c r="AA2074" s="5">
        <v>61</v>
      </c>
      <c r="AB2074" s="5" t="s">
        <v>85</v>
      </c>
      <c r="AC2074" s="5">
        <v>1</v>
      </c>
    </row>
    <row r="2075" spans="1:29" x14ac:dyDescent="0.3">
      <c r="A2075" s="34">
        <v>46274</v>
      </c>
      <c r="B2075" s="34">
        <v>46274</v>
      </c>
      <c r="C2075" s="5" t="s">
        <v>78</v>
      </c>
      <c r="D2075" s="5" t="s">
        <v>79</v>
      </c>
      <c r="E2075" s="5" t="s">
        <v>80</v>
      </c>
      <c r="F2075" s="5">
        <v>761030</v>
      </c>
      <c r="G2075" s="5" t="s">
        <v>6314</v>
      </c>
      <c r="H2075" s="5" t="s">
        <v>6315</v>
      </c>
      <c r="I2075" s="5" t="s">
        <v>212</v>
      </c>
      <c r="N2075" s="5" t="s">
        <v>6316</v>
      </c>
      <c r="O2075" s="5">
        <v>12.31</v>
      </c>
      <c r="P2075" s="5">
        <v>12.31</v>
      </c>
      <c r="Q2075" s="5">
        <v>11.99</v>
      </c>
      <c r="R2075" s="5">
        <v>12.01</v>
      </c>
      <c r="S2075" s="5">
        <v>11.99</v>
      </c>
      <c r="T2075" s="5">
        <v>12.01</v>
      </c>
      <c r="V2075" s="5">
        <v>12.01</v>
      </c>
      <c r="Y2075" s="5">
        <v>24842</v>
      </c>
      <c r="Z2075" s="5">
        <v>299231.65999999997</v>
      </c>
      <c r="AA2075" s="5">
        <v>129</v>
      </c>
      <c r="AB2075" s="5" t="s">
        <v>85</v>
      </c>
      <c r="AC2075" s="5">
        <v>1</v>
      </c>
    </row>
    <row r="2076" spans="1:29" x14ac:dyDescent="0.3">
      <c r="A2076" s="34">
        <v>46274</v>
      </c>
      <c r="B2076" s="34">
        <v>46274</v>
      </c>
      <c r="C2076" s="5" t="s">
        <v>78</v>
      </c>
      <c r="D2076" s="5" t="s">
        <v>79</v>
      </c>
      <c r="E2076" s="5" t="s">
        <v>80</v>
      </c>
      <c r="F2076" s="5">
        <v>758595</v>
      </c>
      <c r="G2076" s="5" t="s">
        <v>6317</v>
      </c>
      <c r="H2076" s="5" t="s">
        <v>6318</v>
      </c>
      <c r="I2076" s="5" t="s">
        <v>212</v>
      </c>
      <c r="N2076" s="5" t="s">
        <v>6319</v>
      </c>
      <c r="O2076" s="5">
        <v>14.59</v>
      </c>
      <c r="P2076" s="5">
        <v>14.68</v>
      </c>
      <c r="Q2076" s="5">
        <v>14.52</v>
      </c>
      <c r="R2076" s="5">
        <v>14.63</v>
      </c>
      <c r="S2076" s="5">
        <v>14.64</v>
      </c>
      <c r="T2076" s="5">
        <v>14.6</v>
      </c>
      <c r="V2076" s="5">
        <v>14.63</v>
      </c>
      <c r="Y2076" s="5">
        <v>64335</v>
      </c>
      <c r="Z2076" s="5">
        <v>939294.67</v>
      </c>
      <c r="AA2076" s="5">
        <v>170</v>
      </c>
      <c r="AB2076" s="5" t="s">
        <v>85</v>
      </c>
      <c r="AC2076" s="5">
        <v>1</v>
      </c>
    </row>
    <row r="2077" spans="1:29" x14ac:dyDescent="0.3">
      <c r="A2077" s="34">
        <v>46274</v>
      </c>
      <c r="B2077" s="34">
        <v>46274</v>
      </c>
      <c r="C2077" s="5" t="s">
        <v>78</v>
      </c>
      <c r="D2077" s="5" t="s">
        <v>79</v>
      </c>
      <c r="E2077" s="5" t="s">
        <v>80</v>
      </c>
      <c r="F2077" s="5">
        <v>19633</v>
      </c>
      <c r="G2077" s="5" t="s">
        <v>6320</v>
      </c>
      <c r="H2077" s="5" t="s">
        <v>6321</v>
      </c>
      <c r="I2077" s="5" t="s">
        <v>212</v>
      </c>
      <c r="N2077" s="5" t="s">
        <v>6322</v>
      </c>
      <c r="O2077" s="5">
        <v>31.73</v>
      </c>
      <c r="P2077" s="5">
        <v>31.73</v>
      </c>
      <c r="Q2077" s="5">
        <v>30.56</v>
      </c>
      <c r="R2077" s="5">
        <v>30.64</v>
      </c>
      <c r="S2077" s="5">
        <v>30.72</v>
      </c>
      <c r="T2077" s="5">
        <v>31.7</v>
      </c>
      <c r="V2077" s="5">
        <v>30.64</v>
      </c>
      <c r="Y2077" s="5">
        <v>887118</v>
      </c>
      <c r="Z2077" s="5">
        <v>27276842.059999999</v>
      </c>
      <c r="AA2077" s="5">
        <v>1916</v>
      </c>
      <c r="AB2077" s="5" t="s">
        <v>85</v>
      </c>
      <c r="AC2077" s="5">
        <v>1</v>
      </c>
    </row>
    <row r="2078" spans="1:29" x14ac:dyDescent="0.3">
      <c r="A2078" s="34">
        <v>46274</v>
      </c>
      <c r="B2078" s="34">
        <v>46274</v>
      </c>
      <c r="C2078" s="5" t="s">
        <v>78</v>
      </c>
      <c r="D2078" s="5" t="s">
        <v>79</v>
      </c>
      <c r="E2078" s="5" t="s">
        <v>80</v>
      </c>
      <c r="F2078" s="5">
        <v>765313</v>
      </c>
      <c r="G2078" s="5" t="s">
        <v>6323</v>
      </c>
      <c r="H2078" s="5" t="s">
        <v>6324</v>
      </c>
      <c r="I2078" s="5" t="s">
        <v>212</v>
      </c>
      <c r="N2078" s="5" t="s">
        <v>6325</v>
      </c>
      <c r="O2078" s="5">
        <v>36.69</v>
      </c>
      <c r="P2078" s="5">
        <v>36.69</v>
      </c>
      <c r="Q2078" s="5">
        <v>35.85</v>
      </c>
      <c r="R2078" s="5">
        <v>35.9</v>
      </c>
      <c r="S2078" s="5">
        <v>35.9</v>
      </c>
      <c r="T2078" s="5">
        <v>36.14</v>
      </c>
      <c r="V2078" s="5">
        <v>35.9</v>
      </c>
      <c r="Y2078" s="5">
        <v>1823</v>
      </c>
      <c r="Z2078" s="5">
        <v>65598.84</v>
      </c>
      <c r="AA2078" s="5">
        <v>28</v>
      </c>
      <c r="AB2078" s="5" t="s">
        <v>85</v>
      </c>
      <c r="AC2078" s="5">
        <v>1</v>
      </c>
    </row>
    <row r="2079" spans="1:29" x14ac:dyDescent="0.3">
      <c r="A2079" s="34">
        <v>46274</v>
      </c>
      <c r="B2079" s="34">
        <v>46274</v>
      </c>
      <c r="C2079" s="5" t="s">
        <v>78</v>
      </c>
      <c r="D2079" s="5" t="s">
        <v>79</v>
      </c>
      <c r="E2079" s="5" t="s">
        <v>80</v>
      </c>
      <c r="F2079" s="5">
        <v>17572</v>
      </c>
      <c r="G2079" s="5" t="s">
        <v>6326</v>
      </c>
      <c r="H2079" s="5" t="s">
        <v>6327</v>
      </c>
      <c r="I2079" s="5" t="s">
        <v>212</v>
      </c>
      <c r="N2079" s="5" t="s">
        <v>6328</v>
      </c>
      <c r="O2079" s="5">
        <v>999.99</v>
      </c>
      <c r="P2079" s="5">
        <v>1000</v>
      </c>
      <c r="Q2079" s="5">
        <v>999.99</v>
      </c>
      <c r="R2079" s="5">
        <v>999.99</v>
      </c>
      <c r="S2079" s="5">
        <v>1000</v>
      </c>
      <c r="T2079" s="5">
        <v>999.99</v>
      </c>
      <c r="V2079" s="5">
        <v>999.99</v>
      </c>
      <c r="Y2079" s="5">
        <v>178482</v>
      </c>
      <c r="Z2079" s="5">
        <v>178480629</v>
      </c>
      <c r="AA2079" s="5">
        <v>202</v>
      </c>
      <c r="AB2079" s="5" t="s">
        <v>85</v>
      </c>
      <c r="AC2079" s="5">
        <v>1</v>
      </c>
    </row>
    <row r="2080" spans="1:29" x14ac:dyDescent="0.3">
      <c r="A2080" s="34">
        <v>46274</v>
      </c>
      <c r="B2080" s="34">
        <v>46274</v>
      </c>
      <c r="C2080" s="5" t="s">
        <v>78</v>
      </c>
      <c r="D2080" s="5" t="s">
        <v>79</v>
      </c>
      <c r="E2080" s="5" t="s">
        <v>80</v>
      </c>
      <c r="F2080" s="5">
        <v>27075</v>
      </c>
      <c r="G2080" s="5" t="s">
        <v>6329</v>
      </c>
      <c r="H2080" s="5" t="s">
        <v>6330</v>
      </c>
      <c r="I2080" s="5" t="s">
        <v>212</v>
      </c>
      <c r="N2080" s="5" t="s">
        <v>6331</v>
      </c>
      <c r="O2080" s="5">
        <v>1102.25</v>
      </c>
      <c r="P2080" s="5">
        <v>1103.3699999999999</v>
      </c>
      <c r="Q2080" s="5">
        <v>1102.25</v>
      </c>
      <c r="R2080" s="5">
        <v>1102.3900000000001</v>
      </c>
      <c r="S2080" s="5">
        <v>1102.3900000000001</v>
      </c>
      <c r="T2080" s="5">
        <v>1102.26</v>
      </c>
      <c r="V2080" s="5">
        <v>1102.3900000000001</v>
      </c>
      <c r="Y2080" s="5">
        <v>309957</v>
      </c>
      <c r="Z2080" s="5">
        <v>341695093.93000001</v>
      </c>
      <c r="AA2080" s="5">
        <v>296</v>
      </c>
      <c r="AB2080" s="5" t="s">
        <v>85</v>
      </c>
      <c r="AC2080" s="5">
        <v>1</v>
      </c>
    </row>
    <row r="2081" spans="1:29" x14ac:dyDescent="0.3">
      <c r="A2081" s="34">
        <v>46274</v>
      </c>
      <c r="B2081" s="34">
        <v>46274</v>
      </c>
      <c r="C2081" s="5" t="s">
        <v>78</v>
      </c>
      <c r="D2081" s="5" t="s">
        <v>79</v>
      </c>
      <c r="E2081" s="5" t="s">
        <v>80</v>
      </c>
      <c r="F2081" s="5">
        <v>1200</v>
      </c>
      <c r="G2081" s="5" t="s">
        <v>6332</v>
      </c>
      <c r="H2081" s="5" t="s">
        <v>6333</v>
      </c>
      <c r="I2081" s="5" t="s">
        <v>212</v>
      </c>
      <c r="N2081" s="5" t="s">
        <v>6334</v>
      </c>
      <c r="O2081" s="5">
        <v>40.39</v>
      </c>
      <c r="P2081" s="5">
        <v>40.549999999999997</v>
      </c>
      <c r="Q2081" s="5">
        <v>40.29</v>
      </c>
      <c r="R2081" s="5">
        <v>40.42</v>
      </c>
      <c r="S2081" s="5">
        <v>40.409999999999997</v>
      </c>
      <c r="T2081" s="5">
        <v>40.54</v>
      </c>
      <c r="V2081" s="5">
        <v>40.42</v>
      </c>
      <c r="Y2081" s="5">
        <v>9483</v>
      </c>
      <c r="Z2081" s="5">
        <v>383492.14</v>
      </c>
      <c r="AA2081" s="5">
        <v>71</v>
      </c>
      <c r="AB2081" s="5" t="s">
        <v>85</v>
      </c>
      <c r="AC2081" s="5">
        <v>1</v>
      </c>
    </row>
    <row r="2082" spans="1:29" x14ac:dyDescent="0.3">
      <c r="A2082" s="34">
        <v>46274</v>
      </c>
      <c r="B2082" s="34">
        <v>46274</v>
      </c>
      <c r="C2082" s="5" t="s">
        <v>78</v>
      </c>
      <c r="D2082" s="5" t="s">
        <v>79</v>
      </c>
      <c r="E2082" s="5" t="s">
        <v>80</v>
      </c>
      <c r="F2082" s="5">
        <v>3507</v>
      </c>
      <c r="G2082" s="5" t="s">
        <v>6335</v>
      </c>
      <c r="H2082" s="5" t="s">
        <v>6336</v>
      </c>
      <c r="I2082" s="5" t="s">
        <v>212</v>
      </c>
      <c r="N2082" s="5" t="s">
        <v>6337</v>
      </c>
      <c r="O2082" s="5">
        <v>235.9</v>
      </c>
      <c r="P2082" s="5">
        <v>258.47000000000003</v>
      </c>
      <c r="Q2082" s="5">
        <v>223</v>
      </c>
      <c r="R2082" s="5">
        <v>228.06</v>
      </c>
      <c r="S2082" s="5">
        <v>231.4</v>
      </c>
      <c r="T2082" s="5">
        <v>234.98</v>
      </c>
      <c r="V2082" s="5">
        <v>228.04</v>
      </c>
      <c r="Y2082" s="5">
        <v>2290776</v>
      </c>
      <c r="Z2082" s="5">
        <v>560181852.70000005</v>
      </c>
      <c r="AA2082" s="5">
        <v>31884</v>
      </c>
      <c r="AB2082" s="5" t="s">
        <v>85</v>
      </c>
      <c r="AC2082" s="5">
        <v>1</v>
      </c>
    </row>
    <row r="2083" spans="1:29" x14ac:dyDescent="0.3">
      <c r="A2083" s="34">
        <v>46274</v>
      </c>
      <c r="B2083" s="34">
        <v>46274</v>
      </c>
      <c r="C2083" s="5" t="s">
        <v>78</v>
      </c>
      <c r="D2083" s="5" t="s">
        <v>79</v>
      </c>
      <c r="E2083" s="5" t="s">
        <v>80</v>
      </c>
      <c r="F2083" s="5">
        <v>5220</v>
      </c>
      <c r="G2083" s="5" t="s">
        <v>6338</v>
      </c>
      <c r="H2083" s="5" t="s">
        <v>6339</v>
      </c>
      <c r="I2083" s="5" t="s">
        <v>212</v>
      </c>
      <c r="N2083" s="5" t="s">
        <v>6340</v>
      </c>
      <c r="O2083" s="5">
        <v>26.88</v>
      </c>
      <c r="P2083" s="5">
        <v>26.88</v>
      </c>
      <c r="Q2083" s="5">
        <v>26.42</v>
      </c>
      <c r="R2083" s="5">
        <v>26.47</v>
      </c>
      <c r="S2083" s="5">
        <v>26.45</v>
      </c>
      <c r="T2083" s="5">
        <v>26.78</v>
      </c>
      <c r="V2083" s="5">
        <v>26.47</v>
      </c>
      <c r="Y2083" s="5">
        <v>283798</v>
      </c>
      <c r="Z2083" s="5">
        <v>7531963.9100000001</v>
      </c>
      <c r="AA2083" s="5">
        <v>1297</v>
      </c>
      <c r="AB2083" s="5" t="s">
        <v>85</v>
      </c>
      <c r="AC2083" s="5">
        <v>1</v>
      </c>
    </row>
    <row r="2084" spans="1:29" x14ac:dyDescent="0.3">
      <c r="A2084" s="34">
        <v>46274</v>
      </c>
      <c r="B2084" s="34">
        <v>46274</v>
      </c>
      <c r="C2084" s="5" t="s">
        <v>78</v>
      </c>
      <c r="D2084" s="5" t="s">
        <v>79</v>
      </c>
      <c r="E2084" s="5" t="s">
        <v>80</v>
      </c>
      <c r="F2084" s="5">
        <v>14286</v>
      </c>
      <c r="G2084" s="5" t="s">
        <v>6341</v>
      </c>
      <c r="H2084" s="5" t="s">
        <v>6342</v>
      </c>
      <c r="I2084" s="5" t="s">
        <v>212</v>
      </c>
      <c r="N2084" s="5" t="s">
        <v>6343</v>
      </c>
      <c r="O2084" s="5">
        <v>146.55000000000001</v>
      </c>
      <c r="P2084" s="5">
        <v>148.46</v>
      </c>
      <c r="Q2084" s="5">
        <v>146.55000000000001</v>
      </c>
      <c r="R2084" s="5">
        <v>148.05000000000001</v>
      </c>
      <c r="S2084" s="5">
        <v>147.94999999999999</v>
      </c>
      <c r="T2084" s="5">
        <v>147.88</v>
      </c>
      <c r="V2084" s="5">
        <v>148.05000000000001</v>
      </c>
      <c r="Y2084" s="5">
        <v>1006579</v>
      </c>
      <c r="Z2084" s="5">
        <v>149066678.47999999</v>
      </c>
      <c r="AA2084" s="5">
        <v>5437</v>
      </c>
      <c r="AB2084" s="5" t="s">
        <v>85</v>
      </c>
      <c r="AC2084" s="5">
        <v>1</v>
      </c>
    </row>
    <row r="2085" spans="1:29" x14ac:dyDescent="0.3">
      <c r="A2085" s="34">
        <v>46274</v>
      </c>
      <c r="B2085" s="34">
        <v>46274</v>
      </c>
      <c r="C2085" s="5" t="s">
        <v>78</v>
      </c>
      <c r="D2085" s="5" t="s">
        <v>79</v>
      </c>
      <c r="E2085" s="5" t="s">
        <v>80</v>
      </c>
      <c r="F2085" s="5">
        <v>14938</v>
      </c>
      <c r="G2085" s="5" t="s">
        <v>6344</v>
      </c>
      <c r="H2085" s="5" t="s">
        <v>6345</v>
      </c>
      <c r="I2085" s="5" t="s">
        <v>212</v>
      </c>
      <c r="N2085" s="5" t="s">
        <v>6346</v>
      </c>
      <c r="O2085" s="5">
        <v>30.45</v>
      </c>
      <c r="P2085" s="5">
        <v>30.45</v>
      </c>
      <c r="Q2085" s="5">
        <v>30.3</v>
      </c>
      <c r="R2085" s="5">
        <v>30.44</v>
      </c>
      <c r="S2085" s="5">
        <v>30.44</v>
      </c>
      <c r="T2085" s="5">
        <v>30.3</v>
      </c>
      <c r="V2085" s="5">
        <v>30.44</v>
      </c>
      <c r="Y2085" s="5">
        <v>68</v>
      </c>
      <c r="Z2085" s="5">
        <v>2065.59</v>
      </c>
      <c r="AA2085" s="5">
        <v>11</v>
      </c>
      <c r="AB2085" s="5" t="s">
        <v>85</v>
      </c>
      <c r="AC2085" s="5">
        <v>1</v>
      </c>
    </row>
    <row r="2086" spans="1:29" x14ac:dyDescent="0.3">
      <c r="A2086" s="34">
        <v>46274</v>
      </c>
      <c r="B2086" s="34">
        <v>46274</v>
      </c>
      <c r="C2086" s="5" t="s">
        <v>78</v>
      </c>
      <c r="D2086" s="5" t="s">
        <v>79</v>
      </c>
      <c r="E2086" s="5" t="s">
        <v>80</v>
      </c>
      <c r="F2086" s="5">
        <v>7074</v>
      </c>
      <c r="G2086" s="5" t="s">
        <v>6347</v>
      </c>
      <c r="H2086" s="5" t="s">
        <v>6348</v>
      </c>
      <c r="I2086" s="5" t="s">
        <v>212</v>
      </c>
      <c r="N2086" s="5" t="s">
        <v>6349</v>
      </c>
      <c r="O2086" s="5">
        <v>23.66</v>
      </c>
      <c r="P2086" s="5">
        <v>23.66</v>
      </c>
      <c r="Q2086" s="5">
        <v>22.6</v>
      </c>
      <c r="R2086" s="5">
        <v>22.8</v>
      </c>
      <c r="S2086" s="5">
        <v>22.92</v>
      </c>
      <c r="T2086" s="5">
        <v>23.09</v>
      </c>
      <c r="V2086" s="5">
        <v>22.79</v>
      </c>
      <c r="Y2086" s="5">
        <v>544833</v>
      </c>
      <c r="Z2086" s="5">
        <v>12567832.85</v>
      </c>
      <c r="AA2086" s="5">
        <v>5344</v>
      </c>
      <c r="AB2086" s="5" t="s">
        <v>85</v>
      </c>
      <c r="AC2086" s="5">
        <v>1</v>
      </c>
    </row>
    <row r="2087" spans="1:29" x14ac:dyDescent="0.3">
      <c r="A2087" s="34">
        <v>46274</v>
      </c>
      <c r="B2087" s="34">
        <v>46274</v>
      </c>
      <c r="C2087" s="5" t="s">
        <v>78</v>
      </c>
      <c r="D2087" s="5" t="s">
        <v>79</v>
      </c>
      <c r="E2087" s="5" t="s">
        <v>80</v>
      </c>
      <c r="F2087" s="5">
        <v>8413</v>
      </c>
      <c r="G2087" s="5" t="s">
        <v>6350</v>
      </c>
      <c r="H2087" s="5" t="s">
        <v>6351</v>
      </c>
      <c r="I2087" s="5" t="s">
        <v>212</v>
      </c>
      <c r="N2087" s="5" t="s">
        <v>6352</v>
      </c>
      <c r="O2087" s="5">
        <v>23.6</v>
      </c>
      <c r="P2087" s="5">
        <v>23.62</v>
      </c>
      <c r="Q2087" s="5">
        <v>23.43</v>
      </c>
      <c r="R2087" s="5">
        <v>23.52</v>
      </c>
      <c r="S2087" s="5">
        <v>23.55</v>
      </c>
      <c r="T2087" s="5">
        <v>23.63</v>
      </c>
      <c r="V2087" s="5">
        <v>23.52</v>
      </c>
      <c r="Y2087" s="5">
        <v>10482815</v>
      </c>
      <c r="Z2087" s="5">
        <v>246701514.21000001</v>
      </c>
      <c r="AA2087" s="5">
        <v>7642</v>
      </c>
      <c r="AB2087" s="5" t="s">
        <v>85</v>
      </c>
      <c r="AC2087" s="5">
        <v>1</v>
      </c>
    </row>
    <row r="2088" spans="1:29" x14ac:dyDescent="0.3">
      <c r="A2088" s="34">
        <v>46274</v>
      </c>
      <c r="B2088" s="34">
        <v>46274</v>
      </c>
      <c r="C2088" s="5" t="s">
        <v>78</v>
      </c>
      <c r="D2088" s="5" t="s">
        <v>79</v>
      </c>
      <c r="E2088" s="5" t="s">
        <v>80</v>
      </c>
      <c r="F2088" s="5">
        <v>7979</v>
      </c>
      <c r="G2088" s="5" t="s">
        <v>6353</v>
      </c>
      <c r="H2088" s="5" t="s">
        <v>6354</v>
      </c>
      <c r="I2088" s="5" t="s">
        <v>212</v>
      </c>
      <c r="N2088" s="5" t="s">
        <v>6355</v>
      </c>
      <c r="O2088" s="5">
        <v>165.93</v>
      </c>
      <c r="P2088" s="5">
        <v>165.93</v>
      </c>
      <c r="Q2088" s="5">
        <v>164.6</v>
      </c>
      <c r="R2088" s="5">
        <v>165.28</v>
      </c>
      <c r="S2088" s="5">
        <v>165.25</v>
      </c>
      <c r="T2088" s="5">
        <v>165.46</v>
      </c>
      <c r="V2088" s="5">
        <v>165.28</v>
      </c>
      <c r="Y2088" s="5">
        <v>23943</v>
      </c>
      <c r="Z2088" s="5">
        <v>3953269.96</v>
      </c>
      <c r="AA2088" s="5">
        <v>460</v>
      </c>
      <c r="AB2088" s="5" t="s">
        <v>85</v>
      </c>
      <c r="AC2088" s="5">
        <v>1</v>
      </c>
    </row>
    <row r="2089" spans="1:29" x14ac:dyDescent="0.3">
      <c r="A2089" s="34">
        <v>46274</v>
      </c>
      <c r="B2089" s="34">
        <v>46274</v>
      </c>
      <c r="C2089" s="5" t="s">
        <v>78</v>
      </c>
      <c r="D2089" s="5" t="s">
        <v>79</v>
      </c>
      <c r="E2089" s="5" t="s">
        <v>80</v>
      </c>
      <c r="F2089" s="5">
        <v>6353</v>
      </c>
      <c r="G2089" s="5" t="s">
        <v>6356</v>
      </c>
      <c r="H2089" s="5" t="s">
        <v>6357</v>
      </c>
      <c r="I2089" s="5" t="s">
        <v>212</v>
      </c>
      <c r="N2089" s="5" t="s">
        <v>6358</v>
      </c>
      <c r="O2089" s="5">
        <v>256.89999999999998</v>
      </c>
      <c r="P2089" s="5">
        <v>257.02</v>
      </c>
      <c r="Q2089" s="5">
        <v>255.53</v>
      </c>
      <c r="R2089" s="5">
        <v>255.83</v>
      </c>
      <c r="S2089" s="5">
        <v>255.53</v>
      </c>
      <c r="T2089" s="5">
        <v>257.52999999999997</v>
      </c>
      <c r="V2089" s="5">
        <v>255.84</v>
      </c>
      <c r="Y2089" s="5">
        <v>160962</v>
      </c>
      <c r="Z2089" s="5">
        <v>41255514.799999997</v>
      </c>
      <c r="AA2089" s="5">
        <v>1222</v>
      </c>
      <c r="AB2089" s="5" t="s">
        <v>85</v>
      </c>
      <c r="AC2089" s="5">
        <v>1</v>
      </c>
    </row>
    <row r="2090" spans="1:29" x14ac:dyDescent="0.3">
      <c r="A2090" s="34">
        <v>46274</v>
      </c>
      <c r="B2090" s="34">
        <v>46274</v>
      </c>
      <c r="C2090" s="5" t="s">
        <v>78</v>
      </c>
      <c r="D2090" s="5" t="s">
        <v>79</v>
      </c>
      <c r="E2090" s="5" t="s">
        <v>80</v>
      </c>
      <c r="F2090" s="5">
        <v>14786</v>
      </c>
      <c r="G2090" s="5" t="s">
        <v>6359</v>
      </c>
      <c r="H2090" s="5" t="s">
        <v>6360</v>
      </c>
      <c r="I2090" s="5" t="s">
        <v>212</v>
      </c>
      <c r="N2090" s="5" t="s">
        <v>6361</v>
      </c>
      <c r="O2090" s="5">
        <v>201.64</v>
      </c>
      <c r="P2090" s="5">
        <v>201.64</v>
      </c>
      <c r="Q2090" s="5">
        <v>200.73</v>
      </c>
      <c r="R2090" s="5">
        <v>200.73</v>
      </c>
      <c r="S2090" s="5">
        <v>200.73</v>
      </c>
      <c r="T2090" s="5">
        <v>202.55</v>
      </c>
      <c r="V2090" s="5">
        <v>200.73</v>
      </c>
      <c r="Y2090" s="5">
        <v>482</v>
      </c>
      <c r="Z2090" s="5">
        <v>97008.63</v>
      </c>
      <c r="AA2090" s="5">
        <v>14</v>
      </c>
      <c r="AB2090" s="5" t="s">
        <v>85</v>
      </c>
      <c r="AC2090" s="5">
        <v>1</v>
      </c>
    </row>
    <row r="2091" spans="1:29" x14ac:dyDescent="0.3">
      <c r="A2091" s="34">
        <v>46274</v>
      </c>
      <c r="B2091" s="34">
        <v>46274</v>
      </c>
      <c r="C2091" s="5" t="s">
        <v>78</v>
      </c>
      <c r="D2091" s="5" t="s">
        <v>79</v>
      </c>
      <c r="E2091" s="5" t="s">
        <v>80</v>
      </c>
      <c r="F2091" s="5">
        <v>17181</v>
      </c>
      <c r="G2091" s="5" t="s">
        <v>6362</v>
      </c>
      <c r="H2091" s="5" t="s">
        <v>6363</v>
      </c>
      <c r="I2091" s="5" t="s">
        <v>212</v>
      </c>
      <c r="N2091" s="5" t="s">
        <v>6364</v>
      </c>
      <c r="O2091" s="5">
        <v>755.07</v>
      </c>
      <c r="P2091" s="5">
        <v>756.08</v>
      </c>
      <c r="Q2091" s="5">
        <v>750.93</v>
      </c>
      <c r="R2091" s="5">
        <v>753.29</v>
      </c>
      <c r="S2091" s="5">
        <v>754.05</v>
      </c>
      <c r="T2091" s="5">
        <v>753.77</v>
      </c>
      <c r="V2091" s="5">
        <v>753.2</v>
      </c>
      <c r="Y2091" s="5">
        <v>29774</v>
      </c>
      <c r="Z2091" s="5">
        <v>22438821.449999999</v>
      </c>
      <c r="AA2091" s="5">
        <v>1920</v>
      </c>
      <c r="AB2091" s="5" t="s">
        <v>85</v>
      </c>
      <c r="AC2091" s="5">
        <v>1</v>
      </c>
    </row>
    <row r="2092" spans="1:29" x14ac:dyDescent="0.3">
      <c r="A2092" s="34">
        <v>46274</v>
      </c>
      <c r="B2092" s="34">
        <v>46274</v>
      </c>
      <c r="C2092" s="5" t="s">
        <v>78</v>
      </c>
      <c r="D2092" s="5" t="s">
        <v>79</v>
      </c>
      <c r="E2092" s="5" t="s">
        <v>80</v>
      </c>
      <c r="F2092" s="5">
        <v>16777</v>
      </c>
      <c r="G2092" s="5" t="s">
        <v>6365</v>
      </c>
      <c r="H2092" s="5" t="s">
        <v>6366</v>
      </c>
      <c r="I2092" s="5" t="s">
        <v>212</v>
      </c>
      <c r="N2092" s="5" t="s">
        <v>6367</v>
      </c>
      <c r="O2092" s="5">
        <v>223.1</v>
      </c>
      <c r="P2092" s="5">
        <v>227.79</v>
      </c>
      <c r="Q2092" s="5">
        <v>223.1</v>
      </c>
      <c r="R2092" s="5">
        <v>226.5</v>
      </c>
      <c r="S2092" s="5">
        <v>226.1</v>
      </c>
      <c r="T2092" s="5">
        <v>225.22</v>
      </c>
      <c r="V2092" s="5">
        <v>226.49</v>
      </c>
      <c r="Y2092" s="5">
        <v>73101</v>
      </c>
      <c r="Z2092" s="5">
        <v>16551455.24</v>
      </c>
      <c r="AA2092" s="5">
        <v>1065</v>
      </c>
      <c r="AB2092" s="5" t="s">
        <v>85</v>
      </c>
      <c r="AC2092" s="5">
        <v>1</v>
      </c>
    </row>
    <row r="2093" spans="1:29" x14ac:dyDescent="0.3">
      <c r="A2093" s="34">
        <v>46274</v>
      </c>
      <c r="B2093" s="34">
        <v>46274</v>
      </c>
      <c r="C2093" s="5" t="s">
        <v>78</v>
      </c>
      <c r="D2093" s="5" t="s">
        <v>79</v>
      </c>
      <c r="E2093" s="5" t="s">
        <v>80</v>
      </c>
      <c r="F2093" s="5">
        <v>5782</v>
      </c>
      <c r="G2093" s="5" t="s">
        <v>6368</v>
      </c>
      <c r="H2093" s="5" t="s">
        <v>6369</v>
      </c>
      <c r="I2093" s="5" t="s">
        <v>212</v>
      </c>
      <c r="N2093" s="5" t="s">
        <v>6370</v>
      </c>
      <c r="O2093" s="5">
        <v>99.43</v>
      </c>
      <c r="P2093" s="5">
        <v>111.56</v>
      </c>
      <c r="Q2093" s="5">
        <v>95.85</v>
      </c>
      <c r="R2093" s="5">
        <v>100.76</v>
      </c>
      <c r="S2093" s="5">
        <v>101.5</v>
      </c>
      <c r="T2093" s="5">
        <v>97.01</v>
      </c>
      <c r="V2093" s="5">
        <v>100.77</v>
      </c>
      <c r="Y2093" s="5">
        <v>2197272</v>
      </c>
      <c r="Z2093" s="5">
        <v>232341225.84999999</v>
      </c>
      <c r="AA2093" s="5">
        <v>21246</v>
      </c>
      <c r="AB2093" s="5" t="s">
        <v>85</v>
      </c>
      <c r="AC2093" s="5">
        <v>1</v>
      </c>
    </row>
    <row r="2094" spans="1:29" x14ac:dyDescent="0.3">
      <c r="A2094" s="34">
        <v>46274</v>
      </c>
      <c r="B2094" s="34">
        <v>46274</v>
      </c>
      <c r="C2094" s="5" t="s">
        <v>78</v>
      </c>
      <c r="D2094" s="5" t="s">
        <v>79</v>
      </c>
      <c r="E2094" s="5" t="s">
        <v>80</v>
      </c>
      <c r="F2094" s="5">
        <v>25744</v>
      </c>
      <c r="G2094" s="5" t="s">
        <v>6371</v>
      </c>
      <c r="H2094" s="5" t="s">
        <v>6372</v>
      </c>
      <c r="I2094" s="5" t="s">
        <v>212</v>
      </c>
      <c r="N2094" s="5" t="s">
        <v>6373</v>
      </c>
      <c r="O2094" s="5">
        <v>13.61</v>
      </c>
      <c r="P2094" s="5">
        <v>13.61</v>
      </c>
      <c r="Q2094" s="5">
        <v>13.1</v>
      </c>
      <c r="R2094" s="5">
        <v>13.51</v>
      </c>
      <c r="S2094" s="5">
        <v>13.51</v>
      </c>
      <c r="T2094" s="5">
        <v>13.28</v>
      </c>
      <c r="V2094" s="5">
        <v>13.51</v>
      </c>
      <c r="Y2094" s="5">
        <v>2417735</v>
      </c>
      <c r="Z2094" s="5">
        <v>32575640.920000002</v>
      </c>
      <c r="AA2094" s="5">
        <v>3818</v>
      </c>
      <c r="AB2094" s="5" t="s">
        <v>85</v>
      </c>
      <c r="AC2094" s="5">
        <v>1</v>
      </c>
    </row>
    <row r="2095" spans="1:29" x14ac:dyDescent="0.3">
      <c r="A2095" s="34">
        <v>46274</v>
      </c>
      <c r="B2095" s="34">
        <v>46274</v>
      </c>
      <c r="C2095" s="5" t="s">
        <v>78</v>
      </c>
      <c r="D2095" s="5" t="s">
        <v>79</v>
      </c>
      <c r="E2095" s="5" t="s">
        <v>80</v>
      </c>
      <c r="F2095" s="5">
        <v>23855</v>
      </c>
      <c r="G2095" s="5" t="s">
        <v>6374</v>
      </c>
      <c r="H2095" s="5" t="s">
        <v>6375</v>
      </c>
      <c r="I2095" s="5" t="s">
        <v>212</v>
      </c>
      <c r="N2095" s="5" t="s">
        <v>6376</v>
      </c>
      <c r="O2095" s="5">
        <v>51.92</v>
      </c>
      <c r="P2095" s="5">
        <v>52</v>
      </c>
      <c r="Q2095" s="5">
        <v>51.53</v>
      </c>
      <c r="R2095" s="5">
        <v>51.64</v>
      </c>
      <c r="S2095" s="5">
        <v>51.74</v>
      </c>
      <c r="T2095" s="5">
        <v>51.97</v>
      </c>
      <c r="V2095" s="5">
        <v>51.66</v>
      </c>
      <c r="Y2095" s="5">
        <v>140549</v>
      </c>
      <c r="Z2095" s="5">
        <v>7269640.7999999998</v>
      </c>
      <c r="AA2095" s="5">
        <v>878</v>
      </c>
      <c r="AB2095" s="5" t="s">
        <v>85</v>
      </c>
      <c r="AC2095" s="5">
        <v>1</v>
      </c>
    </row>
    <row r="2096" spans="1:29" x14ac:dyDescent="0.3">
      <c r="A2096" s="34">
        <v>46274</v>
      </c>
      <c r="B2096" s="34">
        <v>46274</v>
      </c>
      <c r="C2096" s="5" t="s">
        <v>78</v>
      </c>
      <c r="D2096" s="5" t="s">
        <v>79</v>
      </c>
      <c r="E2096" s="5" t="s">
        <v>80</v>
      </c>
      <c r="F2096" s="5">
        <v>764198</v>
      </c>
      <c r="G2096" s="5" t="s">
        <v>6377</v>
      </c>
      <c r="H2096" s="5" t="s">
        <v>6378</v>
      </c>
      <c r="I2096" s="5" t="s">
        <v>212</v>
      </c>
      <c r="N2096" s="5" t="s">
        <v>6379</v>
      </c>
      <c r="O2096" s="5">
        <v>13.12</v>
      </c>
      <c r="P2096" s="5">
        <v>13.17</v>
      </c>
      <c r="Q2096" s="5">
        <v>13.05</v>
      </c>
      <c r="R2096" s="5">
        <v>13.12</v>
      </c>
      <c r="S2096" s="5">
        <v>13.14</v>
      </c>
      <c r="T2096" s="5">
        <v>13.09</v>
      </c>
      <c r="V2096" s="5">
        <v>13.12</v>
      </c>
      <c r="Y2096" s="5">
        <v>753302</v>
      </c>
      <c r="Z2096" s="5">
        <v>9891387.6199999992</v>
      </c>
      <c r="AA2096" s="5">
        <v>441</v>
      </c>
      <c r="AB2096" s="5" t="s">
        <v>85</v>
      </c>
      <c r="AC2096" s="5">
        <v>1</v>
      </c>
    </row>
    <row r="2097" spans="1:29" x14ac:dyDescent="0.3">
      <c r="A2097" s="34">
        <v>46274</v>
      </c>
      <c r="B2097" s="34">
        <v>46274</v>
      </c>
      <c r="C2097" s="5" t="s">
        <v>78</v>
      </c>
      <c r="D2097" s="5" t="s">
        <v>79</v>
      </c>
      <c r="E2097" s="5" t="s">
        <v>80</v>
      </c>
      <c r="F2097" s="5">
        <v>25080</v>
      </c>
      <c r="G2097" s="5" t="s">
        <v>6380</v>
      </c>
      <c r="H2097" s="5" t="s">
        <v>6381</v>
      </c>
      <c r="I2097" s="5" t="s">
        <v>212</v>
      </c>
      <c r="N2097" s="5" t="s">
        <v>6382</v>
      </c>
      <c r="O2097" s="5">
        <v>17.100000000000001</v>
      </c>
      <c r="P2097" s="5">
        <v>17.100000000000001</v>
      </c>
      <c r="Q2097" s="5">
        <v>16.579999999999998</v>
      </c>
      <c r="R2097" s="5">
        <v>16.600000000000001</v>
      </c>
      <c r="S2097" s="5">
        <v>16.61</v>
      </c>
      <c r="T2097" s="5">
        <v>16.690000000000001</v>
      </c>
      <c r="V2097" s="5">
        <v>16.600000000000001</v>
      </c>
      <c r="Y2097" s="5">
        <v>1640327</v>
      </c>
      <c r="Z2097" s="5">
        <v>27275330.210000001</v>
      </c>
      <c r="AA2097" s="5">
        <v>2262</v>
      </c>
      <c r="AB2097" s="5" t="s">
        <v>85</v>
      </c>
      <c r="AC2097" s="5">
        <v>1</v>
      </c>
    </row>
    <row r="2098" spans="1:29" x14ac:dyDescent="0.3">
      <c r="A2098" s="34">
        <v>46274</v>
      </c>
      <c r="B2098" s="34">
        <v>46274</v>
      </c>
      <c r="C2098" s="5" t="s">
        <v>78</v>
      </c>
      <c r="D2098" s="5" t="s">
        <v>79</v>
      </c>
      <c r="E2098" s="5" t="s">
        <v>80</v>
      </c>
      <c r="F2098" s="5">
        <v>30109</v>
      </c>
      <c r="G2098" s="5" t="s">
        <v>6383</v>
      </c>
      <c r="H2098" s="5" t="s">
        <v>6384</v>
      </c>
      <c r="I2098" s="5" t="s">
        <v>212</v>
      </c>
      <c r="N2098" s="5" t="s">
        <v>6385</v>
      </c>
      <c r="O2098" s="5">
        <v>48.88</v>
      </c>
      <c r="P2098" s="5">
        <v>48.88</v>
      </c>
      <c r="Q2098" s="5">
        <v>48.52</v>
      </c>
      <c r="R2098" s="5">
        <v>48.59</v>
      </c>
      <c r="S2098" s="5">
        <v>48.66</v>
      </c>
      <c r="T2098" s="5">
        <v>48.88</v>
      </c>
      <c r="V2098" s="5">
        <v>48.57</v>
      </c>
      <c r="Y2098" s="5">
        <v>55023</v>
      </c>
      <c r="Z2098" s="5">
        <v>2678453.6</v>
      </c>
      <c r="AA2098" s="5">
        <v>146</v>
      </c>
      <c r="AB2098" s="5" t="s">
        <v>85</v>
      </c>
      <c r="AC2098" s="5">
        <v>1</v>
      </c>
    </row>
    <row r="2099" spans="1:29" x14ac:dyDescent="0.3">
      <c r="A2099" s="34">
        <v>46274</v>
      </c>
      <c r="B2099" s="34">
        <v>46274</v>
      </c>
      <c r="C2099" s="5" t="s">
        <v>78</v>
      </c>
      <c r="D2099" s="5" t="s">
        <v>79</v>
      </c>
      <c r="E2099" s="5" t="s">
        <v>80</v>
      </c>
      <c r="F2099" s="5">
        <v>19224</v>
      </c>
      <c r="G2099" s="5" t="s">
        <v>6386</v>
      </c>
      <c r="H2099" s="5" t="s">
        <v>6387</v>
      </c>
      <c r="I2099" s="5" t="s">
        <v>212</v>
      </c>
      <c r="N2099" s="5" t="s">
        <v>6388</v>
      </c>
      <c r="O2099" s="5">
        <v>78.17</v>
      </c>
      <c r="P2099" s="5">
        <v>78.17</v>
      </c>
      <c r="Q2099" s="5">
        <v>77.31</v>
      </c>
      <c r="R2099" s="5">
        <v>77.42</v>
      </c>
      <c r="S2099" s="5">
        <v>77.31</v>
      </c>
      <c r="T2099" s="5">
        <v>78.19</v>
      </c>
      <c r="V2099" s="5">
        <v>77.42</v>
      </c>
      <c r="Y2099" s="5">
        <v>49785</v>
      </c>
      <c r="Z2099" s="5">
        <v>3860258.79</v>
      </c>
      <c r="AA2099" s="5">
        <v>476</v>
      </c>
      <c r="AB2099" s="5" t="s">
        <v>85</v>
      </c>
      <c r="AC2099" s="5">
        <v>1</v>
      </c>
    </row>
    <row r="2100" spans="1:29" x14ac:dyDescent="0.3">
      <c r="A2100" s="34">
        <v>46274</v>
      </c>
      <c r="B2100" s="34">
        <v>46274</v>
      </c>
      <c r="C2100" s="5" t="s">
        <v>78</v>
      </c>
      <c r="D2100" s="5" t="s">
        <v>79</v>
      </c>
      <c r="E2100" s="5" t="s">
        <v>80</v>
      </c>
      <c r="F2100" s="5">
        <v>759814</v>
      </c>
      <c r="G2100" s="5" t="s">
        <v>6389</v>
      </c>
      <c r="H2100" s="5" t="s">
        <v>6390</v>
      </c>
      <c r="I2100" s="5" t="s">
        <v>212</v>
      </c>
      <c r="N2100" s="5" t="s">
        <v>6391</v>
      </c>
      <c r="O2100" s="5">
        <v>18.95</v>
      </c>
      <c r="P2100" s="5">
        <v>18.95</v>
      </c>
      <c r="Q2100" s="5">
        <v>18.489999999999998</v>
      </c>
      <c r="R2100" s="5">
        <v>18.52</v>
      </c>
      <c r="S2100" s="5">
        <v>18.52</v>
      </c>
      <c r="T2100" s="5">
        <v>18.579999999999998</v>
      </c>
      <c r="V2100" s="5">
        <v>18.52</v>
      </c>
      <c r="Y2100" s="5">
        <v>431576</v>
      </c>
      <c r="Z2100" s="5">
        <v>8001665.3300000001</v>
      </c>
      <c r="AA2100" s="5">
        <v>751</v>
      </c>
      <c r="AB2100" s="5" t="s">
        <v>85</v>
      </c>
      <c r="AC2100" s="5">
        <v>1</v>
      </c>
    </row>
    <row r="2101" spans="1:29" x14ac:dyDescent="0.3">
      <c r="A2101" s="34">
        <v>46274</v>
      </c>
      <c r="B2101" s="34">
        <v>46274</v>
      </c>
      <c r="C2101" s="5" t="s">
        <v>78</v>
      </c>
      <c r="D2101" s="5" t="s">
        <v>79</v>
      </c>
      <c r="E2101" s="5" t="s">
        <v>80</v>
      </c>
      <c r="F2101" s="5">
        <v>22832</v>
      </c>
      <c r="G2101" s="5" t="s">
        <v>6392</v>
      </c>
      <c r="H2101" s="5" t="s">
        <v>6393</v>
      </c>
      <c r="I2101" s="5" t="s">
        <v>212</v>
      </c>
      <c r="N2101" s="5" t="s">
        <v>6394</v>
      </c>
      <c r="O2101" s="5">
        <v>49.49</v>
      </c>
      <c r="P2101" s="5">
        <v>49.6</v>
      </c>
      <c r="Q2101" s="5">
        <v>49.22</v>
      </c>
      <c r="R2101" s="5">
        <v>49.35</v>
      </c>
      <c r="S2101" s="5">
        <v>49.3</v>
      </c>
      <c r="T2101" s="5">
        <v>49.45</v>
      </c>
      <c r="V2101" s="5">
        <v>49.34</v>
      </c>
      <c r="Y2101" s="5">
        <v>1617862</v>
      </c>
      <c r="Z2101" s="5">
        <v>80001122.909999996</v>
      </c>
      <c r="AA2101" s="5">
        <v>3068</v>
      </c>
      <c r="AB2101" s="5" t="s">
        <v>85</v>
      </c>
      <c r="AC2101" s="5">
        <v>1</v>
      </c>
    </row>
    <row r="2102" spans="1:29" x14ac:dyDescent="0.3">
      <c r="A2102" s="34">
        <v>46274</v>
      </c>
      <c r="B2102" s="34">
        <v>46274</v>
      </c>
      <c r="C2102" s="5" t="s">
        <v>78</v>
      </c>
      <c r="D2102" s="5" t="s">
        <v>79</v>
      </c>
      <c r="E2102" s="5" t="s">
        <v>80</v>
      </c>
      <c r="F2102" s="5">
        <v>760415</v>
      </c>
      <c r="G2102" s="5" t="s">
        <v>6395</v>
      </c>
      <c r="H2102" s="5" t="s">
        <v>6396</v>
      </c>
      <c r="I2102" s="5" t="s">
        <v>212</v>
      </c>
      <c r="N2102" s="5" t="s">
        <v>6397</v>
      </c>
      <c r="O2102" s="5">
        <v>8.7799999999999994</v>
      </c>
      <c r="P2102" s="5">
        <v>8.7799999999999994</v>
      </c>
      <c r="Q2102" s="5">
        <v>8.67</v>
      </c>
      <c r="R2102" s="5">
        <v>8.67</v>
      </c>
      <c r="S2102" s="5">
        <v>8.68</v>
      </c>
      <c r="T2102" s="5">
        <v>8.7799999999999994</v>
      </c>
      <c r="V2102" s="5">
        <v>8.68</v>
      </c>
      <c r="Y2102" s="5">
        <v>67063</v>
      </c>
      <c r="Z2102" s="5">
        <v>583714.13</v>
      </c>
      <c r="AA2102" s="5">
        <v>381</v>
      </c>
      <c r="AB2102" s="5" t="s">
        <v>85</v>
      </c>
      <c r="AC2102" s="5">
        <v>1</v>
      </c>
    </row>
    <row r="2103" spans="1:29" x14ac:dyDescent="0.3">
      <c r="A2103" s="34">
        <v>46274</v>
      </c>
      <c r="B2103" s="34">
        <v>46274</v>
      </c>
      <c r="C2103" s="5" t="s">
        <v>78</v>
      </c>
      <c r="D2103" s="5" t="s">
        <v>79</v>
      </c>
      <c r="E2103" s="5" t="s">
        <v>80</v>
      </c>
      <c r="F2103" s="5">
        <v>761511</v>
      </c>
      <c r="G2103" s="5" t="s">
        <v>6398</v>
      </c>
      <c r="H2103" s="5" t="s">
        <v>5</v>
      </c>
      <c r="I2103" s="5" t="s">
        <v>212</v>
      </c>
      <c r="N2103" s="5" t="s">
        <v>6399</v>
      </c>
      <c r="O2103" s="5">
        <v>15.99</v>
      </c>
      <c r="P2103" s="5">
        <v>16.13</v>
      </c>
      <c r="Q2103" s="5">
        <v>15.99</v>
      </c>
      <c r="R2103" s="5">
        <v>16.059999999999999</v>
      </c>
      <c r="S2103" s="5">
        <v>16.059999999999999</v>
      </c>
      <c r="T2103" s="5">
        <v>15.98</v>
      </c>
      <c r="V2103" s="5">
        <v>16.059999999999999</v>
      </c>
      <c r="Y2103" s="5">
        <v>17546</v>
      </c>
      <c r="Z2103" s="5">
        <v>281668.52</v>
      </c>
      <c r="AA2103" s="5">
        <v>65</v>
      </c>
      <c r="AB2103" s="5" t="s">
        <v>85</v>
      </c>
      <c r="AC2103" s="5">
        <v>1</v>
      </c>
    </row>
    <row r="2104" spans="1:29" x14ac:dyDescent="0.3">
      <c r="A2104" s="34">
        <v>46274</v>
      </c>
      <c r="B2104" s="34">
        <v>46274</v>
      </c>
      <c r="C2104" s="5" t="s">
        <v>78</v>
      </c>
      <c r="D2104" s="5" t="s">
        <v>79</v>
      </c>
      <c r="E2104" s="5" t="s">
        <v>80</v>
      </c>
      <c r="F2104" s="5">
        <v>4394</v>
      </c>
      <c r="G2104" s="5" t="s">
        <v>6400</v>
      </c>
      <c r="H2104" s="5" t="s">
        <v>6401</v>
      </c>
      <c r="I2104" s="5" t="s">
        <v>212</v>
      </c>
      <c r="N2104" s="5" t="s">
        <v>6402</v>
      </c>
      <c r="O2104" s="5">
        <v>30.5</v>
      </c>
      <c r="P2104" s="5">
        <v>32.299999999999997</v>
      </c>
      <c r="Q2104" s="5">
        <v>30.5</v>
      </c>
      <c r="R2104" s="5">
        <v>31.28</v>
      </c>
      <c r="S2104" s="5">
        <v>31.1</v>
      </c>
      <c r="T2104" s="5">
        <v>30.73</v>
      </c>
      <c r="V2104" s="5">
        <v>31.28</v>
      </c>
      <c r="Y2104" s="5">
        <v>202011</v>
      </c>
      <c r="Z2104" s="5">
        <v>6362780.2699999996</v>
      </c>
      <c r="AA2104" s="5">
        <v>2503</v>
      </c>
      <c r="AB2104" s="5" t="s">
        <v>85</v>
      </c>
      <c r="AC2104" s="5">
        <v>1</v>
      </c>
    </row>
    <row r="2105" spans="1:29" x14ac:dyDescent="0.3">
      <c r="A2105" s="34">
        <v>46274</v>
      </c>
      <c r="B2105" s="34">
        <v>46274</v>
      </c>
      <c r="C2105" s="5" t="s">
        <v>78</v>
      </c>
      <c r="D2105" s="5" t="s">
        <v>79</v>
      </c>
      <c r="E2105" s="5" t="s">
        <v>80</v>
      </c>
      <c r="F2105" s="5">
        <v>2463</v>
      </c>
      <c r="G2105" s="5" t="s">
        <v>6403</v>
      </c>
      <c r="H2105" s="5" t="s">
        <v>6404</v>
      </c>
      <c r="I2105" s="5" t="s">
        <v>212</v>
      </c>
      <c r="N2105" s="5" t="s">
        <v>6405</v>
      </c>
      <c r="O2105" s="5">
        <v>473.85</v>
      </c>
      <c r="P2105" s="5">
        <v>474.9</v>
      </c>
      <c r="Q2105" s="5">
        <v>454.9</v>
      </c>
      <c r="R2105" s="5">
        <v>463.8</v>
      </c>
      <c r="S2105" s="5">
        <v>463.7</v>
      </c>
      <c r="T2105" s="5">
        <v>477</v>
      </c>
      <c r="V2105" s="5">
        <v>463.8</v>
      </c>
      <c r="Y2105" s="5">
        <v>5087063</v>
      </c>
      <c r="Z2105" s="5">
        <v>2361082664.75</v>
      </c>
      <c r="AA2105" s="5">
        <v>84291</v>
      </c>
      <c r="AB2105" s="5" t="s">
        <v>85</v>
      </c>
      <c r="AC2105" s="5">
        <v>1</v>
      </c>
    </row>
    <row r="2106" spans="1:29" x14ac:dyDescent="0.3">
      <c r="A2106" s="34">
        <v>46274</v>
      </c>
      <c r="B2106" s="34">
        <v>46274</v>
      </c>
      <c r="C2106" s="5" t="s">
        <v>78</v>
      </c>
      <c r="D2106" s="5" t="s">
        <v>79</v>
      </c>
      <c r="E2106" s="5" t="s">
        <v>80</v>
      </c>
      <c r="F2106" s="5">
        <v>8469</v>
      </c>
      <c r="G2106" s="5" t="s">
        <v>6406</v>
      </c>
      <c r="H2106" s="5" t="s">
        <v>6407</v>
      </c>
      <c r="I2106" s="5" t="s">
        <v>212</v>
      </c>
      <c r="N2106" s="5" t="s">
        <v>6408</v>
      </c>
      <c r="O2106" s="5">
        <v>81.400000000000006</v>
      </c>
      <c r="P2106" s="5">
        <v>88.85</v>
      </c>
      <c r="Q2106" s="5">
        <v>81.400000000000006</v>
      </c>
      <c r="R2106" s="5">
        <v>82.27</v>
      </c>
      <c r="S2106" s="5">
        <v>81.98</v>
      </c>
      <c r="T2106" s="5">
        <v>80.739999999999995</v>
      </c>
      <c r="V2106" s="5">
        <v>82.27</v>
      </c>
      <c r="Y2106" s="5">
        <v>56492</v>
      </c>
      <c r="Z2106" s="5">
        <v>4810177.5199999996</v>
      </c>
      <c r="AA2106" s="5">
        <v>507</v>
      </c>
      <c r="AB2106" s="5" t="s">
        <v>85</v>
      </c>
      <c r="AC2106" s="5">
        <v>1</v>
      </c>
    </row>
    <row r="2107" spans="1:29" x14ac:dyDescent="0.3">
      <c r="A2107" s="34">
        <v>46274</v>
      </c>
      <c r="B2107" s="34">
        <v>46274</v>
      </c>
      <c r="C2107" s="5" t="s">
        <v>78</v>
      </c>
      <c r="D2107" s="5" t="s">
        <v>79</v>
      </c>
      <c r="E2107" s="5" t="s">
        <v>80</v>
      </c>
      <c r="F2107" s="5">
        <v>18562</v>
      </c>
      <c r="G2107" s="5" t="s">
        <v>6409</v>
      </c>
      <c r="H2107" s="5" t="s">
        <v>6410</v>
      </c>
      <c r="I2107" s="5" t="s">
        <v>212</v>
      </c>
      <c r="N2107" s="5" t="s">
        <v>6411</v>
      </c>
      <c r="O2107" s="5">
        <v>0.88</v>
      </c>
      <c r="P2107" s="5">
        <v>0.92</v>
      </c>
      <c r="Q2107" s="5">
        <v>0.87</v>
      </c>
      <c r="R2107" s="5">
        <v>0.88</v>
      </c>
      <c r="S2107" s="5">
        <v>0.89</v>
      </c>
      <c r="T2107" s="5">
        <v>0.86</v>
      </c>
      <c r="V2107" s="5">
        <v>0.88</v>
      </c>
      <c r="Y2107" s="5">
        <v>1286326</v>
      </c>
      <c r="Z2107" s="5">
        <v>1147967.1399999999</v>
      </c>
      <c r="AA2107" s="5">
        <v>598</v>
      </c>
      <c r="AB2107" s="5" t="s">
        <v>85</v>
      </c>
      <c r="AC2107" s="5">
        <v>1</v>
      </c>
    </row>
    <row r="2108" spans="1:29" x14ac:dyDescent="0.3">
      <c r="A2108" s="34">
        <v>46274</v>
      </c>
      <c r="B2108" s="34">
        <v>46274</v>
      </c>
      <c r="C2108" s="5" t="s">
        <v>78</v>
      </c>
      <c r="D2108" s="5" t="s">
        <v>79</v>
      </c>
      <c r="E2108" s="5" t="s">
        <v>80</v>
      </c>
      <c r="F2108" s="5">
        <v>13844</v>
      </c>
      <c r="G2108" s="5" t="s">
        <v>6412</v>
      </c>
      <c r="H2108" s="5" t="s">
        <v>6413</v>
      </c>
      <c r="I2108" s="5" t="s">
        <v>212</v>
      </c>
      <c r="N2108" s="5" t="s">
        <v>6414</v>
      </c>
      <c r="O2108" s="5">
        <v>613.75</v>
      </c>
      <c r="P2108" s="5">
        <v>628.75</v>
      </c>
      <c r="Q2108" s="5">
        <v>609.4</v>
      </c>
      <c r="R2108" s="5">
        <v>616.95000000000005</v>
      </c>
      <c r="S2108" s="5">
        <v>619.9</v>
      </c>
      <c r="T2108" s="5">
        <v>615.85</v>
      </c>
      <c r="V2108" s="5">
        <v>616.98</v>
      </c>
      <c r="Y2108" s="5">
        <v>91871</v>
      </c>
      <c r="Z2108" s="5">
        <v>56964031.100000001</v>
      </c>
      <c r="AA2108" s="5">
        <v>8144</v>
      </c>
      <c r="AB2108" s="5" t="s">
        <v>85</v>
      </c>
      <c r="AC2108" s="5">
        <v>1</v>
      </c>
    </row>
    <row r="2109" spans="1:29" x14ac:dyDescent="0.3">
      <c r="A2109" s="34">
        <v>46274</v>
      </c>
      <c r="B2109" s="34">
        <v>46274</v>
      </c>
      <c r="C2109" s="5" t="s">
        <v>78</v>
      </c>
      <c r="D2109" s="5" t="s">
        <v>79</v>
      </c>
      <c r="E2109" s="5" t="s">
        <v>80</v>
      </c>
      <c r="F2109" s="5">
        <v>16395</v>
      </c>
      <c r="G2109" s="5" t="s">
        <v>6415</v>
      </c>
      <c r="H2109" s="5" t="s">
        <v>6416</v>
      </c>
      <c r="I2109" s="5" t="s">
        <v>212</v>
      </c>
      <c r="N2109" s="5" t="s">
        <v>6417</v>
      </c>
      <c r="O2109" s="5">
        <v>475.7</v>
      </c>
      <c r="P2109" s="5">
        <v>483</v>
      </c>
      <c r="Q2109" s="5">
        <v>453</v>
      </c>
      <c r="R2109" s="5">
        <v>460.25</v>
      </c>
      <c r="S2109" s="5">
        <v>466</v>
      </c>
      <c r="T2109" s="5">
        <v>478.5</v>
      </c>
      <c r="V2109" s="5">
        <v>460.25</v>
      </c>
      <c r="Y2109" s="5">
        <v>82983</v>
      </c>
      <c r="Z2109" s="5">
        <v>38821152.399999999</v>
      </c>
      <c r="AA2109" s="5">
        <v>3075</v>
      </c>
      <c r="AB2109" s="5" t="s">
        <v>85</v>
      </c>
      <c r="AC2109" s="5">
        <v>1</v>
      </c>
    </row>
    <row r="2110" spans="1:29" x14ac:dyDescent="0.3">
      <c r="A2110" s="34">
        <v>46274</v>
      </c>
      <c r="B2110" s="34">
        <v>46274</v>
      </c>
      <c r="C2110" s="5" t="s">
        <v>78</v>
      </c>
      <c r="D2110" s="5" t="s">
        <v>79</v>
      </c>
      <c r="E2110" s="5" t="s">
        <v>80</v>
      </c>
      <c r="F2110" s="5">
        <v>17957</v>
      </c>
      <c r="G2110" s="5" t="s">
        <v>6418</v>
      </c>
      <c r="H2110" s="5" t="s">
        <v>6419</v>
      </c>
      <c r="I2110" s="5" t="s">
        <v>212</v>
      </c>
      <c r="N2110" s="5" t="s">
        <v>6420</v>
      </c>
      <c r="O2110" s="5">
        <v>63.29</v>
      </c>
      <c r="P2110" s="5">
        <v>63.62</v>
      </c>
      <c r="Q2110" s="5">
        <v>62.5</v>
      </c>
      <c r="R2110" s="5">
        <v>62.76</v>
      </c>
      <c r="S2110" s="5">
        <v>62.83</v>
      </c>
      <c r="T2110" s="5">
        <v>63.19</v>
      </c>
      <c r="V2110" s="5">
        <v>62.76</v>
      </c>
      <c r="Y2110" s="5">
        <v>972735</v>
      </c>
      <c r="Z2110" s="5">
        <v>61182284.799999997</v>
      </c>
      <c r="AA2110" s="5">
        <v>6590</v>
      </c>
      <c r="AB2110" s="5" t="s">
        <v>85</v>
      </c>
      <c r="AC2110" s="5">
        <v>1</v>
      </c>
    </row>
    <row r="2111" spans="1:29" x14ac:dyDescent="0.3">
      <c r="A2111" s="34">
        <v>46274</v>
      </c>
      <c r="B2111" s="34">
        <v>46274</v>
      </c>
      <c r="C2111" s="5" t="s">
        <v>78</v>
      </c>
      <c r="D2111" s="5" t="s">
        <v>79</v>
      </c>
      <c r="E2111" s="5" t="s">
        <v>80</v>
      </c>
      <c r="F2111" s="5">
        <v>2241</v>
      </c>
      <c r="G2111" s="5" t="s">
        <v>6421</v>
      </c>
      <c r="H2111" s="5" t="s">
        <v>6422</v>
      </c>
      <c r="I2111" s="5" t="s">
        <v>212</v>
      </c>
      <c r="N2111" s="5" t="s">
        <v>6423</v>
      </c>
      <c r="O2111" s="5">
        <v>53.9</v>
      </c>
      <c r="P2111" s="5">
        <v>54.7</v>
      </c>
      <c r="Q2111" s="5">
        <v>53.05</v>
      </c>
      <c r="R2111" s="5">
        <v>53.91</v>
      </c>
      <c r="S2111" s="5">
        <v>53.4</v>
      </c>
      <c r="T2111" s="5">
        <v>52.96</v>
      </c>
      <c r="V2111" s="5">
        <v>53.81</v>
      </c>
      <c r="Y2111" s="5">
        <v>3023</v>
      </c>
      <c r="Z2111" s="5">
        <v>162789.68</v>
      </c>
      <c r="AA2111" s="5">
        <v>52</v>
      </c>
      <c r="AB2111" s="5" t="s">
        <v>85</v>
      </c>
      <c r="AC2111" s="5">
        <v>1</v>
      </c>
    </row>
    <row r="2112" spans="1:29" x14ac:dyDescent="0.3">
      <c r="A2112" s="34">
        <v>46274</v>
      </c>
      <c r="B2112" s="34">
        <v>46274</v>
      </c>
      <c r="C2112" s="5" t="s">
        <v>78</v>
      </c>
      <c r="D2112" s="5" t="s">
        <v>79</v>
      </c>
      <c r="E2112" s="5" t="s">
        <v>80</v>
      </c>
      <c r="F2112" s="5">
        <v>760277</v>
      </c>
      <c r="G2112" s="5" t="s">
        <v>6424</v>
      </c>
      <c r="H2112" s="5" t="s">
        <v>6425</v>
      </c>
      <c r="I2112" s="5" t="s">
        <v>212</v>
      </c>
      <c r="N2112" s="5" t="s">
        <v>6426</v>
      </c>
      <c r="O2112" s="5">
        <v>363</v>
      </c>
      <c r="P2112" s="5">
        <v>363</v>
      </c>
      <c r="Q2112" s="5">
        <v>345</v>
      </c>
      <c r="R2112" s="5">
        <v>349.1</v>
      </c>
      <c r="S2112" s="5">
        <v>346.05</v>
      </c>
      <c r="T2112" s="5">
        <v>353.6</v>
      </c>
      <c r="V2112" s="5">
        <v>349.41</v>
      </c>
      <c r="Y2112" s="5">
        <v>3983</v>
      </c>
      <c r="Z2112" s="5">
        <v>1405828.55</v>
      </c>
      <c r="AA2112" s="5">
        <v>198</v>
      </c>
      <c r="AB2112" s="5" t="s">
        <v>85</v>
      </c>
      <c r="AC2112" s="5">
        <v>1</v>
      </c>
    </row>
    <row r="2113" spans="1:29" x14ac:dyDescent="0.3">
      <c r="A2113" s="34">
        <v>46274</v>
      </c>
      <c r="B2113" s="34">
        <v>46274</v>
      </c>
      <c r="C2113" s="5" t="s">
        <v>78</v>
      </c>
      <c r="D2113" s="5" t="s">
        <v>79</v>
      </c>
      <c r="E2113" s="5" t="s">
        <v>80</v>
      </c>
      <c r="F2113" s="5">
        <v>2229</v>
      </c>
      <c r="G2113" s="5" t="s">
        <v>6427</v>
      </c>
      <c r="H2113" s="5" t="s">
        <v>6428</v>
      </c>
      <c r="I2113" s="5" t="s">
        <v>212</v>
      </c>
      <c r="N2113" s="5" t="s">
        <v>6429</v>
      </c>
      <c r="O2113" s="5">
        <v>126.89</v>
      </c>
      <c r="P2113" s="5">
        <v>129.4</v>
      </c>
      <c r="Q2113" s="5">
        <v>124</v>
      </c>
      <c r="R2113" s="5">
        <v>125.89</v>
      </c>
      <c r="S2113" s="5">
        <v>126.98</v>
      </c>
      <c r="T2113" s="5">
        <v>124.72</v>
      </c>
      <c r="V2113" s="5">
        <v>125.9</v>
      </c>
      <c r="Y2113" s="5">
        <v>3150</v>
      </c>
      <c r="Z2113" s="5">
        <v>396729.72</v>
      </c>
      <c r="AA2113" s="5">
        <v>77</v>
      </c>
      <c r="AB2113" s="5" t="s">
        <v>85</v>
      </c>
      <c r="AC2113" s="5">
        <v>1</v>
      </c>
    </row>
    <row r="2114" spans="1:29" x14ac:dyDescent="0.3">
      <c r="A2114" s="34">
        <v>46274</v>
      </c>
      <c r="B2114" s="34">
        <v>46274</v>
      </c>
      <c r="C2114" s="5" t="s">
        <v>78</v>
      </c>
      <c r="D2114" s="5" t="s">
        <v>79</v>
      </c>
      <c r="E2114" s="5" t="s">
        <v>80</v>
      </c>
      <c r="F2114" s="5">
        <v>759752</v>
      </c>
      <c r="G2114" s="5" t="s">
        <v>6430</v>
      </c>
      <c r="H2114" s="5" t="s">
        <v>6431</v>
      </c>
      <c r="I2114" s="5" t="s">
        <v>212</v>
      </c>
      <c r="N2114" s="5" t="s">
        <v>6432</v>
      </c>
      <c r="O2114" s="5">
        <v>377.05</v>
      </c>
      <c r="P2114" s="5">
        <v>379.95</v>
      </c>
      <c r="Q2114" s="5">
        <v>370</v>
      </c>
      <c r="R2114" s="5">
        <v>371.45</v>
      </c>
      <c r="S2114" s="5">
        <v>372.5</v>
      </c>
      <c r="T2114" s="5">
        <v>376</v>
      </c>
      <c r="V2114" s="5">
        <v>371.36</v>
      </c>
      <c r="Y2114" s="5">
        <v>18094</v>
      </c>
      <c r="Z2114" s="5">
        <v>6784163.5999999996</v>
      </c>
      <c r="AA2114" s="5">
        <v>1069</v>
      </c>
      <c r="AB2114" s="5" t="s">
        <v>85</v>
      </c>
      <c r="AC2114" s="5">
        <v>1</v>
      </c>
    </row>
    <row r="2115" spans="1:29" x14ac:dyDescent="0.3">
      <c r="A2115" s="34">
        <v>46274</v>
      </c>
      <c r="B2115" s="34">
        <v>46274</v>
      </c>
      <c r="C2115" s="5" t="s">
        <v>78</v>
      </c>
      <c r="D2115" s="5" t="s">
        <v>79</v>
      </c>
      <c r="E2115" s="5" t="s">
        <v>80</v>
      </c>
      <c r="F2115" s="5">
        <v>3316</v>
      </c>
      <c r="G2115" s="5" t="s">
        <v>6433</v>
      </c>
      <c r="H2115" s="5" t="s">
        <v>6434</v>
      </c>
      <c r="I2115" s="5" t="s">
        <v>212</v>
      </c>
      <c r="N2115" s="5" t="s">
        <v>6435</v>
      </c>
      <c r="O2115" s="5">
        <v>515</v>
      </c>
      <c r="P2115" s="5">
        <v>522.4</v>
      </c>
      <c r="Q2115" s="5">
        <v>481</v>
      </c>
      <c r="R2115" s="5">
        <v>490.3</v>
      </c>
      <c r="S2115" s="5">
        <v>494</v>
      </c>
      <c r="T2115" s="5">
        <v>499.35</v>
      </c>
      <c r="V2115" s="5">
        <v>490.04</v>
      </c>
      <c r="Y2115" s="5">
        <v>268225</v>
      </c>
      <c r="Z2115" s="5">
        <v>134465794.84999999</v>
      </c>
      <c r="AA2115" s="5">
        <v>8020</v>
      </c>
      <c r="AB2115" s="5" t="s">
        <v>85</v>
      </c>
      <c r="AC2115" s="5">
        <v>1</v>
      </c>
    </row>
    <row r="2116" spans="1:29" x14ac:dyDescent="0.3">
      <c r="A2116" s="34">
        <v>46274</v>
      </c>
      <c r="B2116" s="34">
        <v>46274</v>
      </c>
      <c r="C2116" s="5" t="s">
        <v>78</v>
      </c>
      <c r="D2116" s="5" t="s">
        <v>79</v>
      </c>
      <c r="E2116" s="5" t="s">
        <v>80</v>
      </c>
      <c r="F2116" s="5">
        <v>1426</v>
      </c>
      <c r="G2116" s="5" t="s">
        <v>6436</v>
      </c>
      <c r="H2116" s="5" t="s">
        <v>6437</v>
      </c>
      <c r="I2116" s="5" t="s">
        <v>313</v>
      </c>
      <c r="N2116" s="5" t="s">
        <v>6438</v>
      </c>
      <c r="O2116" s="5">
        <v>32.299999999999997</v>
      </c>
      <c r="P2116" s="5">
        <v>32.299999999999997</v>
      </c>
      <c r="Q2116" s="5">
        <v>31</v>
      </c>
      <c r="R2116" s="5">
        <v>31</v>
      </c>
      <c r="S2116" s="5">
        <v>31</v>
      </c>
      <c r="T2116" s="5">
        <v>30.8</v>
      </c>
      <c r="V2116" s="5">
        <v>31</v>
      </c>
      <c r="Y2116" s="5">
        <v>4500</v>
      </c>
      <c r="Z2116" s="5">
        <v>143400</v>
      </c>
      <c r="AA2116" s="5">
        <v>3</v>
      </c>
      <c r="AB2116" s="5" t="s">
        <v>85</v>
      </c>
      <c r="AC2116" s="5">
        <v>1500</v>
      </c>
    </row>
    <row r="2117" spans="1:29" x14ac:dyDescent="0.3">
      <c r="A2117" s="34">
        <v>46274</v>
      </c>
      <c r="B2117" s="34">
        <v>46274</v>
      </c>
      <c r="C2117" s="5" t="s">
        <v>78</v>
      </c>
      <c r="D2117" s="5" t="s">
        <v>79</v>
      </c>
      <c r="E2117" s="5" t="s">
        <v>80</v>
      </c>
      <c r="F2117" s="5">
        <v>29423</v>
      </c>
      <c r="G2117" s="5" t="s">
        <v>6439</v>
      </c>
      <c r="H2117" s="5" t="s">
        <v>6440</v>
      </c>
      <c r="I2117" s="5" t="s">
        <v>212</v>
      </c>
      <c r="N2117" s="5" t="s">
        <v>6441</v>
      </c>
      <c r="O2117" s="5">
        <v>24.4</v>
      </c>
      <c r="P2117" s="5">
        <v>24.8</v>
      </c>
      <c r="Q2117" s="5">
        <v>23</v>
      </c>
      <c r="R2117" s="5">
        <v>23.23</v>
      </c>
      <c r="S2117" s="5">
        <v>23.1</v>
      </c>
      <c r="T2117" s="5">
        <v>23.5</v>
      </c>
      <c r="V2117" s="5">
        <v>23.31</v>
      </c>
      <c r="Y2117" s="5">
        <v>6998</v>
      </c>
      <c r="Z2117" s="5">
        <v>163057.59</v>
      </c>
      <c r="AA2117" s="5">
        <v>99</v>
      </c>
      <c r="AB2117" s="5" t="s">
        <v>85</v>
      </c>
      <c r="AC2117" s="5">
        <v>1</v>
      </c>
    </row>
    <row r="2118" spans="1:29" x14ac:dyDescent="0.3">
      <c r="A2118" s="34">
        <v>46274</v>
      </c>
      <c r="B2118" s="34">
        <v>46274</v>
      </c>
      <c r="C2118" s="5" t="s">
        <v>78</v>
      </c>
      <c r="D2118" s="5" t="s">
        <v>79</v>
      </c>
      <c r="E2118" s="5" t="s">
        <v>80</v>
      </c>
      <c r="F2118" s="5">
        <v>765130</v>
      </c>
      <c r="G2118" s="5" t="s">
        <v>6442</v>
      </c>
      <c r="H2118" s="5" t="s">
        <v>6443</v>
      </c>
      <c r="I2118" s="5" t="s">
        <v>212</v>
      </c>
      <c r="N2118" s="5" t="s">
        <v>6444</v>
      </c>
      <c r="O2118" s="5">
        <v>2.78</v>
      </c>
      <c r="P2118" s="5">
        <v>2.84</v>
      </c>
      <c r="Q2118" s="5">
        <v>2.66</v>
      </c>
      <c r="R2118" s="5">
        <v>2.74</v>
      </c>
      <c r="S2118" s="5">
        <v>2.76</v>
      </c>
      <c r="T2118" s="5">
        <v>2.71</v>
      </c>
      <c r="V2118" s="5">
        <v>2.73</v>
      </c>
      <c r="Y2118" s="5">
        <v>90916</v>
      </c>
      <c r="Z2118" s="5">
        <v>248880.44</v>
      </c>
      <c r="AA2118" s="5">
        <v>117</v>
      </c>
      <c r="AB2118" s="5" t="s">
        <v>85</v>
      </c>
      <c r="AC2118" s="5">
        <v>1</v>
      </c>
    </row>
    <row r="2119" spans="1:29" x14ac:dyDescent="0.3">
      <c r="A2119" s="34">
        <v>46274</v>
      </c>
      <c r="B2119" s="34">
        <v>46274</v>
      </c>
      <c r="C2119" s="5" t="s">
        <v>78</v>
      </c>
      <c r="D2119" s="5" t="s">
        <v>79</v>
      </c>
      <c r="E2119" s="5" t="s">
        <v>80</v>
      </c>
      <c r="F2119" s="5">
        <v>20830</v>
      </c>
      <c r="G2119" s="5" t="s">
        <v>6445</v>
      </c>
      <c r="H2119" s="5" t="s">
        <v>6446</v>
      </c>
      <c r="I2119" s="5" t="s">
        <v>212</v>
      </c>
      <c r="N2119" s="5" t="s">
        <v>6447</v>
      </c>
      <c r="O2119" s="5">
        <v>251.69</v>
      </c>
      <c r="P2119" s="5">
        <v>254.2</v>
      </c>
      <c r="Q2119" s="5">
        <v>250</v>
      </c>
      <c r="R2119" s="5">
        <v>251.95</v>
      </c>
      <c r="S2119" s="5">
        <v>252</v>
      </c>
      <c r="T2119" s="5">
        <v>251.49</v>
      </c>
      <c r="V2119" s="5">
        <v>251.95</v>
      </c>
      <c r="Y2119" s="5">
        <v>587080</v>
      </c>
      <c r="Z2119" s="5">
        <v>148136131.09999999</v>
      </c>
      <c r="AA2119" s="5">
        <v>11276</v>
      </c>
      <c r="AB2119" s="5" t="s">
        <v>85</v>
      </c>
      <c r="AC2119" s="5">
        <v>1</v>
      </c>
    </row>
    <row r="2120" spans="1:29" x14ac:dyDescent="0.3">
      <c r="A2120" s="34">
        <v>46274</v>
      </c>
      <c r="B2120" s="34">
        <v>46274</v>
      </c>
      <c r="C2120" s="5" t="s">
        <v>78</v>
      </c>
      <c r="D2120" s="5" t="s">
        <v>79</v>
      </c>
      <c r="E2120" s="5" t="s">
        <v>80</v>
      </c>
      <c r="F2120" s="5">
        <v>3586</v>
      </c>
      <c r="G2120" s="5" t="s">
        <v>6448</v>
      </c>
      <c r="H2120" s="5" t="s">
        <v>6449</v>
      </c>
      <c r="I2120" s="5" t="s">
        <v>212</v>
      </c>
      <c r="N2120" s="5" t="s">
        <v>6450</v>
      </c>
      <c r="O2120" s="5">
        <v>9.9499999999999993</v>
      </c>
      <c r="P2120" s="5">
        <v>10.99</v>
      </c>
      <c r="Q2120" s="5">
        <v>9.9499999999999993</v>
      </c>
      <c r="R2120" s="5">
        <v>10.3</v>
      </c>
      <c r="S2120" s="5">
        <v>10.23</v>
      </c>
      <c r="T2120" s="5">
        <v>10</v>
      </c>
      <c r="V2120" s="5">
        <v>10.3</v>
      </c>
      <c r="Y2120" s="5">
        <v>224126</v>
      </c>
      <c r="Z2120" s="5">
        <v>2333090.96</v>
      </c>
      <c r="AA2120" s="5">
        <v>551</v>
      </c>
      <c r="AB2120" s="5" t="s">
        <v>85</v>
      </c>
      <c r="AC2120" s="5">
        <v>1</v>
      </c>
    </row>
    <row r="2121" spans="1:29" x14ac:dyDescent="0.3">
      <c r="A2121" s="34">
        <v>46274</v>
      </c>
      <c r="B2121" s="34">
        <v>46274</v>
      </c>
      <c r="C2121" s="5" t="s">
        <v>78</v>
      </c>
      <c r="D2121" s="5" t="s">
        <v>79</v>
      </c>
      <c r="E2121" s="5" t="s">
        <v>80</v>
      </c>
      <c r="F2121" s="5">
        <v>764548</v>
      </c>
      <c r="G2121" s="5" t="s">
        <v>6451</v>
      </c>
      <c r="H2121" s="5" t="s">
        <v>6452</v>
      </c>
      <c r="I2121" s="5" t="s">
        <v>212</v>
      </c>
      <c r="N2121" s="5" t="s">
        <v>6453</v>
      </c>
      <c r="O2121" s="5">
        <v>1119</v>
      </c>
      <c r="P2121" s="5">
        <v>1293.5</v>
      </c>
      <c r="Q2121" s="5">
        <v>1111.5</v>
      </c>
      <c r="R2121" s="5">
        <v>1257.9000000000001</v>
      </c>
      <c r="S2121" s="5">
        <v>1268.8</v>
      </c>
      <c r="T2121" s="5">
        <v>1117.5</v>
      </c>
      <c r="V2121" s="5">
        <v>1257.9100000000001</v>
      </c>
      <c r="Y2121" s="5">
        <v>9414132</v>
      </c>
      <c r="Z2121" s="5">
        <v>11785010347.5</v>
      </c>
      <c r="AA2121" s="5">
        <v>310707</v>
      </c>
      <c r="AB2121" s="5" t="s">
        <v>85</v>
      </c>
      <c r="AC2121" s="5">
        <v>1</v>
      </c>
    </row>
    <row r="2122" spans="1:29" x14ac:dyDescent="0.3">
      <c r="A2122" s="34">
        <v>46274</v>
      </c>
      <c r="B2122" s="34">
        <v>46274</v>
      </c>
      <c r="C2122" s="5" t="s">
        <v>78</v>
      </c>
      <c r="D2122" s="5" t="s">
        <v>79</v>
      </c>
      <c r="E2122" s="5" t="s">
        <v>80</v>
      </c>
      <c r="F2122" s="5">
        <v>6713</v>
      </c>
      <c r="G2122" s="5" t="s">
        <v>6454</v>
      </c>
      <c r="H2122" s="5" t="s">
        <v>6455</v>
      </c>
      <c r="I2122" s="5" t="s">
        <v>212</v>
      </c>
      <c r="N2122" s="5" t="s">
        <v>6456</v>
      </c>
      <c r="O2122" s="5">
        <v>694</v>
      </c>
      <c r="P2122" s="5">
        <v>699.95</v>
      </c>
      <c r="Q2122" s="5">
        <v>685.15</v>
      </c>
      <c r="R2122" s="5">
        <v>690.2</v>
      </c>
      <c r="S2122" s="5">
        <v>685.9</v>
      </c>
      <c r="T2122" s="5">
        <v>697.55</v>
      </c>
      <c r="V2122" s="5">
        <v>690.14</v>
      </c>
      <c r="Y2122" s="5">
        <v>63868</v>
      </c>
      <c r="Z2122" s="5">
        <v>44084464.799999997</v>
      </c>
      <c r="AA2122" s="5">
        <v>7271</v>
      </c>
      <c r="AB2122" s="5" t="s">
        <v>85</v>
      </c>
      <c r="AC2122" s="5">
        <v>1</v>
      </c>
    </row>
    <row r="2123" spans="1:29" x14ac:dyDescent="0.3">
      <c r="A2123" s="34">
        <v>46274</v>
      </c>
      <c r="B2123" s="34">
        <v>46274</v>
      </c>
      <c r="C2123" s="5" t="s">
        <v>78</v>
      </c>
      <c r="D2123" s="5" t="s">
        <v>79</v>
      </c>
      <c r="E2123" s="5" t="s">
        <v>80</v>
      </c>
      <c r="F2123" s="5">
        <v>17629</v>
      </c>
      <c r="G2123" s="5" t="s">
        <v>6457</v>
      </c>
      <c r="H2123" s="5" t="s">
        <v>6458</v>
      </c>
      <c r="I2123" s="5" t="s">
        <v>234</v>
      </c>
      <c r="N2123" s="5" t="s">
        <v>6459</v>
      </c>
      <c r="O2123" s="5">
        <v>218.27</v>
      </c>
      <c r="P2123" s="5">
        <v>224.4</v>
      </c>
      <c r="Q2123" s="5">
        <v>210</v>
      </c>
      <c r="R2123" s="5">
        <v>212.51</v>
      </c>
      <c r="S2123" s="5">
        <v>213</v>
      </c>
      <c r="T2123" s="5">
        <v>218.27</v>
      </c>
      <c r="V2123" s="5">
        <v>212.59</v>
      </c>
      <c r="Y2123" s="5">
        <v>35303</v>
      </c>
      <c r="Z2123" s="5">
        <v>7543948.0099999998</v>
      </c>
      <c r="AA2123" s="5">
        <v>624</v>
      </c>
      <c r="AB2123" s="5" t="s">
        <v>85</v>
      </c>
      <c r="AC2123" s="5">
        <v>1</v>
      </c>
    </row>
    <row r="2124" spans="1:29" x14ac:dyDescent="0.3">
      <c r="A2124" s="34">
        <v>46274</v>
      </c>
      <c r="B2124" s="34">
        <v>46274</v>
      </c>
      <c r="C2124" s="5" t="s">
        <v>78</v>
      </c>
      <c r="D2124" s="5" t="s">
        <v>79</v>
      </c>
      <c r="E2124" s="5" t="s">
        <v>80</v>
      </c>
      <c r="F2124" s="5">
        <v>7679</v>
      </c>
      <c r="G2124" s="5" t="s">
        <v>6460</v>
      </c>
      <c r="H2124" s="5" t="s">
        <v>6461</v>
      </c>
      <c r="I2124" s="5" t="s">
        <v>212</v>
      </c>
      <c r="N2124" s="5" t="s">
        <v>6462</v>
      </c>
      <c r="O2124" s="5">
        <v>381.7</v>
      </c>
      <c r="P2124" s="5">
        <v>381.7</v>
      </c>
      <c r="Q2124" s="5">
        <v>369.9</v>
      </c>
      <c r="R2124" s="5">
        <v>370.95</v>
      </c>
      <c r="S2124" s="5">
        <v>371.1</v>
      </c>
      <c r="T2124" s="5">
        <v>382.45</v>
      </c>
      <c r="V2124" s="5">
        <v>370.95</v>
      </c>
      <c r="Y2124" s="5">
        <v>113673</v>
      </c>
      <c r="Z2124" s="5">
        <v>42438515</v>
      </c>
      <c r="AA2124" s="5">
        <v>2175</v>
      </c>
      <c r="AB2124" s="5" t="s">
        <v>85</v>
      </c>
      <c r="AC2124" s="5">
        <v>1</v>
      </c>
    </row>
    <row r="2125" spans="1:29" x14ac:dyDescent="0.3">
      <c r="A2125" s="34">
        <v>46274</v>
      </c>
      <c r="B2125" s="34">
        <v>46274</v>
      </c>
      <c r="C2125" s="5" t="s">
        <v>78</v>
      </c>
      <c r="D2125" s="5" t="s">
        <v>79</v>
      </c>
      <c r="E2125" s="5" t="s">
        <v>80</v>
      </c>
      <c r="F2125" s="5">
        <v>759381</v>
      </c>
      <c r="G2125" s="5" t="s">
        <v>6463</v>
      </c>
      <c r="H2125" s="5" t="s">
        <v>6464</v>
      </c>
      <c r="I2125" s="5" t="s">
        <v>212</v>
      </c>
      <c r="N2125" s="5" t="s">
        <v>6465</v>
      </c>
      <c r="O2125" s="5">
        <v>57</v>
      </c>
      <c r="P2125" s="5">
        <v>57</v>
      </c>
      <c r="Q2125" s="5">
        <v>44.81</v>
      </c>
      <c r="R2125" s="5">
        <v>44.81</v>
      </c>
      <c r="S2125" s="5">
        <v>44.81</v>
      </c>
      <c r="T2125" s="5">
        <v>56.01</v>
      </c>
      <c r="V2125" s="5">
        <v>44.87</v>
      </c>
      <c r="Y2125" s="5">
        <v>349519</v>
      </c>
      <c r="Z2125" s="5">
        <v>16303031.98</v>
      </c>
      <c r="AA2125" s="5">
        <v>1884</v>
      </c>
      <c r="AB2125" s="5" t="s">
        <v>85</v>
      </c>
      <c r="AC2125" s="5">
        <v>1</v>
      </c>
    </row>
    <row r="2126" spans="1:29" x14ac:dyDescent="0.3">
      <c r="A2126" s="34">
        <v>46274</v>
      </c>
      <c r="B2126" s="34">
        <v>46274</v>
      </c>
      <c r="C2126" s="5" t="s">
        <v>78</v>
      </c>
      <c r="D2126" s="5" t="s">
        <v>79</v>
      </c>
      <c r="E2126" s="5" t="s">
        <v>80</v>
      </c>
      <c r="F2126" s="5">
        <v>18392</v>
      </c>
      <c r="G2126" s="5" t="s">
        <v>6466</v>
      </c>
      <c r="H2126" s="5" t="s">
        <v>6467</v>
      </c>
      <c r="I2126" s="5" t="s">
        <v>313</v>
      </c>
      <c r="N2126" s="5" t="s">
        <v>6468</v>
      </c>
      <c r="O2126" s="5">
        <v>8.8000000000000007</v>
      </c>
      <c r="P2126" s="5">
        <v>8.9499999999999993</v>
      </c>
      <c r="Q2126" s="5">
        <v>8.6</v>
      </c>
      <c r="R2126" s="5">
        <v>8.6</v>
      </c>
      <c r="S2126" s="5">
        <v>8.6</v>
      </c>
      <c r="T2126" s="5">
        <v>9</v>
      </c>
      <c r="V2126" s="5">
        <v>8.6</v>
      </c>
      <c r="Y2126" s="5">
        <v>22000</v>
      </c>
      <c r="Z2126" s="5">
        <v>195500</v>
      </c>
      <c r="AA2126" s="5">
        <v>4</v>
      </c>
      <c r="AB2126" s="5" t="s">
        <v>85</v>
      </c>
      <c r="AC2126" s="5">
        <v>2000</v>
      </c>
    </row>
    <row r="2127" spans="1:29" x14ac:dyDescent="0.3">
      <c r="A2127" s="34">
        <v>46274</v>
      </c>
      <c r="B2127" s="34">
        <v>46274</v>
      </c>
      <c r="C2127" s="5" t="s">
        <v>78</v>
      </c>
      <c r="D2127" s="5" t="s">
        <v>79</v>
      </c>
      <c r="E2127" s="5" t="s">
        <v>80</v>
      </c>
      <c r="F2127" s="5">
        <v>756958</v>
      </c>
      <c r="G2127" s="5" t="s">
        <v>6469</v>
      </c>
      <c r="H2127" s="5" t="s">
        <v>6470</v>
      </c>
      <c r="I2127" s="5" t="s">
        <v>313</v>
      </c>
      <c r="N2127" s="5" t="s">
        <v>6471</v>
      </c>
      <c r="O2127" s="5">
        <v>1318</v>
      </c>
      <c r="P2127" s="5">
        <v>1397.4</v>
      </c>
      <c r="Q2127" s="5">
        <v>1310</v>
      </c>
      <c r="R2127" s="5">
        <v>1384.95</v>
      </c>
      <c r="S2127" s="5">
        <v>1397.4</v>
      </c>
      <c r="T2127" s="5">
        <v>1320.35</v>
      </c>
      <c r="V2127" s="5">
        <v>1384.95</v>
      </c>
      <c r="Y2127" s="5">
        <v>91750</v>
      </c>
      <c r="Z2127" s="5">
        <v>124730075</v>
      </c>
      <c r="AA2127" s="5">
        <v>309</v>
      </c>
      <c r="AB2127" s="5" t="s">
        <v>85</v>
      </c>
      <c r="AC2127" s="5">
        <v>250</v>
      </c>
    </row>
    <row r="2128" spans="1:29" x14ac:dyDescent="0.3">
      <c r="A2128" s="34">
        <v>46274</v>
      </c>
      <c r="B2128" s="34">
        <v>46274</v>
      </c>
      <c r="C2128" s="5" t="s">
        <v>78</v>
      </c>
      <c r="D2128" s="5" t="s">
        <v>79</v>
      </c>
      <c r="E2128" s="5" t="s">
        <v>80</v>
      </c>
      <c r="F2128" s="5">
        <v>5938</v>
      </c>
      <c r="G2128" s="5" t="s">
        <v>6472</v>
      </c>
      <c r="H2128" s="5" t="s">
        <v>6473</v>
      </c>
      <c r="I2128" s="5" t="s">
        <v>212</v>
      </c>
      <c r="N2128" s="5" t="s">
        <v>6474</v>
      </c>
      <c r="O2128" s="5">
        <v>562.15</v>
      </c>
      <c r="P2128" s="5">
        <v>563.79999999999995</v>
      </c>
      <c r="Q2128" s="5">
        <v>548.35</v>
      </c>
      <c r="R2128" s="5">
        <v>553.29999999999995</v>
      </c>
      <c r="S2128" s="5">
        <v>550.25</v>
      </c>
      <c r="T2128" s="5">
        <v>558.5</v>
      </c>
      <c r="V2128" s="5">
        <v>553.37</v>
      </c>
      <c r="Y2128" s="5">
        <v>88323</v>
      </c>
      <c r="Z2128" s="5">
        <v>49074243.149999999</v>
      </c>
      <c r="AA2128" s="5">
        <v>2562</v>
      </c>
      <c r="AB2128" s="5" t="s">
        <v>85</v>
      </c>
      <c r="AC2128" s="5">
        <v>1</v>
      </c>
    </row>
    <row r="2129" spans="1:29" x14ac:dyDescent="0.3">
      <c r="A2129" s="34">
        <v>46274</v>
      </c>
      <c r="B2129" s="34">
        <v>46274</v>
      </c>
      <c r="C2129" s="5" t="s">
        <v>78</v>
      </c>
      <c r="D2129" s="5" t="s">
        <v>79</v>
      </c>
      <c r="E2129" s="5" t="s">
        <v>80</v>
      </c>
      <c r="F2129" s="5">
        <v>2259</v>
      </c>
      <c r="G2129" s="5" t="s">
        <v>6475</v>
      </c>
      <c r="H2129" s="5" t="s">
        <v>6476</v>
      </c>
      <c r="I2129" s="5" t="s">
        <v>212</v>
      </c>
      <c r="N2129" s="5" t="s">
        <v>6477</v>
      </c>
      <c r="O2129" s="5">
        <v>117.04</v>
      </c>
      <c r="P2129" s="5">
        <v>118.5</v>
      </c>
      <c r="Q2129" s="5">
        <v>113.68</v>
      </c>
      <c r="R2129" s="5">
        <v>116.54</v>
      </c>
      <c r="S2129" s="5">
        <v>117</v>
      </c>
      <c r="T2129" s="5">
        <v>117.16</v>
      </c>
      <c r="V2129" s="5">
        <v>116.54</v>
      </c>
      <c r="Y2129" s="5">
        <v>12527070</v>
      </c>
      <c r="Z2129" s="5">
        <v>1454938093.3399999</v>
      </c>
      <c r="AA2129" s="5">
        <v>49625</v>
      </c>
      <c r="AB2129" s="5" t="s">
        <v>85</v>
      </c>
      <c r="AC2129" s="5">
        <v>1</v>
      </c>
    </row>
    <row r="2130" spans="1:29" x14ac:dyDescent="0.3">
      <c r="A2130" s="34">
        <v>46274</v>
      </c>
      <c r="B2130" s="34">
        <v>46274</v>
      </c>
      <c r="C2130" s="5" t="s">
        <v>78</v>
      </c>
      <c r="D2130" s="5" t="s">
        <v>79</v>
      </c>
      <c r="E2130" s="5" t="s">
        <v>80</v>
      </c>
      <c r="F2130" s="5">
        <v>15057</v>
      </c>
      <c r="G2130" s="5" t="s">
        <v>6478</v>
      </c>
      <c r="H2130" s="5" t="s">
        <v>6479</v>
      </c>
      <c r="I2130" s="5" t="s">
        <v>392</v>
      </c>
      <c r="N2130" s="5" t="s">
        <v>6480</v>
      </c>
      <c r="O2130" s="5">
        <v>6.6</v>
      </c>
      <c r="P2130" s="5">
        <v>6.85</v>
      </c>
      <c r="Q2130" s="5">
        <v>6.6</v>
      </c>
      <c r="R2130" s="5">
        <v>6.6</v>
      </c>
      <c r="S2130" s="5">
        <v>6.6</v>
      </c>
      <c r="T2130" s="5">
        <v>6.9</v>
      </c>
      <c r="V2130" s="5">
        <v>6.6</v>
      </c>
      <c r="Y2130" s="5">
        <v>260000</v>
      </c>
      <c r="Z2130" s="5">
        <v>1717400</v>
      </c>
      <c r="AA2130" s="5">
        <v>58</v>
      </c>
      <c r="AB2130" s="5" t="s">
        <v>85</v>
      </c>
      <c r="AC2130" s="5">
        <v>4000</v>
      </c>
    </row>
    <row r="2131" spans="1:29" x14ac:dyDescent="0.3">
      <c r="A2131" s="34">
        <v>46274</v>
      </c>
      <c r="B2131" s="34">
        <v>46274</v>
      </c>
      <c r="C2131" s="5" t="s">
        <v>78</v>
      </c>
      <c r="D2131" s="5" t="s">
        <v>79</v>
      </c>
      <c r="E2131" s="5" t="s">
        <v>80</v>
      </c>
      <c r="F2131" s="5">
        <v>29459</v>
      </c>
      <c r="G2131" s="5" t="s">
        <v>6481</v>
      </c>
      <c r="H2131" s="5" t="s">
        <v>6482</v>
      </c>
      <c r="I2131" s="5" t="s">
        <v>212</v>
      </c>
      <c r="N2131" s="5" t="s">
        <v>6483</v>
      </c>
      <c r="O2131" s="5">
        <v>213.52</v>
      </c>
      <c r="P2131" s="5">
        <v>215</v>
      </c>
      <c r="Q2131" s="5">
        <v>210.61</v>
      </c>
      <c r="R2131" s="5">
        <v>211.41</v>
      </c>
      <c r="S2131" s="5">
        <v>211.2</v>
      </c>
      <c r="T2131" s="5">
        <v>214.26</v>
      </c>
      <c r="V2131" s="5">
        <v>211.41</v>
      </c>
      <c r="Y2131" s="5">
        <v>1353450</v>
      </c>
      <c r="Z2131" s="5">
        <v>286593015.20999998</v>
      </c>
      <c r="AA2131" s="5">
        <v>15009</v>
      </c>
      <c r="AB2131" s="5" t="s">
        <v>85</v>
      </c>
      <c r="AC2131" s="5">
        <v>1</v>
      </c>
    </row>
    <row r="2132" spans="1:29" x14ac:dyDescent="0.3">
      <c r="A2132" s="34">
        <v>46274</v>
      </c>
      <c r="B2132" s="34">
        <v>46274</v>
      </c>
      <c r="C2132" s="5" t="s">
        <v>78</v>
      </c>
      <c r="D2132" s="5" t="s">
        <v>79</v>
      </c>
      <c r="E2132" s="5" t="s">
        <v>80</v>
      </c>
      <c r="F2132" s="5">
        <v>8596</v>
      </c>
      <c r="G2132" s="5" t="s">
        <v>6484</v>
      </c>
      <c r="H2132" s="5" t="s">
        <v>6485</v>
      </c>
      <c r="I2132" s="5" t="s">
        <v>212</v>
      </c>
      <c r="N2132" s="5" t="s">
        <v>6486</v>
      </c>
      <c r="O2132" s="5">
        <v>36.53</v>
      </c>
      <c r="P2132" s="5">
        <v>37.049999999999997</v>
      </c>
      <c r="Q2132" s="5">
        <v>36.43</v>
      </c>
      <c r="R2132" s="5">
        <v>36.72</v>
      </c>
      <c r="S2132" s="5">
        <v>36.700000000000003</v>
      </c>
      <c r="T2132" s="5">
        <v>36.61</v>
      </c>
      <c r="V2132" s="5">
        <v>36.72</v>
      </c>
      <c r="Y2132" s="5">
        <v>9188167</v>
      </c>
      <c r="Z2132" s="5">
        <v>337351887.94999999</v>
      </c>
      <c r="AA2132" s="5">
        <v>51350</v>
      </c>
      <c r="AB2132" s="5" t="s">
        <v>85</v>
      </c>
      <c r="AC2132" s="5">
        <v>1</v>
      </c>
    </row>
    <row r="2133" spans="1:29" x14ac:dyDescent="0.3">
      <c r="A2133" s="34">
        <v>46274</v>
      </c>
      <c r="B2133" s="34">
        <v>46274</v>
      </c>
      <c r="C2133" s="5" t="s">
        <v>78</v>
      </c>
      <c r="D2133" s="5" t="s">
        <v>79</v>
      </c>
      <c r="E2133" s="5" t="s">
        <v>80</v>
      </c>
      <c r="F2133" s="5">
        <v>21423</v>
      </c>
      <c r="G2133" s="5" t="s">
        <v>6487</v>
      </c>
      <c r="H2133" s="5" t="s">
        <v>6488</v>
      </c>
      <c r="I2133" s="5" t="s">
        <v>212</v>
      </c>
      <c r="N2133" s="5" t="s">
        <v>6489</v>
      </c>
      <c r="O2133" s="5">
        <v>68.099999999999994</v>
      </c>
      <c r="P2133" s="5">
        <v>68.099999999999994</v>
      </c>
      <c r="Q2133" s="5">
        <v>67.36</v>
      </c>
      <c r="R2133" s="5">
        <v>67.61</v>
      </c>
      <c r="S2133" s="5">
        <v>67.5</v>
      </c>
      <c r="T2133" s="5">
        <v>67.91</v>
      </c>
      <c r="V2133" s="5">
        <v>67.61</v>
      </c>
      <c r="Y2133" s="5">
        <v>235846</v>
      </c>
      <c r="Z2133" s="5">
        <v>15962365.59</v>
      </c>
      <c r="AA2133" s="5">
        <v>2449</v>
      </c>
      <c r="AB2133" s="5" t="s">
        <v>85</v>
      </c>
      <c r="AC2133" s="5">
        <v>1</v>
      </c>
    </row>
    <row r="2134" spans="1:29" x14ac:dyDescent="0.3">
      <c r="A2134" s="34">
        <v>46274</v>
      </c>
      <c r="B2134" s="34">
        <v>46274</v>
      </c>
      <c r="C2134" s="5" t="s">
        <v>78</v>
      </c>
      <c r="D2134" s="5" t="s">
        <v>79</v>
      </c>
      <c r="E2134" s="5" t="s">
        <v>80</v>
      </c>
      <c r="F2134" s="5">
        <v>22739</v>
      </c>
      <c r="G2134" s="5" t="s">
        <v>6490</v>
      </c>
      <c r="H2134" s="5" t="s">
        <v>6491</v>
      </c>
      <c r="I2134" s="5" t="s">
        <v>212</v>
      </c>
      <c r="N2134" s="5" t="s">
        <v>6492</v>
      </c>
      <c r="O2134" s="5">
        <v>353.31</v>
      </c>
      <c r="P2134" s="5">
        <v>354.9</v>
      </c>
      <c r="Q2134" s="5">
        <v>335.16</v>
      </c>
      <c r="R2134" s="5">
        <v>340.57</v>
      </c>
      <c r="S2134" s="5">
        <v>342</v>
      </c>
      <c r="T2134" s="5">
        <v>344.7</v>
      </c>
      <c r="V2134" s="5">
        <v>340.58</v>
      </c>
      <c r="Y2134" s="5">
        <v>1496649</v>
      </c>
      <c r="Z2134" s="5">
        <v>522116522.41000003</v>
      </c>
      <c r="AA2134" s="5">
        <v>31384</v>
      </c>
      <c r="AB2134" s="5" t="s">
        <v>85</v>
      </c>
      <c r="AC2134" s="5">
        <v>1</v>
      </c>
    </row>
    <row r="2135" spans="1:29" x14ac:dyDescent="0.3">
      <c r="A2135" s="34">
        <v>46274</v>
      </c>
      <c r="B2135" s="34">
        <v>46274</v>
      </c>
      <c r="C2135" s="5" t="s">
        <v>78</v>
      </c>
      <c r="D2135" s="5" t="s">
        <v>79</v>
      </c>
      <c r="E2135" s="5" t="s">
        <v>80</v>
      </c>
      <c r="F2135" s="5">
        <v>14947</v>
      </c>
      <c r="G2135" s="5" t="s">
        <v>6493</v>
      </c>
      <c r="H2135" s="5" t="s">
        <v>6494</v>
      </c>
      <c r="I2135" s="5" t="s">
        <v>212</v>
      </c>
      <c r="N2135" s="5" t="s">
        <v>6495</v>
      </c>
      <c r="O2135" s="5">
        <v>1049.5</v>
      </c>
      <c r="P2135" s="5">
        <v>1049.5999999999999</v>
      </c>
      <c r="Q2135" s="5">
        <v>1019</v>
      </c>
      <c r="R2135" s="5">
        <v>1025</v>
      </c>
      <c r="S2135" s="5">
        <v>1025</v>
      </c>
      <c r="T2135" s="5">
        <v>1051.5</v>
      </c>
      <c r="V2135" s="5">
        <v>1024.6600000000001</v>
      </c>
      <c r="Y2135" s="5">
        <v>489071</v>
      </c>
      <c r="Z2135" s="5">
        <v>504715606.5</v>
      </c>
      <c r="AA2135" s="5">
        <v>22759</v>
      </c>
      <c r="AB2135" s="5" t="s">
        <v>85</v>
      </c>
      <c r="AC2135" s="5">
        <v>1</v>
      </c>
    </row>
    <row r="2136" spans="1:29" x14ac:dyDescent="0.3">
      <c r="A2136" s="34">
        <v>46274</v>
      </c>
      <c r="B2136" s="34">
        <v>46274</v>
      </c>
      <c r="C2136" s="5" t="s">
        <v>78</v>
      </c>
      <c r="D2136" s="5" t="s">
        <v>79</v>
      </c>
      <c r="E2136" s="5" t="s">
        <v>80</v>
      </c>
      <c r="F2136" s="5">
        <v>19289</v>
      </c>
      <c r="G2136" s="5" t="s">
        <v>6496</v>
      </c>
      <c r="H2136" s="5" t="s">
        <v>6497</v>
      </c>
      <c r="I2136" s="5" t="s">
        <v>212</v>
      </c>
      <c r="N2136" s="5" t="s">
        <v>6498</v>
      </c>
      <c r="O2136" s="5">
        <v>250.2</v>
      </c>
      <c r="P2136" s="5">
        <v>250.2</v>
      </c>
      <c r="Q2136" s="5">
        <v>245.94</v>
      </c>
      <c r="R2136" s="5">
        <v>246.16</v>
      </c>
      <c r="S2136" s="5">
        <v>246.01</v>
      </c>
      <c r="T2136" s="5">
        <v>247.72</v>
      </c>
      <c r="V2136" s="5">
        <v>246.22</v>
      </c>
      <c r="Y2136" s="5">
        <v>14108</v>
      </c>
      <c r="Z2136" s="5">
        <v>3483653.24</v>
      </c>
      <c r="AA2136" s="5">
        <v>120</v>
      </c>
      <c r="AB2136" s="5" t="s">
        <v>85</v>
      </c>
      <c r="AC2136" s="5">
        <v>1</v>
      </c>
    </row>
    <row r="2137" spans="1:29" x14ac:dyDescent="0.3">
      <c r="A2137" s="34">
        <v>46274</v>
      </c>
      <c r="B2137" s="34">
        <v>46274</v>
      </c>
      <c r="C2137" s="5" t="s">
        <v>78</v>
      </c>
      <c r="D2137" s="5" t="s">
        <v>79</v>
      </c>
      <c r="E2137" s="5" t="s">
        <v>80</v>
      </c>
      <c r="F2137" s="5">
        <v>1507</v>
      </c>
      <c r="G2137" s="5" t="s">
        <v>6499</v>
      </c>
      <c r="H2137" s="5" t="s">
        <v>6500</v>
      </c>
      <c r="I2137" s="5" t="s">
        <v>212</v>
      </c>
      <c r="N2137" s="5" t="s">
        <v>6501</v>
      </c>
      <c r="O2137" s="5">
        <v>65.69</v>
      </c>
      <c r="P2137" s="5">
        <v>65.7</v>
      </c>
      <c r="Q2137" s="5">
        <v>65.13</v>
      </c>
      <c r="R2137" s="5">
        <v>65.14</v>
      </c>
      <c r="S2137" s="5">
        <v>65.13</v>
      </c>
      <c r="T2137" s="5">
        <v>65.400000000000006</v>
      </c>
      <c r="V2137" s="5">
        <v>65.14</v>
      </c>
      <c r="Y2137" s="5">
        <v>315</v>
      </c>
      <c r="Z2137" s="5">
        <v>20615.79</v>
      </c>
      <c r="AA2137" s="5">
        <v>39</v>
      </c>
      <c r="AB2137" s="5" t="s">
        <v>85</v>
      </c>
      <c r="AC2137" s="5">
        <v>1</v>
      </c>
    </row>
    <row r="2138" spans="1:29" x14ac:dyDescent="0.3">
      <c r="A2138" s="34">
        <v>46274</v>
      </c>
      <c r="B2138" s="34">
        <v>46274</v>
      </c>
      <c r="C2138" s="5" t="s">
        <v>78</v>
      </c>
      <c r="D2138" s="5" t="s">
        <v>79</v>
      </c>
      <c r="E2138" s="5" t="s">
        <v>80</v>
      </c>
      <c r="F2138" s="5">
        <v>757669</v>
      </c>
      <c r="G2138" s="5" t="s">
        <v>6502</v>
      </c>
      <c r="H2138" s="5" t="s">
        <v>6503</v>
      </c>
      <c r="I2138" s="5" t="s">
        <v>212</v>
      </c>
      <c r="N2138" s="5" t="s">
        <v>6504</v>
      </c>
      <c r="O2138" s="5">
        <v>56.57</v>
      </c>
      <c r="P2138" s="5">
        <v>56.73</v>
      </c>
      <c r="Q2138" s="5">
        <v>56.18</v>
      </c>
      <c r="R2138" s="5">
        <v>56.57</v>
      </c>
      <c r="S2138" s="5">
        <v>56.64</v>
      </c>
      <c r="T2138" s="5">
        <v>56.34</v>
      </c>
      <c r="V2138" s="5">
        <v>56.57</v>
      </c>
      <c r="Y2138" s="5">
        <v>5752</v>
      </c>
      <c r="Z2138" s="5">
        <v>324958</v>
      </c>
      <c r="AA2138" s="5">
        <v>48</v>
      </c>
      <c r="AB2138" s="5" t="s">
        <v>85</v>
      </c>
      <c r="AC2138" s="5">
        <v>1</v>
      </c>
    </row>
    <row r="2139" spans="1:29" x14ac:dyDescent="0.3">
      <c r="A2139" s="34">
        <v>46274</v>
      </c>
      <c r="B2139" s="34">
        <v>46274</v>
      </c>
      <c r="C2139" s="5" t="s">
        <v>78</v>
      </c>
      <c r="D2139" s="5" t="s">
        <v>79</v>
      </c>
      <c r="E2139" s="5" t="s">
        <v>80</v>
      </c>
      <c r="F2139" s="5">
        <v>761693</v>
      </c>
      <c r="G2139" s="5" t="s">
        <v>6505</v>
      </c>
      <c r="H2139" s="5" t="s">
        <v>6506</v>
      </c>
      <c r="I2139" s="5" t="s">
        <v>212</v>
      </c>
      <c r="N2139" s="5" t="s">
        <v>6507</v>
      </c>
      <c r="O2139" s="5">
        <v>16.5</v>
      </c>
      <c r="P2139" s="5">
        <v>16.66</v>
      </c>
      <c r="Q2139" s="5">
        <v>16.48</v>
      </c>
      <c r="R2139" s="5">
        <v>16.55</v>
      </c>
      <c r="S2139" s="5">
        <v>16.55</v>
      </c>
      <c r="T2139" s="5">
        <v>16.649999999999999</v>
      </c>
      <c r="V2139" s="5">
        <v>16.55</v>
      </c>
      <c r="Y2139" s="5">
        <v>8406</v>
      </c>
      <c r="Z2139" s="5">
        <v>139491.06</v>
      </c>
      <c r="AA2139" s="5">
        <v>47</v>
      </c>
      <c r="AB2139" s="5" t="s">
        <v>85</v>
      </c>
      <c r="AC2139" s="5">
        <v>1</v>
      </c>
    </row>
    <row r="2140" spans="1:29" x14ac:dyDescent="0.3">
      <c r="A2140" s="34">
        <v>46274</v>
      </c>
      <c r="B2140" s="34">
        <v>46274</v>
      </c>
      <c r="C2140" s="5" t="s">
        <v>78</v>
      </c>
      <c r="D2140" s="5" t="s">
        <v>79</v>
      </c>
      <c r="E2140" s="5" t="s">
        <v>80</v>
      </c>
      <c r="F2140" s="5">
        <v>30065</v>
      </c>
      <c r="G2140" s="5" t="s">
        <v>6508</v>
      </c>
      <c r="H2140" s="5" t="s">
        <v>6509</v>
      </c>
      <c r="I2140" s="5" t="s">
        <v>212</v>
      </c>
      <c r="N2140" s="5" t="s">
        <v>6510</v>
      </c>
      <c r="O2140" s="5">
        <v>54.52</v>
      </c>
      <c r="P2140" s="5">
        <v>54.52</v>
      </c>
      <c r="Q2140" s="5">
        <v>53.71</v>
      </c>
      <c r="R2140" s="5">
        <v>53.99</v>
      </c>
      <c r="S2140" s="5">
        <v>54.1</v>
      </c>
      <c r="T2140" s="5">
        <v>54.52</v>
      </c>
      <c r="V2140" s="5">
        <v>53.99</v>
      </c>
      <c r="Y2140" s="5">
        <v>471099</v>
      </c>
      <c r="Z2140" s="5">
        <v>25450572.43</v>
      </c>
      <c r="AA2140" s="5">
        <v>2916</v>
      </c>
      <c r="AB2140" s="5" t="s">
        <v>85</v>
      </c>
      <c r="AC2140" s="5">
        <v>1</v>
      </c>
    </row>
    <row r="2141" spans="1:29" x14ac:dyDescent="0.3">
      <c r="A2141" s="34">
        <v>46274</v>
      </c>
      <c r="B2141" s="34">
        <v>46274</v>
      </c>
      <c r="C2141" s="5" t="s">
        <v>78</v>
      </c>
      <c r="D2141" s="5" t="s">
        <v>79</v>
      </c>
      <c r="E2141" s="5" t="s">
        <v>80</v>
      </c>
      <c r="F2141" s="5">
        <v>24944</v>
      </c>
      <c r="G2141" s="5" t="s">
        <v>6511</v>
      </c>
      <c r="H2141" s="5" t="s">
        <v>6512</v>
      </c>
      <c r="I2141" s="5" t="s">
        <v>212</v>
      </c>
      <c r="N2141" s="5" t="s">
        <v>6513</v>
      </c>
      <c r="O2141" s="5">
        <v>110</v>
      </c>
      <c r="P2141" s="5">
        <v>110.82</v>
      </c>
      <c r="Q2141" s="5">
        <v>108.4</v>
      </c>
      <c r="R2141" s="5">
        <v>108.87</v>
      </c>
      <c r="S2141" s="5">
        <v>109</v>
      </c>
      <c r="T2141" s="5">
        <v>109.72</v>
      </c>
      <c r="V2141" s="5">
        <v>108.87</v>
      </c>
      <c r="Y2141" s="5">
        <v>3730401</v>
      </c>
      <c r="Z2141" s="5">
        <v>407049094.69</v>
      </c>
      <c r="AA2141" s="5">
        <v>9062</v>
      </c>
      <c r="AB2141" s="5" t="s">
        <v>85</v>
      </c>
      <c r="AC2141" s="5">
        <v>1</v>
      </c>
    </row>
    <row r="2142" spans="1:29" x14ac:dyDescent="0.3">
      <c r="A2142" s="34">
        <v>46274</v>
      </c>
      <c r="B2142" s="34">
        <v>46274</v>
      </c>
      <c r="C2142" s="5" t="s">
        <v>78</v>
      </c>
      <c r="D2142" s="5" t="s">
        <v>79</v>
      </c>
      <c r="E2142" s="5" t="s">
        <v>80</v>
      </c>
      <c r="F2142" s="5">
        <v>759374</v>
      </c>
      <c r="G2142" s="5" t="s">
        <v>6514</v>
      </c>
      <c r="H2142" s="5" t="s">
        <v>6515</v>
      </c>
      <c r="I2142" s="5" t="s">
        <v>212</v>
      </c>
      <c r="N2142" s="5" t="s">
        <v>6516</v>
      </c>
      <c r="O2142" s="5">
        <v>38.4</v>
      </c>
      <c r="P2142" s="5">
        <v>38.79</v>
      </c>
      <c r="Q2142" s="5">
        <v>38.32</v>
      </c>
      <c r="R2142" s="5">
        <v>38.700000000000003</v>
      </c>
      <c r="S2142" s="5">
        <v>38.700000000000003</v>
      </c>
      <c r="T2142" s="5">
        <v>38.4</v>
      </c>
      <c r="V2142" s="5">
        <v>38.700000000000003</v>
      </c>
      <c r="Y2142" s="5">
        <v>154383</v>
      </c>
      <c r="Z2142" s="5">
        <v>5972556.54</v>
      </c>
      <c r="AA2142" s="5">
        <v>523</v>
      </c>
      <c r="AB2142" s="5" t="s">
        <v>85</v>
      </c>
      <c r="AC2142" s="5">
        <v>1</v>
      </c>
    </row>
    <row r="2143" spans="1:29" x14ac:dyDescent="0.3">
      <c r="A2143" s="34">
        <v>46274</v>
      </c>
      <c r="B2143" s="34">
        <v>46274</v>
      </c>
      <c r="C2143" s="5" t="s">
        <v>78</v>
      </c>
      <c r="D2143" s="5" t="s">
        <v>79</v>
      </c>
      <c r="E2143" s="5" t="s">
        <v>80</v>
      </c>
      <c r="F2143" s="5">
        <v>757791</v>
      </c>
      <c r="G2143" s="5" t="s">
        <v>6517</v>
      </c>
      <c r="H2143" s="5" t="s">
        <v>6518</v>
      </c>
      <c r="I2143" s="5" t="s">
        <v>212</v>
      </c>
      <c r="N2143" s="5" t="s">
        <v>6519</v>
      </c>
      <c r="O2143" s="5">
        <v>150.6</v>
      </c>
      <c r="P2143" s="5">
        <v>151.25</v>
      </c>
      <c r="Q2143" s="5">
        <v>148.80000000000001</v>
      </c>
      <c r="R2143" s="5">
        <v>150.25</v>
      </c>
      <c r="S2143" s="5">
        <v>150.05000000000001</v>
      </c>
      <c r="T2143" s="5">
        <v>150.6</v>
      </c>
      <c r="V2143" s="5">
        <v>150.22</v>
      </c>
      <c r="Y2143" s="5">
        <v>21158</v>
      </c>
      <c r="Z2143" s="5">
        <v>3186298.5</v>
      </c>
      <c r="AA2143" s="5">
        <v>315</v>
      </c>
      <c r="AB2143" s="5" t="s">
        <v>85</v>
      </c>
      <c r="AC2143" s="5">
        <v>1</v>
      </c>
    </row>
    <row r="2144" spans="1:29" x14ac:dyDescent="0.3">
      <c r="A2144" s="34">
        <v>46274</v>
      </c>
      <c r="B2144" s="34">
        <v>46274</v>
      </c>
      <c r="C2144" s="5" t="s">
        <v>78</v>
      </c>
      <c r="D2144" s="5" t="s">
        <v>79</v>
      </c>
      <c r="E2144" s="5" t="s">
        <v>80</v>
      </c>
      <c r="F2144" s="5">
        <v>10508</v>
      </c>
      <c r="G2144" s="5" t="s">
        <v>6520</v>
      </c>
      <c r="H2144" s="5" t="s">
        <v>6521</v>
      </c>
      <c r="I2144" s="5" t="s">
        <v>212</v>
      </c>
      <c r="N2144" s="5" t="s">
        <v>6522</v>
      </c>
      <c r="O2144" s="5">
        <v>52.6</v>
      </c>
      <c r="P2144" s="5">
        <v>52.98</v>
      </c>
      <c r="Q2144" s="5">
        <v>51.95</v>
      </c>
      <c r="R2144" s="5">
        <v>52.14</v>
      </c>
      <c r="S2144" s="5">
        <v>51.98</v>
      </c>
      <c r="T2144" s="5">
        <v>52.6</v>
      </c>
      <c r="V2144" s="5">
        <v>52.12</v>
      </c>
      <c r="Y2144" s="5">
        <v>56801</v>
      </c>
      <c r="Z2144" s="5">
        <v>2974889.07</v>
      </c>
      <c r="AA2144" s="5">
        <v>540</v>
      </c>
      <c r="AB2144" s="5" t="s">
        <v>85</v>
      </c>
      <c r="AC2144" s="5">
        <v>1</v>
      </c>
    </row>
    <row r="2145" spans="1:29" x14ac:dyDescent="0.3">
      <c r="A2145" s="34">
        <v>46274</v>
      </c>
      <c r="B2145" s="34">
        <v>46274</v>
      </c>
      <c r="C2145" s="5" t="s">
        <v>78</v>
      </c>
      <c r="D2145" s="5" t="s">
        <v>79</v>
      </c>
      <c r="E2145" s="5" t="s">
        <v>80</v>
      </c>
      <c r="F2145" s="5">
        <v>757031</v>
      </c>
      <c r="G2145" s="5" t="s">
        <v>6523</v>
      </c>
      <c r="H2145" s="5" t="s">
        <v>6524</v>
      </c>
      <c r="I2145" s="5" t="s">
        <v>212</v>
      </c>
      <c r="N2145" s="5" t="s">
        <v>6525</v>
      </c>
      <c r="O2145" s="5">
        <v>58.68</v>
      </c>
      <c r="P2145" s="5">
        <v>59.04</v>
      </c>
      <c r="Q2145" s="5">
        <v>58.39</v>
      </c>
      <c r="R2145" s="5">
        <v>58.41</v>
      </c>
      <c r="S2145" s="5">
        <v>58.39</v>
      </c>
      <c r="T2145" s="5">
        <v>58.5</v>
      </c>
      <c r="V2145" s="5">
        <v>58.41</v>
      </c>
      <c r="Y2145" s="5">
        <v>10295</v>
      </c>
      <c r="Z2145" s="5">
        <v>603486.81999999995</v>
      </c>
      <c r="AA2145" s="5">
        <v>59</v>
      </c>
      <c r="AB2145" s="5" t="s">
        <v>85</v>
      </c>
      <c r="AC2145" s="5">
        <v>1</v>
      </c>
    </row>
    <row r="2146" spans="1:29" x14ac:dyDescent="0.3">
      <c r="A2146" s="34">
        <v>46274</v>
      </c>
      <c r="B2146" s="34">
        <v>46274</v>
      </c>
      <c r="C2146" s="5" t="s">
        <v>78</v>
      </c>
      <c r="D2146" s="5" t="s">
        <v>79</v>
      </c>
      <c r="E2146" s="5" t="s">
        <v>80</v>
      </c>
      <c r="F2146" s="5">
        <v>759891</v>
      </c>
      <c r="G2146" s="5" t="s">
        <v>6526</v>
      </c>
      <c r="H2146" s="5" t="s">
        <v>6527</v>
      </c>
      <c r="I2146" s="5" t="s">
        <v>212</v>
      </c>
      <c r="N2146" s="5" t="s">
        <v>6528</v>
      </c>
      <c r="O2146" s="5">
        <v>48.88</v>
      </c>
      <c r="P2146" s="5">
        <v>48.91</v>
      </c>
      <c r="Q2146" s="5">
        <v>48.66</v>
      </c>
      <c r="R2146" s="5">
        <v>48.81</v>
      </c>
      <c r="S2146" s="5">
        <v>48.81</v>
      </c>
      <c r="T2146" s="5">
        <v>48.7</v>
      </c>
      <c r="V2146" s="5">
        <v>48.81</v>
      </c>
      <c r="Y2146" s="5">
        <v>3095</v>
      </c>
      <c r="Z2146" s="5">
        <v>150821.35999999999</v>
      </c>
      <c r="AA2146" s="5">
        <v>27</v>
      </c>
      <c r="AB2146" s="5" t="s">
        <v>85</v>
      </c>
      <c r="AC2146" s="5">
        <v>1</v>
      </c>
    </row>
    <row r="2147" spans="1:29" x14ac:dyDescent="0.3">
      <c r="A2147" s="34">
        <v>46274</v>
      </c>
      <c r="B2147" s="34">
        <v>46274</v>
      </c>
      <c r="C2147" s="5" t="s">
        <v>78</v>
      </c>
      <c r="D2147" s="5" t="s">
        <v>79</v>
      </c>
      <c r="E2147" s="5" t="s">
        <v>80</v>
      </c>
      <c r="F2147" s="5">
        <v>8654</v>
      </c>
      <c r="G2147" s="5" t="s">
        <v>6529</v>
      </c>
      <c r="H2147" s="5" t="s">
        <v>6530</v>
      </c>
      <c r="I2147" s="5" t="s">
        <v>212</v>
      </c>
      <c r="N2147" s="5" t="s">
        <v>6531</v>
      </c>
      <c r="O2147" s="5">
        <v>35.700000000000003</v>
      </c>
      <c r="P2147" s="5">
        <v>35.700000000000003</v>
      </c>
      <c r="Q2147" s="5">
        <v>35.42</v>
      </c>
      <c r="R2147" s="5">
        <v>35.590000000000003</v>
      </c>
      <c r="S2147" s="5">
        <v>35.590000000000003</v>
      </c>
      <c r="T2147" s="5">
        <v>35.67</v>
      </c>
      <c r="V2147" s="5">
        <v>35.590000000000003</v>
      </c>
      <c r="Y2147" s="5">
        <v>2171</v>
      </c>
      <c r="Z2147" s="5">
        <v>77212.28</v>
      </c>
      <c r="AA2147" s="5">
        <v>36</v>
      </c>
      <c r="AB2147" s="5" t="s">
        <v>85</v>
      </c>
      <c r="AC2147" s="5">
        <v>1</v>
      </c>
    </row>
    <row r="2148" spans="1:29" x14ac:dyDescent="0.3">
      <c r="A2148" s="34">
        <v>46274</v>
      </c>
      <c r="B2148" s="34">
        <v>46274</v>
      </c>
      <c r="C2148" s="5" t="s">
        <v>78</v>
      </c>
      <c r="D2148" s="5" t="s">
        <v>79</v>
      </c>
      <c r="E2148" s="5" t="s">
        <v>80</v>
      </c>
      <c r="F2148" s="5">
        <v>25606</v>
      </c>
      <c r="G2148" s="5" t="s">
        <v>6532</v>
      </c>
      <c r="H2148" s="5" t="s">
        <v>6533</v>
      </c>
      <c r="I2148" s="5" t="s">
        <v>212</v>
      </c>
      <c r="N2148" s="5" t="s">
        <v>6534</v>
      </c>
      <c r="O2148" s="5">
        <v>55.18</v>
      </c>
      <c r="P2148" s="5">
        <v>55.18</v>
      </c>
      <c r="Q2148" s="5">
        <v>54.74</v>
      </c>
      <c r="R2148" s="5">
        <v>54.96</v>
      </c>
      <c r="S2148" s="5">
        <v>54.85</v>
      </c>
      <c r="T2148" s="5">
        <v>54.92</v>
      </c>
      <c r="V2148" s="5">
        <v>54.96</v>
      </c>
      <c r="Y2148" s="5">
        <v>554699</v>
      </c>
      <c r="Z2148" s="5">
        <v>30491250.120000001</v>
      </c>
      <c r="AA2148" s="5">
        <v>1603</v>
      </c>
      <c r="AB2148" s="5" t="s">
        <v>85</v>
      </c>
      <c r="AC2148" s="5">
        <v>1</v>
      </c>
    </row>
    <row r="2149" spans="1:29" x14ac:dyDescent="0.3">
      <c r="A2149" s="34">
        <v>46274</v>
      </c>
      <c r="B2149" s="34">
        <v>46274</v>
      </c>
      <c r="C2149" s="5" t="s">
        <v>78</v>
      </c>
      <c r="D2149" s="5" t="s">
        <v>79</v>
      </c>
      <c r="E2149" s="5" t="s">
        <v>80</v>
      </c>
      <c r="F2149" s="5">
        <v>764402</v>
      </c>
      <c r="G2149" s="5" t="s">
        <v>6535</v>
      </c>
      <c r="H2149" s="5" t="s">
        <v>6536</v>
      </c>
      <c r="I2149" s="5" t="s">
        <v>212</v>
      </c>
      <c r="N2149" s="5" t="s">
        <v>6537</v>
      </c>
      <c r="O2149" s="5">
        <v>13.18</v>
      </c>
      <c r="P2149" s="5">
        <v>13.9</v>
      </c>
      <c r="Q2149" s="5">
        <v>13.18</v>
      </c>
      <c r="R2149" s="5">
        <v>13.4</v>
      </c>
      <c r="S2149" s="5">
        <v>13.4</v>
      </c>
      <c r="T2149" s="5">
        <v>13.18</v>
      </c>
      <c r="V2149" s="5">
        <v>13.4</v>
      </c>
      <c r="Y2149" s="5">
        <v>27345</v>
      </c>
      <c r="Z2149" s="5">
        <v>367017.53</v>
      </c>
      <c r="AA2149" s="5">
        <v>43</v>
      </c>
      <c r="AB2149" s="5" t="s">
        <v>85</v>
      </c>
      <c r="AC2149" s="5">
        <v>1</v>
      </c>
    </row>
    <row r="2150" spans="1:29" x14ac:dyDescent="0.3">
      <c r="A2150" s="34">
        <v>46274</v>
      </c>
      <c r="B2150" s="34">
        <v>46274</v>
      </c>
      <c r="C2150" s="5" t="s">
        <v>78</v>
      </c>
      <c r="D2150" s="5" t="s">
        <v>79</v>
      </c>
      <c r="E2150" s="5" t="s">
        <v>80</v>
      </c>
      <c r="F2150" s="5">
        <v>757099</v>
      </c>
      <c r="G2150" s="5" t="s">
        <v>6538</v>
      </c>
      <c r="H2150" s="5" t="s">
        <v>6539</v>
      </c>
      <c r="I2150" s="5" t="s">
        <v>212</v>
      </c>
      <c r="N2150" s="5" t="s">
        <v>6540</v>
      </c>
      <c r="O2150" s="5">
        <v>162.49</v>
      </c>
      <c r="P2150" s="5">
        <v>162.58000000000001</v>
      </c>
      <c r="Q2150" s="5">
        <v>161.30000000000001</v>
      </c>
      <c r="R2150" s="5">
        <v>162.24</v>
      </c>
      <c r="S2150" s="5">
        <v>162.56</v>
      </c>
      <c r="T2150" s="5">
        <v>161.24</v>
      </c>
      <c r="V2150" s="5">
        <v>162.24</v>
      </c>
      <c r="Y2150" s="5">
        <v>310</v>
      </c>
      <c r="Z2150" s="5">
        <v>50085.27</v>
      </c>
      <c r="AA2150" s="5">
        <v>13</v>
      </c>
      <c r="AB2150" s="5" t="s">
        <v>85</v>
      </c>
      <c r="AC2150" s="5">
        <v>1</v>
      </c>
    </row>
    <row r="2151" spans="1:29" x14ac:dyDescent="0.3">
      <c r="A2151" s="34">
        <v>46274</v>
      </c>
      <c r="B2151" s="34">
        <v>46274</v>
      </c>
      <c r="C2151" s="5" t="s">
        <v>78</v>
      </c>
      <c r="D2151" s="5" t="s">
        <v>79</v>
      </c>
      <c r="E2151" s="5" t="s">
        <v>80</v>
      </c>
      <c r="F2151" s="5">
        <v>757817</v>
      </c>
      <c r="G2151" s="5" t="s">
        <v>6541</v>
      </c>
      <c r="H2151" s="5" t="s">
        <v>6542</v>
      </c>
      <c r="I2151" s="5" t="s">
        <v>212</v>
      </c>
      <c r="N2151" s="5" t="s">
        <v>6543</v>
      </c>
      <c r="O2151" s="5">
        <v>64.81</v>
      </c>
      <c r="P2151" s="5">
        <v>65</v>
      </c>
      <c r="Q2151" s="5">
        <v>64.650000000000006</v>
      </c>
      <c r="R2151" s="5">
        <v>64.92</v>
      </c>
      <c r="S2151" s="5">
        <v>64.8</v>
      </c>
      <c r="T2151" s="5">
        <v>64.87</v>
      </c>
      <c r="V2151" s="5">
        <v>64.92</v>
      </c>
      <c r="Y2151" s="5">
        <v>82906</v>
      </c>
      <c r="Z2151" s="5">
        <v>5371286.75</v>
      </c>
      <c r="AA2151" s="5">
        <v>278</v>
      </c>
      <c r="AB2151" s="5" t="s">
        <v>85</v>
      </c>
      <c r="AC2151" s="5">
        <v>1</v>
      </c>
    </row>
    <row r="2152" spans="1:29" x14ac:dyDescent="0.3">
      <c r="A2152" s="34">
        <v>46274</v>
      </c>
      <c r="B2152" s="34">
        <v>46274</v>
      </c>
      <c r="C2152" s="5" t="s">
        <v>78</v>
      </c>
      <c r="D2152" s="5" t="s">
        <v>79</v>
      </c>
      <c r="E2152" s="5" t="s">
        <v>80</v>
      </c>
      <c r="F2152" s="5">
        <v>760054</v>
      </c>
      <c r="G2152" s="5" t="s">
        <v>6544</v>
      </c>
      <c r="H2152" s="5" t="s">
        <v>6545</v>
      </c>
      <c r="I2152" s="5" t="s">
        <v>212</v>
      </c>
      <c r="N2152" s="5" t="s">
        <v>6546</v>
      </c>
      <c r="O2152" s="5">
        <v>32.06</v>
      </c>
      <c r="P2152" s="5">
        <v>32.06</v>
      </c>
      <c r="Q2152" s="5">
        <v>31.86</v>
      </c>
      <c r="R2152" s="5">
        <v>32</v>
      </c>
      <c r="S2152" s="5">
        <v>32</v>
      </c>
      <c r="T2152" s="5">
        <v>32.1</v>
      </c>
      <c r="V2152" s="5">
        <v>32</v>
      </c>
      <c r="Y2152" s="5">
        <v>27509</v>
      </c>
      <c r="Z2152" s="5">
        <v>880010.96</v>
      </c>
      <c r="AA2152" s="5">
        <v>24</v>
      </c>
      <c r="AB2152" s="5" t="s">
        <v>85</v>
      </c>
      <c r="AC2152" s="5">
        <v>1</v>
      </c>
    </row>
    <row r="2153" spans="1:29" x14ac:dyDescent="0.3">
      <c r="A2153" s="34">
        <v>46274</v>
      </c>
      <c r="B2153" s="34">
        <v>46274</v>
      </c>
      <c r="C2153" s="5" t="s">
        <v>78</v>
      </c>
      <c r="D2153" s="5" t="s">
        <v>79</v>
      </c>
      <c r="E2153" s="5" t="s">
        <v>80</v>
      </c>
      <c r="F2153" s="5">
        <v>8182</v>
      </c>
      <c r="G2153" s="5" t="s">
        <v>6547</v>
      </c>
      <c r="H2153" s="5" t="s">
        <v>6548</v>
      </c>
      <c r="I2153" s="5" t="s">
        <v>212</v>
      </c>
      <c r="N2153" s="5" t="s">
        <v>6549</v>
      </c>
      <c r="O2153" s="5">
        <v>62.79</v>
      </c>
      <c r="P2153" s="5">
        <v>63.3</v>
      </c>
      <c r="Q2153" s="5">
        <v>62.51</v>
      </c>
      <c r="R2153" s="5">
        <v>62.68</v>
      </c>
      <c r="S2153" s="5">
        <v>62.61</v>
      </c>
      <c r="T2153" s="5">
        <v>62.43</v>
      </c>
      <c r="V2153" s="5">
        <v>62.7</v>
      </c>
      <c r="Y2153" s="5">
        <v>62660</v>
      </c>
      <c r="Z2153" s="5">
        <v>3938731.95</v>
      </c>
      <c r="AA2153" s="5">
        <v>389</v>
      </c>
      <c r="AB2153" s="5" t="s">
        <v>85</v>
      </c>
      <c r="AC2153" s="5">
        <v>1</v>
      </c>
    </row>
    <row r="2154" spans="1:29" x14ac:dyDescent="0.3">
      <c r="A2154" s="34">
        <v>46274</v>
      </c>
      <c r="B2154" s="34">
        <v>46274</v>
      </c>
      <c r="C2154" s="5" t="s">
        <v>78</v>
      </c>
      <c r="D2154" s="5" t="s">
        <v>79</v>
      </c>
      <c r="E2154" s="5" t="s">
        <v>80</v>
      </c>
      <c r="F2154" s="5">
        <v>756900</v>
      </c>
      <c r="G2154" s="5" t="s">
        <v>6550</v>
      </c>
      <c r="H2154" s="5" t="s">
        <v>6551</v>
      </c>
      <c r="I2154" s="5" t="s">
        <v>212</v>
      </c>
      <c r="N2154" s="5" t="s">
        <v>6552</v>
      </c>
      <c r="O2154" s="5">
        <v>32.71</v>
      </c>
      <c r="P2154" s="5">
        <v>33.33</v>
      </c>
      <c r="Q2154" s="5">
        <v>32.590000000000003</v>
      </c>
      <c r="R2154" s="5">
        <v>32.770000000000003</v>
      </c>
      <c r="S2154" s="5">
        <v>32.770000000000003</v>
      </c>
      <c r="T2154" s="5">
        <v>32.840000000000003</v>
      </c>
      <c r="V2154" s="5">
        <v>32.770000000000003</v>
      </c>
      <c r="Y2154" s="5">
        <v>4858</v>
      </c>
      <c r="Z2154" s="5">
        <v>158775.82</v>
      </c>
      <c r="AA2154" s="5">
        <v>62</v>
      </c>
      <c r="AB2154" s="5" t="s">
        <v>85</v>
      </c>
      <c r="AC2154" s="5">
        <v>1</v>
      </c>
    </row>
    <row r="2155" spans="1:29" x14ac:dyDescent="0.3">
      <c r="A2155" s="34">
        <v>46274</v>
      </c>
      <c r="B2155" s="34">
        <v>46274</v>
      </c>
      <c r="C2155" s="5" t="s">
        <v>78</v>
      </c>
      <c r="D2155" s="5" t="s">
        <v>79</v>
      </c>
      <c r="E2155" s="5" t="s">
        <v>80</v>
      </c>
      <c r="F2155" s="5">
        <v>757167</v>
      </c>
      <c r="G2155" s="5" t="s">
        <v>6553</v>
      </c>
      <c r="H2155" s="5" t="s">
        <v>6554</v>
      </c>
      <c r="I2155" s="5" t="s">
        <v>212</v>
      </c>
      <c r="N2155" s="5" t="s">
        <v>6555</v>
      </c>
      <c r="O2155" s="5">
        <v>73.84</v>
      </c>
      <c r="P2155" s="5">
        <v>74.84</v>
      </c>
      <c r="Q2155" s="5">
        <v>72.62</v>
      </c>
      <c r="R2155" s="5">
        <v>72.959999999999994</v>
      </c>
      <c r="S2155" s="5">
        <v>72.75</v>
      </c>
      <c r="T2155" s="5">
        <v>72.83</v>
      </c>
      <c r="V2155" s="5">
        <v>72.959999999999994</v>
      </c>
      <c r="Y2155" s="5">
        <v>2015</v>
      </c>
      <c r="Z2155" s="5">
        <v>146803.20000000001</v>
      </c>
      <c r="AA2155" s="5">
        <v>63</v>
      </c>
      <c r="AB2155" s="5" t="s">
        <v>85</v>
      </c>
      <c r="AC2155" s="5">
        <v>1</v>
      </c>
    </row>
    <row r="2156" spans="1:29" x14ac:dyDescent="0.3">
      <c r="A2156" s="34">
        <v>46274</v>
      </c>
      <c r="B2156" s="34">
        <v>46274</v>
      </c>
      <c r="C2156" s="5" t="s">
        <v>78</v>
      </c>
      <c r="D2156" s="5" t="s">
        <v>79</v>
      </c>
      <c r="E2156" s="5" t="s">
        <v>80</v>
      </c>
      <c r="F2156" s="5">
        <v>759371</v>
      </c>
      <c r="G2156" s="5" t="s">
        <v>6556</v>
      </c>
      <c r="H2156" s="5" t="s">
        <v>6557</v>
      </c>
      <c r="I2156" s="5" t="s">
        <v>212</v>
      </c>
      <c r="N2156" s="5" t="s">
        <v>6558</v>
      </c>
      <c r="O2156" s="5">
        <v>24.9</v>
      </c>
      <c r="P2156" s="5">
        <v>24.96</v>
      </c>
      <c r="Q2156" s="5">
        <v>24.62</v>
      </c>
      <c r="R2156" s="5">
        <v>24.8</v>
      </c>
      <c r="S2156" s="5">
        <v>24.69</v>
      </c>
      <c r="T2156" s="5">
        <v>24.94</v>
      </c>
      <c r="V2156" s="5">
        <v>24.8</v>
      </c>
      <c r="Y2156" s="5">
        <v>577647</v>
      </c>
      <c r="Z2156" s="5">
        <v>14300662.560000001</v>
      </c>
      <c r="AA2156" s="5">
        <v>135</v>
      </c>
      <c r="AB2156" s="5" t="s">
        <v>85</v>
      </c>
      <c r="AC2156" s="5">
        <v>1</v>
      </c>
    </row>
    <row r="2157" spans="1:29" x14ac:dyDescent="0.3">
      <c r="A2157" s="34">
        <v>46274</v>
      </c>
      <c r="B2157" s="34">
        <v>46274</v>
      </c>
      <c r="C2157" s="5" t="s">
        <v>78</v>
      </c>
      <c r="D2157" s="5" t="s">
        <v>79</v>
      </c>
      <c r="E2157" s="5" t="s">
        <v>80</v>
      </c>
      <c r="F2157" s="5">
        <v>19237</v>
      </c>
      <c r="G2157" s="5" t="s">
        <v>6559</v>
      </c>
      <c r="H2157" s="5" t="s">
        <v>6560</v>
      </c>
      <c r="I2157" s="5" t="s">
        <v>212</v>
      </c>
      <c r="N2157" s="5" t="s">
        <v>6561</v>
      </c>
      <c r="O2157" s="5">
        <v>24.31</v>
      </c>
      <c r="P2157" s="5">
        <v>24.31</v>
      </c>
      <c r="Q2157" s="5">
        <v>23.5</v>
      </c>
      <c r="R2157" s="5">
        <v>23.6</v>
      </c>
      <c r="S2157" s="5">
        <v>23.61</v>
      </c>
      <c r="T2157" s="5">
        <v>23.72</v>
      </c>
      <c r="V2157" s="5">
        <v>23.6</v>
      </c>
      <c r="Y2157" s="5">
        <v>1387568</v>
      </c>
      <c r="Z2157" s="5">
        <v>32779991.949999999</v>
      </c>
      <c r="AA2157" s="5">
        <v>1803</v>
      </c>
      <c r="AB2157" s="5" t="s">
        <v>85</v>
      </c>
      <c r="AC2157" s="5">
        <v>1</v>
      </c>
    </row>
    <row r="2158" spans="1:29" x14ac:dyDescent="0.3">
      <c r="A2158" s="34">
        <v>46274</v>
      </c>
      <c r="B2158" s="34">
        <v>46274</v>
      </c>
      <c r="C2158" s="5" t="s">
        <v>78</v>
      </c>
      <c r="D2158" s="5" t="s">
        <v>79</v>
      </c>
      <c r="E2158" s="5" t="s">
        <v>80</v>
      </c>
      <c r="F2158" s="5">
        <v>7422</v>
      </c>
      <c r="G2158" s="5" t="s">
        <v>6562</v>
      </c>
      <c r="H2158" s="5" t="s">
        <v>6563</v>
      </c>
      <c r="I2158" s="5" t="s">
        <v>212</v>
      </c>
      <c r="N2158" s="5" t="s">
        <v>6564</v>
      </c>
      <c r="O2158" s="5">
        <v>198</v>
      </c>
      <c r="P2158" s="5">
        <v>234.92</v>
      </c>
      <c r="Q2158" s="5">
        <v>196</v>
      </c>
      <c r="R2158" s="5">
        <v>213.01</v>
      </c>
      <c r="S2158" s="5">
        <v>214.08</v>
      </c>
      <c r="T2158" s="5">
        <v>195.77</v>
      </c>
      <c r="V2158" s="5">
        <v>213.06</v>
      </c>
      <c r="Y2158" s="5">
        <v>1928274</v>
      </c>
      <c r="Z2158" s="5">
        <v>429863071.56999999</v>
      </c>
      <c r="AA2158" s="5">
        <v>23863</v>
      </c>
      <c r="AB2158" s="5" t="s">
        <v>85</v>
      </c>
      <c r="AC2158" s="5">
        <v>1</v>
      </c>
    </row>
    <row r="2159" spans="1:29" x14ac:dyDescent="0.3">
      <c r="A2159" s="34">
        <v>46274</v>
      </c>
      <c r="B2159" s="34">
        <v>46274</v>
      </c>
      <c r="C2159" s="5" t="s">
        <v>78</v>
      </c>
      <c r="D2159" s="5" t="s">
        <v>79</v>
      </c>
      <c r="E2159" s="5" t="s">
        <v>80</v>
      </c>
      <c r="F2159" s="5">
        <v>764405</v>
      </c>
      <c r="G2159" s="5" t="s">
        <v>6565</v>
      </c>
      <c r="H2159" s="5" t="s">
        <v>6566</v>
      </c>
      <c r="I2159" s="5" t="s">
        <v>212</v>
      </c>
      <c r="N2159" s="5" t="s">
        <v>6567</v>
      </c>
      <c r="O2159" s="5">
        <v>11.25</v>
      </c>
      <c r="P2159" s="5">
        <v>11.25</v>
      </c>
      <c r="Q2159" s="5">
        <v>11.01</v>
      </c>
      <c r="R2159" s="5">
        <v>11.08</v>
      </c>
      <c r="S2159" s="5">
        <v>11.07</v>
      </c>
      <c r="T2159" s="5">
        <v>11.05</v>
      </c>
      <c r="V2159" s="5">
        <v>11.08</v>
      </c>
      <c r="Y2159" s="5">
        <v>8445</v>
      </c>
      <c r="Z2159" s="5">
        <v>93591.91</v>
      </c>
      <c r="AA2159" s="5">
        <v>38</v>
      </c>
      <c r="AB2159" s="5" t="s">
        <v>85</v>
      </c>
      <c r="AC2159" s="5">
        <v>1</v>
      </c>
    </row>
    <row r="2160" spans="1:29" x14ac:dyDescent="0.3">
      <c r="A2160" s="34">
        <v>46274</v>
      </c>
      <c r="B2160" s="34">
        <v>46274</v>
      </c>
      <c r="C2160" s="5" t="s">
        <v>78</v>
      </c>
      <c r="D2160" s="5" t="s">
        <v>79</v>
      </c>
      <c r="E2160" s="5" t="s">
        <v>80</v>
      </c>
      <c r="F2160" s="5">
        <v>757431</v>
      </c>
      <c r="G2160" s="5" t="s">
        <v>6568</v>
      </c>
      <c r="H2160" s="5" t="s">
        <v>6569</v>
      </c>
      <c r="I2160" s="5" t="s">
        <v>212</v>
      </c>
      <c r="N2160" s="5" t="s">
        <v>6570</v>
      </c>
      <c r="O2160" s="5">
        <v>99.46</v>
      </c>
      <c r="P2160" s="5">
        <v>103</v>
      </c>
      <c r="Q2160" s="5">
        <v>99.37</v>
      </c>
      <c r="R2160" s="5">
        <v>99.77</v>
      </c>
      <c r="S2160" s="5">
        <v>99.6</v>
      </c>
      <c r="T2160" s="5">
        <v>99.46</v>
      </c>
      <c r="V2160" s="5">
        <v>99.77</v>
      </c>
      <c r="Y2160" s="5">
        <v>10786</v>
      </c>
      <c r="Z2160" s="5">
        <v>1075652.32</v>
      </c>
      <c r="AA2160" s="5">
        <v>25</v>
      </c>
      <c r="AB2160" s="5" t="s">
        <v>85</v>
      </c>
      <c r="AC2160" s="5">
        <v>1</v>
      </c>
    </row>
    <row r="2161" spans="1:29" x14ac:dyDescent="0.3">
      <c r="A2161" s="34">
        <v>46274</v>
      </c>
      <c r="B2161" s="34">
        <v>46274</v>
      </c>
      <c r="C2161" s="5" t="s">
        <v>78</v>
      </c>
      <c r="D2161" s="5" t="s">
        <v>79</v>
      </c>
      <c r="E2161" s="5" t="s">
        <v>80</v>
      </c>
      <c r="F2161" s="5">
        <v>10822</v>
      </c>
      <c r="G2161" s="5" t="s">
        <v>6571</v>
      </c>
      <c r="H2161" s="5" t="s">
        <v>6572</v>
      </c>
      <c r="I2161" s="5" t="s">
        <v>212</v>
      </c>
      <c r="N2161" s="5" t="s">
        <v>6573</v>
      </c>
      <c r="O2161" s="5">
        <v>201.26</v>
      </c>
      <c r="P2161" s="5">
        <v>201.26</v>
      </c>
      <c r="Q2161" s="5">
        <v>197.32</v>
      </c>
      <c r="R2161" s="5">
        <v>197.32</v>
      </c>
      <c r="S2161" s="5">
        <v>197.36</v>
      </c>
      <c r="T2161" s="5">
        <v>199.27</v>
      </c>
      <c r="V2161" s="5">
        <v>197.32</v>
      </c>
      <c r="Y2161" s="5">
        <v>1279</v>
      </c>
      <c r="Z2161" s="5">
        <v>253329.24</v>
      </c>
      <c r="AA2161" s="5">
        <v>34</v>
      </c>
      <c r="AB2161" s="5" t="s">
        <v>85</v>
      </c>
      <c r="AC2161" s="5">
        <v>1</v>
      </c>
    </row>
    <row r="2162" spans="1:29" x14ac:dyDescent="0.3">
      <c r="A2162" s="34">
        <v>46274</v>
      </c>
      <c r="B2162" s="34">
        <v>46274</v>
      </c>
      <c r="C2162" s="5" t="s">
        <v>78</v>
      </c>
      <c r="D2162" s="5" t="s">
        <v>79</v>
      </c>
      <c r="E2162" s="5" t="s">
        <v>80</v>
      </c>
      <c r="F2162" s="5">
        <v>23184</v>
      </c>
      <c r="G2162" s="5" t="s">
        <v>6574</v>
      </c>
      <c r="H2162" s="5" t="s">
        <v>6575</v>
      </c>
      <c r="I2162" s="5" t="s">
        <v>212</v>
      </c>
      <c r="N2162" s="5" t="s">
        <v>6576</v>
      </c>
      <c r="O2162" s="5">
        <v>97</v>
      </c>
      <c r="P2162" s="5">
        <v>97</v>
      </c>
      <c r="Q2162" s="5">
        <v>87.55</v>
      </c>
      <c r="R2162" s="5">
        <v>87.89</v>
      </c>
      <c r="S2162" s="5">
        <v>87.61</v>
      </c>
      <c r="T2162" s="5">
        <v>89.78</v>
      </c>
      <c r="V2162" s="5">
        <v>87.89</v>
      </c>
      <c r="Y2162" s="5">
        <v>2572749</v>
      </c>
      <c r="Z2162" s="5">
        <v>226690152.18000001</v>
      </c>
      <c r="AA2162" s="5">
        <v>3479</v>
      </c>
      <c r="AB2162" s="5" t="s">
        <v>85</v>
      </c>
      <c r="AC2162" s="5">
        <v>1</v>
      </c>
    </row>
    <row r="2163" spans="1:29" x14ac:dyDescent="0.3">
      <c r="A2163" s="34">
        <v>46274</v>
      </c>
      <c r="B2163" s="34">
        <v>46274</v>
      </c>
      <c r="C2163" s="5" t="s">
        <v>78</v>
      </c>
      <c r="D2163" s="5" t="s">
        <v>79</v>
      </c>
      <c r="E2163" s="5" t="s">
        <v>80</v>
      </c>
      <c r="F2163" s="5">
        <v>760001</v>
      </c>
      <c r="G2163" s="5" t="s">
        <v>6577</v>
      </c>
      <c r="H2163" s="5" t="s">
        <v>6578</v>
      </c>
      <c r="I2163" s="5" t="s">
        <v>212</v>
      </c>
      <c r="N2163" s="5" t="s">
        <v>6579</v>
      </c>
      <c r="O2163" s="5">
        <v>30.18</v>
      </c>
      <c r="P2163" s="5">
        <v>30.96</v>
      </c>
      <c r="Q2163" s="5">
        <v>30.08</v>
      </c>
      <c r="R2163" s="5">
        <v>30.18</v>
      </c>
      <c r="S2163" s="5">
        <v>30.18</v>
      </c>
      <c r="T2163" s="5">
        <v>30.45</v>
      </c>
      <c r="V2163" s="5">
        <v>30.18</v>
      </c>
      <c r="Y2163" s="5">
        <v>6383</v>
      </c>
      <c r="Z2163" s="5">
        <v>192665.11</v>
      </c>
      <c r="AA2163" s="5">
        <v>120</v>
      </c>
      <c r="AB2163" s="5" t="s">
        <v>85</v>
      </c>
      <c r="AC2163" s="5">
        <v>1</v>
      </c>
    </row>
    <row r="2164" spans="1:29" x14ac:dyDescent="0.3">
      <c r="A2164" s="34">
        <v>46274</v>
      </c>
      <c r="B2164" s="34">
        <v>46274</v>
      </c>
      <c r="C2164" s="5" t="s">
        <v>78</v>
      </c>
      <c r="D2164" s="5" t="s">
        <v>79</v>
      </c>
      <c r="E2164" s="5" t="s">
        <v>80</v>
      </c>
      <c r="F2164" s="5">
        <v>758457</v>
      </c>
      <c r="G2164" s="5" t="s">
        <v>6580</v>
      </c>
      <c r="H2164" s="5" t="s">
        <v>6581</v>
      </c>
      <c r="I2164" s="5" t="s">
        <v>212</v>
      </c>
      <c r="N2164" s="5" t="s">
        <v>6582</v>
      </c>
      <c r="O2164" s="5">
        <v>231</v>
      </c>
      <c r="P2164" s="5">
        <v>231</v>
      </c>
      <c r="Q2164" s="5">
        <v>228.9</v>
      </c>
      <c r="R2164" s="5">
        <v>229.79</v>
      </c>
      <c r="S2164" s="5">
        <v>229.5</v>
      </c>
      <c r="T2164" s="5">
        <v>229.24</v>
      </c>
      <c r="V2164" s="5">
        <v>229.78</v>
      </c>
      <c r="Y2164" s="5">
        <v>25038</v>
      </c>
      <c r="Z2164" s="5">
        <v>5761265.4000000004</v>
      </c>
      <c r="AA2164" s="5">
        <v>378</v>
      </c>
      <c r="AB2164" s="5" t="s">
        <v>85</v>
      </c>
      <c r="AC2164" s="5">
        <v>1</v>
      </c>
    </row>
    <row r="2165" spans="1:29" x14ac:dyDescent="0.3">
      <c r="A2165" s="34">
        <v>46274</v>
      </c>
      <c r="B2165" s="34">
        <v>46274</v>
      </c>
      <c r="C2165" s="5" t="s">
        <v>78</v>
      </c>
      <c r="D2165" s="5" t="s">
        <v>79</v>
      </c>
      <c r="E2165" s="5" t="s">
        <v>80</v>
      </c>
      <c r="F2165" s="5">
        <v>23181</v>
      </c>
      <c r="G2165" s="5" t="s">
        <v>6583</v>
      </c>
      <c r="H2165" s="5" t="s">
        <v>6584</v>
      </c>
      <c r="I2165" s="5" t="s">
        <v>212</v>
      </c>
      <c r="N2165" s="5" t="s">
        <v>6585</v>
      </c>
      <c r="O2165" s="5">
        <v>18.46</v>
      </c>
      <c r="P2165" s="5">
        <v>18.649999999999999</v>
      </c>
      <c r="Q2165" s="5">
        <v>18.440000000000001</v>
      </c>
      <c r="R2165" s="5">
        <v>18.5</v>
      </c>
      <c r="S2165" s="5">
        <v>18.5</v>
      </c>
      <c r="T2165" s="5">
        <v>18.579999999999998</v>
      </c>
      <c r="V2165" s="5">
        <v>18.5</v>
      </c>
      <c r="Y2165" s="5">
        <v>628553</v>
      </c>
      <c r="Z2165" s="5">
        <v>11661299.460000001</v>
      </c>
      <c r="AA2165" s="5">
        <v>1757</v>
      </c>
      <c r="AB2165" s="5" t="s">
        <v>85</v>
      </c>
      <c r="AC2165" s="5">
        <v>1</v>
      </c>
    </row>
    <row r="2166" spans="1:29" x14ac:dyDescent="0.3">
      <c r="A2166" s="34">
        <v>46274</v>
      </c>
      <c r="B2166" s="34">
        <v>46274</v>
      </c>
      <c r="C2166" s="5" t="s">
        <v>78</v>
      </c>
      <c r="D2166" s="5" t="s">
        <v>79</v>
      </c>
      <c r="E2166" s="5" t="s">
        <v>80</v>
      </c>
      <c r="F2166" s="5">
        <v>757443</v>
      </c>
      <c r="G2166" s="5" t="s">
        <v>6586</v>
      </c>
      <c r="H2166" s="5" t="s">
        <v>6587</v>
      </c>
      <c r="I2166" s="5" t="s">
        <v>212</v>
      </c>
      <c r="N2166" s="5" t="s">
        <v>6588</v>
      </c>
      <c r="O2166" s="5">
        <v>78.260000000000005</v>
      </c>
      <c r="P2166" s="5">
        <v>78.260000000000005</v>
      </c>
      <c r="Q2166" s="5">
        <v>77.069999999999993</v>
      </c>
      <c r="R2166" s="5">
        <v>77.19</v>
      </c>
      <c r="S2166" s="5">
        <v>77.12</v>
      </c>
      <c r="T2166" s="5">
        <v>77.489999999999995</v>
      </c>
      <c r="V2166" s="5">
        <v>77.19</v>
      </c>
      <c r="Y2166" s="5">
        <v>10418</v>
      </c>
      <c r="Z2166" s="5">
        <v>804573.22</v>
      </c>
      <c r="AA2166" s="5">
        <v>132</v>
      </c>
      <c r="AB2166" s="5" t="s">
        <v>85</v>
      </c>
      <c r="AC2166" s="5">
        <v>1</v>
      </c>
    </row>
    <row r="2167" spans="1:29" x14ac:dyDescent="0.3">
      <c r="A2167" s="34">
        <v>46274</v>
      </c>
      <c r="B2167" s="34">
        <v>46274</v>
      </c>
      <c r="C2167" s="5" t="s">
        <v>78</v>
      </c>
      <c r="D2167" s="5" t="s">
        <v>79</v>
      </c>
      <c r="E2167" s="5" t="s">
        <v>80</v>
      </c>
      <c r="F2167" s="5">
        <v>10825</v>
      </c>
      <c r="G2167" s="5" t="s">
        <v>6589</v>
      </c>
      <c r="H2167" s="5" t="s">
        <v>6590</v>
      </c>
      <c r="I2167" s="5" t="s">
        <v>212</v>
      </c>
      <c r="N2167" s="5" t="s">
        <v>6591</v>
      </c>
      <c r="O2167" s="5">
        <v>114.48</v>
      </c>
      <c r="P2167" s="5">
        <v>114.48</v>
      </c>
      <c r="Q2167" s="5">
        <v>111.4</v>
      </c>
      <c r="R2167" s="5">
        <v>112</v>
      </c>
      <c r="S2167" s="5">
        <v>111.4</v>
      </c>
      <c r="T2167" s="5">
        <v>111.69</v>
      </c>
      <c r="V2167" s="5">
        <v>112.03</v>
      </c>
      <c r="Y2167" s="5">
        <v>54956</v>
      </c>
      <c r="Z2167" s="5">
        <v>6149255.5199999996</v>
      </c>
      <c r="AA2167" s="5">
        <v>645</v>
      </c>
      <c r="AB2167" s="5" t="s">
        <v>85</v>
      </c>
      <c r="AC2167" s="5">
        <v>1</v>
      </c>
    </row>
    <row r="2168" spans="1:29" x14ac:dyDescent="0.3">
      <c r="A2168" s="34">
        <v>46274</v>
      </c>
      <c r="B2168" s="34">
        <v>46274</v>
      </c>
      <c r="C2168" s="5" t="s">
        <v>78</v>
      </c>
      <c r="D2168" s="5" t="s">
        <v>79</v>
      </c>
      <c r="E2168" s="5" t="s">
        <v>80</v>
      </c>
      <c r="F2168" s="5">
        <v>20788</v>
      </c>
      <c r="G2168" s="5" t="s">
        <v>6592</v>
      </c>
      <c r="H2168" s="5" t="s">
        <v>6593</v>
      </c>
      <c r="I2168" s="5" t="s">
        <v>212</v>
      </c>
      <c r="N2168" s="5" t="s">
        <v>6594</v>
      </c>
      <c r="O2168" s="5">
        <v>16.22</v>
      </c>
      <c r="P2168" s="5">
        <v>16.73</v>
      </c>
      <c r="Q2168" s="5">
        <v>16.059999999999999</v>
      </c>
      <c r="R2168" s="5">
        <v>16.25</v>
      </c>
      <c r="S2168" s="5">
        <v>16.3</v>
      </c>
      <c r="T2168" s="5">
        <v>16.13</v>
      </c>
      <c r="V2168" s="5">
        <v>16.25</v>
      </c>
      <c r="Y2168" s="5">
        <v>31830543</v>
      </c>
      <c r="Z2168" s="5">
        <v>522297409.47000003</v>
      </c>
      <c r="AA2168" s="5">
        <v>60876</v>
      </c>
      <c r="AB2168" s="5" t="s">
        <v>85</v>
      </c>
      <c r="AC2168" s="5">
        <v>1</v>
      </c>
    </row>
    <row r="2169" spans="1:29" x14ac:dyDescent="0.3">
      <c r="A2169" s="34">
        <v>46274</v>
      </c>
      <c r="B2169" s="34">
        <v>46274</v>
      </c>
      <c r="C2169" s="5" t="s">
        <v>78</v>
      </c>
      <c r="D2169" s="5" t="s">
        <v>79</v>
      </c>
      <c r="E2169" s="5" t="s">
        <v>80</v>
      </c>
      <c r="F2169" s="5">
        <v>2268</v>
      </c>
      <c r="G2169" s="5" t="s">
        <v>6595</v>
      </c>
      <c r="H2169" s="5" t="s">
        <v>6596</v>
      </c>
      <c r="I2169" s="5" t="s">
        <v>212</v>
      </c>
      <c r="N2169" s="5" t="s">
        <v>6597</v>
      </c>
      <c r="O2169" s="5">
        <v>27.45</v>
      </c>
      <c r="P2169" s="5">
        <v>27.45</v>
      </c>
      <c r="Q2169" s="5">
        <v>26.8</v>
      </c>
      <c r="R2169" s="5">
        <v>27.04</v>
      </c>
      <c r="S2169" s="5">
        <v>27</v>
      </c>
      <c r="T2169" s="5">
        <v>27.45</v>
      </c>
      <c r="V2169" s="5">
        <v>27.04</v>
      </c>
      <c r="Y2169" s="5">
        <v>71800</v>
      </c>
      <c r="Z2169" s="5">
        <v>1954984.48</v>
      </c>
      <c r="AA2169" s="5">
        <v>253</v>
      </c>
      <c r="AB2169" s="5" t="s">
        <v>85</v>
      </c>
      <c r="AC2169" s="5">
        <v>1</v>
      </c>
    </row>
    <row r="2170" spans="1:29" x14ac:dyDescent="0.3">
      <c r="A2170" s="34">
        <v>46274</v>
      </c>
      <c r="B2170" s="34">
        <v>46274</v>
      </c>
      <c r="C2170" s="5" t="s">
        <v>78</v>
      </c>
      <c r="D2170" s="5" t="s">
        <v>79</v>
      </c>
      <c r="E2170" s="5" t="s">
        <v>80</v>
      </c>
      <c r="F2170" s="5">
        <v>757810</v>
      </c>
      <c r="G2170" s="5" t="s">
        <v>6598</v>
      </c>
      <c r="H2170" s="5" t="s">
        <v>6599</v>
      </c>
      <c r="I2170" s="5" t="s">
        <v>313</v>
      </c>
      <c r="N2170" s="5" t="s">
        <v>6600</v>
      </c>
      <c r="O2170" s="5">
        <v>26.1</v>
      </c>
      <c r="P2170" s="5">
        <v>26.25</v>
      </c>
      <c r="Q2170" s="5">
        <v>26.1</v>
      </c>
      <c r="R2170" s="5">
        <v>26.25</v>
      </c>
      <c r="S2170" s="5">
        <v>26.25</v>
      </c>
      <c r="T2170" s="5">
        <v>26.3</v>
      </c>
      <c r="V2170" s="5">
        <v>26.25</v>
      </c>
      <c r="Y2170" s="5">
        <v>4000</v>
      </c>
      <c r="Z2170" s="5">
        <v>104700</v>
      </c>
      <c r="AA2170" s="5">
        <v>2</v>
      </c>
      <c r="AB2170" s="5" t="s">
        <v>85</v>
      </c>
      <c r="AC2170" s="5">
        <v>2000</v>
      </c>
    </row>
    <row r="2171" spans="1:29" x14ac:dyDescent="0.3">
      <c r="A2171" s="34">
        <v>46274</v>
      </c>
      <c r="B2171" s="34">
        <v>46274</v>
      </c>
      <c r="C2171" s="5" t="s">
        <v>78</v>
      </c>
      <c r="D2171" s="5" t="s">
        <v>79</v>
      </c>
      <c r="E2171" s="5" t="s">
        <v>80</v>
      </c>
      <c r="F2171" s="5">
        <v>13502</v>
      </c>
      <c r="G2171" s="5" t="s">
        <v>6601</v>
      </c>
      <c r="H2171" s="5" t="s">
        <v>6602</v>
      </c>
      <c r="I2171" s="5" t="s">
        <v>313</v>
      </c>
      <c r="N2171" s="5" t="s">
        <v>6603</v>
      </c>
      <c r="O2171" s="5">
        <v>86</v>
      </c>
      <c r="P2171" s="5">
        <v>93.5</v>
      </c>
      <c r="Q2171" s="5">
        <v>86</v>
      </c>
      <c r="R2171" s="5">
        <v>93.5</v>
      </c>
      <c r="S2171" s="5">
        <v>93.5</v>
      </c>
      <c r="T2171" s="5">
        <v>90.5</v>
      </c>
      <c r="V2171" s="5">
        <v>93.5</v>
      </c>
      <c r="Y2171" s="5">
        <v>8000</v>
      </c>
      <c r="Z2171" s="5">
        <v>723520</v>
      </c>
      <c r="AA2171" s="5">
        <v>5</v>
      </c>
      <c r="AB2171" s="5" t="s">
        <v>85</v>
      </c>
      <c r="AC2171" s="5">
        <v>1600</v>
      </c>
    </row>
    <row r="2172" spans="1:29" x14ac:dyDescent="0.3">
      <c r="A2172" s="34">
        <v>46274</v>
      </c>
      <c r="B2172" s="34">
        <v>46274</v>
      </c>
      <c r="C2172" s="5" t="s">
        <v>78</v>
      </c>
      <c r="D2172" s="5" t="s">
        <v>79</v>
      </c>
      <c r="E2172" s="5" t="s">
        <v>80</v>
      </c>
      <c r="F2172" s="5">
        <v>765138</v>
      </c>
      <c r="G2172" s="5" t="s">
        <v>6604</v>
      </c>
      <c r="H2172" s="5" t="s">
        <v>6605</v>
      </c>
      <c r="I2172" s="5" t="s">
        <v>234</v>
      </c>
      <c r="N2172" s="5" t="s">
        <v>6606</v>
      </c>
      <c r="O2172" s="5">
        <v>33.299999999999997</v>
      </c>
      <c r="P2172" s="5">
        <v>33.79</v>
      </c>
      <c r="Q2172" s="5">
        <v>30.59</v>
      </c>
      <c r="R2172" s="5">
        <v>30.59</v>
      </c>
      <c r="S2172" s="5">
        <v>30.59</v>
      </c>
      <c r="T2172" s="5">
        <v>32.200000000000003</v>
      </c>
      <c r="V2172" s="5">
        <v>32.869999999999997</v>
      </c>
      <c r="Y2172" s="5">
        <v>233</v>
      </c>
      <c r="Z2172" s="5">
        <v>7581.32</v>
      </c>
      <c r="AA2172" s="5">
        <v>11</v>
      </c>
      <c r="AB2172" s="5" t="s">
        <v>85</v>
      </c>
      <c r="AC2172" s="5">
        <v>1</v>
      </c>
    </row>
    <row r="2173" spans="1:29" x14ac:dyDescent="0.3">
      <c r="A2173" s="34">
        <v>46274</v>
      </c>
      <c r="B2173" s="34">
        <v>46274</v>
      </c>
      <c r="C2173" s="5" t="s">
        <v>78</v>
      </c>
      <c r="D2173" s="5" t="s">
        <v>79</v>
      </c>
      <c r="E2173" s="5" t="s">
        <v>80</v>
      </c>
      <c r="F2173" s="5">
        <v>4503</v>
      </c>
      <c r="G2173" s="5" t="s">
        <v>6607</v>
      </c>
      <c r="H2173" s="5" t="s">
        <v>6608</v>
      </c>
      <c r="I2173" s="5" t="s">
        <v>212</v>
      </c>
      <c r="N2173" s="5" t="s">
        <v>6609</v>
      </c>
      <c r="O2173" s="5">
        <v>2325.6999999999998</v>
      </c>
      <c r="P2173" s="5">
        <v>2326.6</v>
      </c>
      <c r="Q2173" s="5">
        <v>2286.8000000000002</v>
      </c>
      <c r="R2173" s="5">
        <v>2307.5</v>
      </c>
      <c r="S2173" s="5">
        <v>2307.5</v>
      </c>
      <c r="T2173" s="5">
        <v>2355</v>
      </c>
      <c r="V2173" s="5">
        <v>2307.5</v>
      </c>
      <c r="Y2173" s="5">
        <v>288892</v>
      </c>
      <c r="Z2173" s="5">
        <v>666303086.20000005</v>
      </c>
      <c r="AA2173" s="5">
        <v>25729</v>
      </c>
      <c r="AB2173" s="5" t="s">
        <v>85</v>
      </c>
      <c r="AC2173" s="5">
        <v>1</v>
      </c>
    </row>
    <row r="2174" spans="1:29" x14ac:dyDescent="0.3">
      <c r="A2174" s="34">
        <v>46274</v>
      </c>
      <c r="B2174" s="34">
        <v>46274</v>
      </c>
      <c r="C2174" s="5" t="s">
        <v>78</v>
      </c>
      <c r="D2174" s="5" t="s">
        <v>79</v>
      </c>
      <c r="E2174" s="5" t="s">
        <v>80</v>
      </c>
      <c r="F2174" s="5">
        <v>10578</v>
      </c>
      <c r="G2174" s="5" t="s">
        <v>6610</v>
      </c>
      <c r="H2174" s="5" t="s">
        <v>6611</v>
      </c>
      <c r="I2174" s="5" t="s">
        <v>212</v>
      </c>
      <c r="N2174" s="5" t="s">
        <v>6612</v>
      </c>
      <c r="O2174" s="5">
        <v>2763.9</v>
      </c>
      <c r="P2174" s="5">
        <v>2806.7</v>
      </c>
      <c r="Q2174" s="5">
        <v>2678.2</v>
      </c>
      <c r="R2174" s="5">
        <v>2783.4</v>
      </c>
      <c r="S2174" s="5">
        <v>2750</v>
      </c>
      <c r="T2174" s="5">
        <v>2749.1</v>
      </c>
      <c r="V2174" s="5">
        <v>2783.69</v>
      </c>
      <c r="Y2174" s="5">
        <v>31308</v>
      </c>
      <c r="Z2174" s="5">
        <v>86260448.799999997</v>
      </c>
      <c r="AA2174" s="5">
        <v>4968</v>
      </c>
      <c r="AB2174" s="5" t="s">
        <v>85</v>
      </c>
      <c r="AC2174" s="5">
        <v>1</v>
      </c>
    </row>
    <row r="2175" spans="1:29" x14ac:dyDescent="0.3">
      <c r="A2175" s="34">
        <v>46274</v>
      </c>
      <c r="B2175" s="34">
        <v>46274</v>
      </c>
      <c r="C2175" s="5" t="s">
        <v>78</v>
      </c>
      <c r="D2175" s="5" t="s">
        <v>79</v>
      </c>
      <c r="E2175" s="5" t="s">
        <v>80</v>
      </c>
      <c r="F2175" s="5">
        <v>2277</v>
      </c>
      <c r="G2175" s="5" t="s">
        <v>6613</v>
      </c>
      <c r="H2175" s="5" t="s">
        <v>6614</v>
      </c>
      <c r="I2175" s="5" t="s">
        <v>212</v>
      </c>
      <c r="N2175" s="5" t="s">
        <v>6615</v>
      </c>
      <c r="O2175" s="5">
        <v>128400</v>
      </c>
      <c r="P2175" s="5">
        <v>129090</v>
      </c>
      <c r="Q2175" s="5">
        <v>127545</v>
      </c>
      <c r="R2175" s="5">
        <v>128315</v>
      </c>
      <c r="S2175" s="5">
        <v>128590</v>
      </c>
      <c r="T2175" s="5">
        <v>128245</v>
      </c>
      <c r="V2175" s="5">
        <v>128327.73</v>
      </c>
      <c r="Y2175" s="5">
        <v>2834</v>
      </c>
      <c r="Z2175" s="5">
        <v>363685605</v>
      </c>
      <c r="AA2175" s="5">
        <v>2314</v>
      </c>
      <c r="AB2175" s="5" t="s">
        <v>85</v>
      </c>
      <c r="AC2175" s="5">
        <v>1</v>
      </c>
    </row>
    <row r="2176" spans="1:29" x14ac:dyDescent="0.3">
      <c r="A2176" s="34">
        <v>46274</v>
      </c>
      <c r="B2176" s="34">
        <v>46274</v>
      </c>
      <c r="C2176" s="5" t="s">
        <v>78</v>
      </c>
      <c r="D2176" s="5" t="s">
        <v>79</v>
      </c>
      <c r="E2176" s="5" t="s">
        <v>80</v>
      </c>
      <c r="F2176" s="5">
        <v>2283</v>
      </c>
      <c r="G2176" s="5" t="s">
        <v>6616</v>
      </c>
      <c r="H2176" s="5" t="s">
        <v>6617</v>
      </c>
      <c r="I2176" s="5" t="s">
        <v>212</v>
      </c>
      <c r="N2176" s="5" t="s">
        <v>6617</v>
      </c>
      <c r="O2176" s="5">
        <v>173.19</v>
      </c>
      <c r="P2176" s="5">
        <v>186.99</v>
      </c>
      <c r="Q2176" s="5">
        <v>173.19</v>
      </c>
      <c r="R2176" s="5">
        <v>184.46</v>
      </c>
      <c r="S2176" s="5">
        <v>184</v>
      </c>
      <c r="T2176" s="5">
        <v>172.96</v>
      </c>
      <c r="V2176" s="5">
        <v>184.45</v>
      </c>
      <c r="Y2176" s="5">
        <v>47490869</v>
      </c>
      <c r="Z2176" s="5">
        <v>8661513709.9099998</v>
      </c>
      <c r="AA2176" s="5">
        <v>230413</v>
      </c>
      <c r="AB2176" s="5" t="s">
        <v>85</v>
      </c>
      <c r="AC2176" s="5">
        <v>1</v>
      </c>
    </row>
    <row r="2177" spans="1:29" x14ac:dyDescent="0.3">
      <c r="A2177" s="34">
        <v>46274</v>
      </c>
      <c r="B2177" s="34">
        <v>46274</v>
      </c>
      <c r="C2177" s="5" t="s">
        <v>78</v>
      </c>
      <c r="D2177" s="5" t="s">
        <v>79</v>
      </c>
      <c r="E2177" s="5" t="s">
        <v>80</v>
      </c>
      <c r="F2177" s="5">
        <v>1628</v>
      </c>
      <c r="G2177" s="5" t="s">
        <v>6618</v>
      </c>
      <c r="H2177" s="5" t="s">
        <v>6619</v>
      </c>
      <c r="I2177" s="5" t="s">
        <v>212</v>
      </c>
      <c r="N2177" s="5" t="s">
        <v>6620</v>
      </c>
      <c r="O2177" s="5">
        <v>230.1</v>
      </c>
      <c r="P2177" s="5">
        <v>243.7</v>
      </c>
      <c r="Q2177" s="5">
        <v>225.61</v>
      </c>
      <c r="R2177" s="5">
        <v>242.05</v>
      </c>
      <c r="S2177" s="5">
        <v>242</v>
      </c>
      <c r="T2177" s="5">
        <v>230.35</v>
      </c>
      <c r="V2177" s="5">
        <v>242.06</v>
      </c>
      <c r="Y2177" s="5">
        <v>2474475</v>
      </c>
      <c r="Z2177" s="5">
        <v>588901036.64999998</v>
      </c>
      <c r="AA2177" s="5">
        <v>47451</v>
      </c>
      <c r="AB2177" s="5" t="s">
        <v>85</v>
      </c>
      <c r="AC2177" s="5">
        <v>1</v>
      </c>
    </row>
    <row r="2178" spans="1:29" x14ac:dyDescent="0.3">
      <c r="A2178" s="34">
        <v>46274</v>
      </c>
      <c r="B2178" s="34">
        <v>46274</v>
      </c>
      <c r="C2178" s="5" t="s">
        <v>78</v>
      </c>
      <c r="D2178" s="5" t="s">
        <v>79</v>
      </c>
      <c r="E2178" s="5" t="s">
        <v>80</v>
      </c>
      <c r="F2178" s="5">
        <v>11919</v>
      </c>
      <c r="G2178" s="5" t="s">
        <v>6621</v>
      </c>
      <c r="H2178" s="5" t="s">
        <v>6622</v>
      </c>
      <c r="I2178" s="5" t="s">
        <v>212</v>
      </c>
      <c r="N2178" s="5" t="s">
        <v>6623</v>
      </c>
      <c r="O2178" s="5">
        <v>34.6</v>
      </c>
      <c r="P2178" s="5">
        <v>35.1</v>
      </c>
      <c r="Q2178" s="5">
        <v>34.200000000000003</v>
      </c>
      <c r="R2178" s="5">
        <v>34.43</v>
      </c>
      <c r="S2178" s="5">
        <v>34.54</v>
      </c>
      <c r="T2178" s="5">
        <v>34.950000000000003</v>
      </c>
      <c r="V2178" s="5">
        <v>34.43</v>
      </c>
      <c r="Y2178" s="5">
        <v>1130276</v>
      </c>
      <c r="Z2178" s="5">
        <v>39147913.670000002</v>
      </c>
      <c r="AA2178" s="5">
        <v>3438</v>
      </c>
      <c r="AB2178" s="5" t="s">
        <v>85</v>
      </c>
      <c r="AC2178" s="5">
        <v>1</v>
      </c>
    </row>
    <row r="2179" spans="1:29" x14ac:dyDescent="0.3">
      <c r="A2179" s="34">
        <v>46274</v>
      </c>
      <c r="B2179" s="34">
        <v>46274</v>
      </c>
      <c r="C2179" s="5" t="s">
        <v>78</v>
      </c>
      <c r="D2179" s="5" t="s">
        <v>79</v>
      </c>
      <c r="E2179" s="5" t="s">
        <v>80</v>
      </c>
      <c r="F2179" s="5">
        <v>9356</v>
      </c>
      <c r="G2179" s="5" t="s">
        <v>6624</v>
      </c>
      <c r="H2179" s="5" t="s">
        <v>6625</v>
      </c>
      <c r="I2179" s="5" t="s">
        <v>212</v>
      </c>
      <c r="N2179" s="5" t="s">
        <v>6626</v>
      </c>
      <c r="O2179" s="5">
        <v>778.55</v>
      </c>
      <c r="P2179" s="5">
        <v>787.05</v>
      </c>
      <c r="Q2179" s="5">
        <v>757</v>
      </c>
      <c r="R2179" s="5">
        <v>764.1</v>
      </c>
      <c r="S2179" s="5">
        <v>758</v>
      </c>
      <c r="T2179" s="5">
        <v>778.55</v>
      </c>
      <c r="V2179" s="5">
        <v>763.69</v>
      </c>
      <c r="Y2179" s="5">
        <v>218533</v>
      </c>
      <c r="Z2179" s="5">
        <v>168771252.90000001</v>
      </c>
      <c r="AA2179" s="5">
        <v>8677</v>
      </c>
      <c r="AB2179" s="5" t="s">
        <v>85</v>
      </c>
      <c r="AC2179" s="5">
        <v>1</v>
      </c>
    </row>
    <row r="2180" spans="1:29" x14ac:dyDescent="0.3">
      <c r="A2180" s="34">
        <v>46274</v>
      </c>
      <c r="B2180" s="34">
        <v>46274</v>
      </c>
      <c r="C2180" s="5" t="s">
        <v>78</v>
      </c>
      <c r="D2180" s="5" t="s">
        <v>79</v>
      </c>
      <c r="E2180" s="5" t="s">
        <v>80</v>
      </c>
      <c r="F2180" s="5">
        <v>31413</v>
      </c>
      <c r="G2180" s="5" t="s">
        <v>6627</v>
      </c>
      <c r="H2180" s="5" t="s">
        <v>6628</v>
      </c>
      <c r="I2180" s="5" t="s">
        <v>234</v>
      </c>
      <c r="N2180" s="5" t="s">
        <v>6629</v>
      </c>
      <c r="O2180" s="5">
        <v>1.96</v>
      </c>
      <c r="P2180" s="5">
        <v>1.96</v>
      </c>
      <c r="Q2180" s="5">
        <v>1.78</v>
      </c>
      <c r="R2180" s="5">
        <v>1.93</v>
      </c>
      <c r="S2180" s="5">
        <v>1.93</v>
      </c>
      <c r="T2180" s="5">
        <v>1.87</v>
      </c>
      <c r="V2180" s="5">
        <v>1.93</v>
      </c>
      <c r="Y2180" s="5">
        <v>46802</v>
      </c>
      <c r="Z2180" s="5">
        <v>87837.05</v>
      </c>
      <c r="AA2180" s="5">
        <v>117</v>
      </c>
      <c r="AB2180" s="5" t="s">
        <v>85</v>
      </c>
      <c r="AC2180" s="5">
        <v>1</v>
      </c>
    </row>
    <row r="2181" spans="1:29" x14ac:dyDescent="0.3">
      <c r="A2181" s="34">
        <v>46274</v>
      </c>
      <c r="B2181" s="34">
        <v>46274</v>
      </c>
      <c r="C2181" s="5" t="s">
        <v>78</v>
      </c>
      <c r="D2181" s="5" t="s">
        <v>79</v>
      </c>
      <c r="E2181" s="5" t="s">
        <v>80</v>
      </c>
      <c r="F2181" s="5">
        <v>2715</v>
      </c>
      <c r="G2181" s="5" t="s">
        <v>6630</v>
      </c>
      <c r="H2181" s="5" t="s">
        <v>6631</v>
      </c>
      <c r="I2181" s="5" t="s">
        <v>234</v>
      </c>
      <c r="N2181" s="5" t="s">
        <v>6632</v>
      </c>
      <c r="O2181" s="5">
        <v>7900</v>
      </c>
      <c r="P2181" s="5">
        <v>7945</v>
      </c>
      <c r="Q2181" s="5">
        <v>7410</v>
      </c>
      <c r="R2181" s="5">
        <v>7501</v>
      </c>
      <c r="S2181" s="5">
        <v>7501</v>
      </c>
      <c r="T2181" s="5">
        <v>7799.5</v>
      </c>
      <c r="V2181" s="5">
        <v>7501.78</v>
      </c>
      <c r="Y2181" s="5">
        <v>147151</v>
      </c>
      <c r="Z2181" s="5">
        <v>1117455025</v>
      </c>
      <c r="AA2181" s="5">
        <v>19963</v>
      </c>
      <c r="AB2181" s="5" t="s">
        <v>85</v>
      </c>
      <c r="AC2181" s="5">
        <v>1</v>
      </c>
    </row>
    <row r="2182" spans="1:29" x14ac:dyDescent="0.3">
      <c r="A2182" s="34">
        <v>46274</v>
      </c>
      <c r="B2182" s="34">
        <v>46274</v>
      </c>
      <c r="C2182" s="5" t="s">
        <v>78</v>
      </c>
      <c r="D2182" s="5" t="s">
        <v>79</v>
      </c>
      <c r="E2182" s="5" t="s">
        <v>80</v>
      </c>
      <c r="F2182" s="5">
        <v>19783</v>
      </c>
      <c r="G2182" s="5" t="s">
        <v>6633</v>
      </c>
      <c r="H2182" s="5" t="s">
        <v>6634</v>
      </c>
      <c r="I2182" s="5" t="s">
        <v>212</v>
      </c>
      <c r="N2182" s="5" t="s">
        <v>6635</v>
      </c>
      <c r="O2182" s="5">
        <v>135.26</v>
      </c>
      <c r="P2182" s="5">
        <v>135.99</v>
      </c>
      <c r="Q2182" s="5">
        <v>134.19999999999999</v>
      </c>
      <c r="R2182" s="5">
        <v>134.83000000000001</v>
      </c>
      <c r="S2182" s="5">
        <v>134.38</v>
      </c>
      <c r="T2182" s="5">
        <v>135.35</v>
      </c>
      <c r="V2182" s="5">
        <v>134.83000000000001</v>
      </c>
      <c r="Y2182" s="5">
        <v>444682</v>
      </c>
      <c r="Z2182" s="5">
        <v>60001205.159999996</v>
      </c>
      <c r="AA2182" s="5">
        <v>2336</v>
      </c>
      <c r="AB2182" s="5" t="s">
        <v>85</v>
      </c>
      <c r="AC2182" s="5">
        <v>1</v>
      </c>
    </row>
    <row r="2183" spans="1:29" x14ac:dyDescent="0.3">
      <c r="A2183" s="34">
        <v>46274</v>
      </c>
      <c r="B2183" s="34">
        <v>46274</v>
      </c>
      <c r="C2183" s="5" t="s">
        <v>78</v>
      </c>
      <c r="D2183" s="5" t="s">
        <v>79</v>
      </c>
      <c r="E2183" s="5" t="s">
        <v>80</v>
      </c>
      <c r="F2183" s="5">
        <v>11325</v>
      </c>
      <c r="G2183" s="5" t="s">
        <v>6636</v>
      </c>
      <c r="H2183" s="5" t="s">
        <v>6637</v>
      </c>
      <c r="I2183" s="5" t="s">
        <v>212</v>
      </c>
      <c r="N2183" s="5" t="s">
        <v>6638</v>
      </c>
      <c r="O2183" s="5">
        <v>136.69999999999999</v>
      </c>
      <c r="P2183" s="5">
        <v>141</v>
      </c>
      <c r="Q2183" s="5">
        <v>135.21</v>
      </c>
      <c r="R2183" s="5">
        <v>139.69</v>
      </c>
      <c r="S2183" s="5">
        <v>140.9</v>
      </c>
      <c r="T2183" s="5">
        <v>137.66</v>
      </c>
      <c r="V2183" s="5">
        <v>139.66999999999999</v>
      </c>
      <c r="Y2183" s="5">
        <v>172124</v>
      </c>
      <c r="Z2183" s="5">
        <v>23808416.739999998</v>
      </c>
      <c r="AA2183" s="5">
        <v>1620</v>
      </c>
      <c r="AB2183" s="5" t="s">
        <v>85</v>
      </c>
      <c r="AC2183" s="5">
        <v>1</v>
      </c>
    </row>
    <row r="2184" spans="1:29" x14ac:dyDescent="0.3">
      <c r="A2184" s="34">
        <v>46274</v>
      </c>
      <c r="B2184" s="34">
        <v>46274</v>
      </c>
      <c r="C2184" s="5" t="s">
        <v>78</v>
      </c>
      <c r="D2184" s="5" t="s">
        <v>79</v>
      </c>
      <c r="E2184" s="5" t="s">
        <v>80</v>
      </c>
      <c r="F2184" s="5">
        <v>764788</v>
      </c>
      <c r="G2184" s="5" t="s">
        <v>6639</v>
      </c>
      <c r="H2184" s="5" t="s">
        <v>6640</v>
      </c>
      <c r="I2184" s="5" t="s">
        <v>212</v>
      </c>
      <c r="N2184" s="5" t="s">
        <v>6641</v>
      </c>
      <c r="O2184" s="5">
        <v>127.01</v>
      </c>
      <c r="P2184" s="5">
        <v>135</v>
      </c>
      <c r="Q2184" s="5">
        <v>127</v>
      </c>
      <c r="R2184" s="5">
        <v>135</v>
      </c>
      <c r="S2184" s="5">
        <v>135</v>
      </c>
      <c r="T2184" s="5">
        <v>133.44999999999999</v>
      </c>
      <c r="V2184" s="5">
        <v>134</v>
      </c>
      <c r="Y2184" s="5">
        <v>106</v>
      </c>
      <c r="Z2184" s="5">
        <v>13510.5</v>
      </c>
      <c r="AA2184" s="5">
        <v>7</v>
      </c>
      <c r="AB2184" s="5" t="s">
        <v>85</v>
      </c>
      <c r="AC2184" s="5">
        <v>1</v>
      </c>
    </row>
    <row r="2185" spans="1:29" x14ac:dyDescent="0.3">
      <c r="A2185" s="34">
        <v>46274</v>
      </c>
      <c r="B2185" s="34">
        <v>46274</v>
      </c>
      <c r="C2185" s="5" t="s">
        <v>78</v>
      </c>
      <c r="D2185" s="5" t="s">
        <v>79</v>
      </c>
      <c r="E2185" s="5" t="s">
        <v>80</v>
      </c>
      <c r="F2185" s="5">
        <v>22980</v>
      </c>
      <c r="G2185" s="5" t="s">
        <v>6642</v>
      </c>
      <c r="H2185" s="5" t="s">
        <v>6643</v>
      </c>
      <c r="I2185" s="5" t="s">
        <v>212</v>
      </c>
      <c r="N2185" s="5" t="s">
        <v>6644</v>
      </c>
      <c r="O2185" s="5">
        <v>30.49</v>
      </c>
      <c r="P2185" s="5">
        <v>31.2</v>
      </c>
      <c r="Q2185" s="5">
        <v>28.16</v>
      </c>
      <c r="R2185" s="5">
        <v>29.86</v>
      </c>
      <c r="S2185" s="5">
        <v>29.88</v>
      </c>
      <c r="T2185" s="5">
        <v>30.72</v>
      </c>
      <c r="V2185" s="5">
        <v>29.86</v>
      </c>
      <c r="Y2185" s="5">
        <v>1716557</v>
      </c>
      <c r="Z2185" s="5">
        <v>51493267.450000003</v>
      </c>
      <c r="AA2185" s="5">
        <v>5627</v>
      </c>
      <c r="AB2185" s="5" t="s">
        <v>85</v>
      </c>
      <c r="AC2185" s="5">
        <v>1</v>
      </c>
    </row>
    <row r="2186" spans="1:29" x14ac:dyDescent="0.3">
      <c r="A2186" s="34">
        <v>46274</v>
      </c>
      <c r="B2186" s="34">
        <v>46274</v>
      </c>
      <c r="C2186" s="5" t="s">
        <v>78</v>
      </c>
      <c r="D2186" s="5" t="s">
        <v>79</v>
      </c>
      <c r="E2186" s="5" t="s">
        <v>80</v>
      </c>
      <c r="F2186" s="5">
        <v>8691</v>
      </c>
      <c r="G2186" s="5" t="s">
        <v>6645</v>
      </c>
      <c r="H2186" s="5" t="s">
        <v>6646</v>
      </c>
      <c r="I2186" s="5" t="s">
        <v>234</v>
      </c>
      <c r="N2186" s="5" t="s">
        <v>6647</v>
      </c>
      <c r="O2186" s="5">
        <v>55.8</v>
      </c>
      <c r="P2186" s="5">
        <v>58.99</v>
      </c>
      <c r="Q2186" s="5">
        <v>55.8</v>
      </c>
      <c r="R2186" s="5">
        <v>58.1</v>
      </c>
      <c r="S2186" s="5">
        <v>58.1</v>
      </c>
      <c r="T2186" s="5">
        <v>57.05</v>
      </c>
      <c r="V2186" s="5">
        <v>58.1</v>
      </c>
      <c r="Y2186" s="5">
        <v>3237</v>
      </c>
      <c r="Z2186" s="5">
        <v>185951.57</v>
      </c>
      <c r="AA2186" s="5">
        <v>31</v>
      </c>
      <c r="AB2186" s="5" t="s">
        <v>85</v>
      </c>
      <c r="AC2186" s="5">
        <v>1</v>
      </c>
    </row>
    <row r="2187" spans="1:29" x14ac:dyDescent="0.3">
      <c r="A2187" s="34">
        <v>46274</v>
      </c>
      <c r="B2187" s="34">
        <v>46274</v>
      </c>
      <c r="C2187" s="5" t="s">
        <v>78</v>
      </c>
      <c r="D2187" s="5" t="s">
        <v>79</v>
      </c>
      <c r="E2187" s="5" t="s">
        <v>80</v>
      </c>
      <c r="F2187" s="5">
        <v>31181</v>
      </c>
      <c r="G2187" s="5" t="s">
        <v>6648</v>
      </c>
      <c r="H2187" s="5" t="s">
        <v>6649</v>
      </c>
      <c r="I2187" s="5" t="s">
        <v>212</v>
      </c>
      <c r="N2187" s="5" t="s">
        <v>6650</v>
      </c>
      <c r="O2187" s="5">
        <v>3362</v>
      </c>
      <c r="P2187" s="5">
        <v>3398</v>
      </c>
      <c r="Q2187" s="5">
        <v>3323.5</v>
      </c>
      <c r="R2187" s="5">
        <v>3350</v>
      </c>
      <c r="S2187" s="5">
        <v>3350</v>
      </c>
      <c r="T2187" s="5">
        <v>3342</v>
      </c>
      <c r="V2187" s="5">
        <v>3349.94</v>
      </c>
      <c r="Y2187" s="5">
        <v>2174879</v>
      </c>
      <c r="Z2187" s="5">
        <v>7300292514</v>
      </c>
      <c r="AA2187" s="5">
        <v>104398</v>
      </c>
      <c r="AB2187" s="5" t="s">
        <v>85</v>
      </c>
      <c r="AC2187" s="5">
        <v>1</v>
      </c>
    </row>
    <row r="2188" spans="1:29" x14ac:dyDescent="0.3">
      <c r="A2188" s="34">
        <v>46274</v>
      </c>
      <c r="B2188" s="34">
        <v>46274</v>
      </c>
      <c r="C2188" s="5" t="s">
        <v>78</v>
      </c>
      <c r="D2188" s="5" t="s">
        <v>79</v>
      </c>
      <c r="E2188" s="5" t="s">
        <v>80</v>
      </c>
      <c r="F2188" s="5">
        <v>759416</v>
      </c>
      <c r="G2188" s="5" t="s">
        <v>6651</v>
      </c>
      <c r="H2188" s="5" t="s">
        <v>6652</v>
      </c>
      <c r="I2188" s="5" t="s">
        <v>313</v>
      </c>
      <c r="N2188" s="5" t="s">
        <v>6653</v>
      </c>
      <c r="O2188" s="5">
        <v>88.5</v>
      </c>
      <c r="P2188" s="5">
        <v>102.4</v>
      </c>
      <c r="Q2188" s="5">
        <v>86.1</v>
      </c>
      <c r="R2188" s="5">
        <v>95.55</v>
      </c>
      <c r="S2188" s="5">
        <v>95.2</v>
      </c>
      <c r="T2188" s="5">
        <v>85.4</v>
      </c>
      <c r="V2188" s="5">
        <v>95.55</v>
      </c>
      <c r="Y2188" s="5">
        <v>116400</v>
      </c>
      <c r="Z2188" s="5">
        <v>11395560</v>
      </c>
      <c r="AA2188" s="5">
        <v>66</v>
      </c>
      <c r="AB2188" s="5" t="s">
        <v>85</v>
      </c>
      <c r="AC2188" s="5">
        <v>1200</v>
      </c>
    </row>
    <row r="2189" spans="1:29" x14ac:dyDescent="0.3">
      <c r="A2189" s="34">
        <v>46274</v>
      </c>
      <c r="B2189" s="34">
        <v>46274</v>
      </c>
      <c r="C2189" s="5" t="s">
        <v>78</v>
      </c>
      <c r="D2189" s="5" t="s">
        <v>79</v>
      </c>
      <c r="E2189" s="5" t="s">
        <v>80</v>
      </c>
      <c r="F2189" s="5">
        <v>13511</v>
      </c>
      <c r="G2189" s="5" t="s">
        <v>6654</v>
      </c>
      <c r="H2189" s="5" t="s">
        <v>6655</v>
      </c>
      <c r="I2189" s="5" t="s">
        <v>212</v>
      </c>
      <c r="N2189" s="5" t="s">
        <v>6656</v>
      </c>
      <c r="O2189" s="5">
        <v>112.11</v>
      </c>
      <c r="P2189" s="5">
        <v>113.07</v>
      </c>
      <c r="Q2189" s="5">
        <v>109.33</v>
      </c>
      <c r="R2189" s="5">
        <v>109.83</v>
      </c>
      <c r="S2189" s="5">
        <v>110.45</v>
      </c>
      <c r="T2189" s="5">
        <v>112.8</v>
      </c>
      <c r="V2189" s="5">
        <v>109.83</v>
      </c>
      <c r="Y2189" s="5">
        <v>418680</v>
      </c>
      <c r="Z2189" s="5">
        <v>46284936.100000001</v>
      </c>
      <c r="AA2189" s="5">
        <v>5127</v>
      </c>
      <c r="AB2189" s="5" t="s">
        <v>85</v>
      </c>
      <c r="AC2189" s="5">
        <v>1</v>
      </c>
    </row>
    <row r="2190" spans="1:29" x14ac:dyDescent="0.3">
      <c r="A2190" s="34">
        <v>46274</v>
      </c>
      <c r="B2190" s="34">
        <v>46274</v>
      </c>
      <c r="C2190" s="5" t="s">
        <v>78</v>
      </c>
      <c r="D2190" s="5" t="s">
        <v>79</v>
      </c>
      <c r="E2190" s="5" t="s">
        <v>80</v>
      </c>
      <c r="F2190" s="5">
        <v>2307</v>
      </c>
      <c r="G2190" s="5" t="s">
        <v>6657</v>
      </c>
      <c r="H2190" s="5" t="s">
        <v>6658</v>
      </c>
      <c r="I2190" s="5" t="s">
        <v>212</v>
      </c>
      <c r="N2190" s="5" t="s">
        <v>6659</v>
      </c>
      <c r="O2190" s="5">
        <v>130.38</v>
      </c>
      <c r="P2190" s="5">
        <v>130.38</v>
      </c>
      <c r="Q2190" s="5">
        <v>127.3</v>
      </c>
      <c r="R2190" s="5">
        <v>128.19</v>
      </c>
      <c r="S2190" s="5">
        <v>128</v>
      </c>
      <c r="T2190" s="5">
        <v>128.75</v>
      </c>
      <c r="V2190" s="5">
        <v>128.19</v>
      </c>
      <c r="Y2190" s="5">
        <v>21573</v>
      </c>
      <c r="Z2190" s="5">
        <v>2764976.61</v>
      </c>
      <c r="AA2190" s="5">
        <v>422</v>
      </c>
      <c r="AB2190" s="5" t="s">
        <v>85</v>
      </c>
      <c r="AC2190" s="5">
        <v>1</v>
      </c>
    </row>
    <row r="2191" spans="1:29" x14ac:dyDescent="0.3">
      <c r="A2191" s="34">
        <v>46274</v>
      </c>
      <c r="B2191" s="34">
        <v>46274</v>
      </c>
      <c r="C2191" s="5" t="s">
        <v>78</v>
      </c>
      <c r="D2191" s="5" t="s">
        <v>79</v>
      </c>
      <c r="E2191" s="5" t="s">
        <v>80</v>
      </c>
      <c r="F2191" s="5">
        <v>2313</v>
      </c>
      <c r="G2191" s="5" t="s">
        <v>6660</v>
      </c>
      <c r="H2191" s="5" t="s">
        <v>6661</v>
      </c>
      <c r="I2191" s="5" t="s">
        <v>212</v>
      </c>
      <c r="N2191" s="5" t="s">
        <v>6662</v>
      </c>
      <c r="O2191" s="5">
        <v>28.55</v>
      </c>
      <c r="P2191" s="5">
        <v>32.090000000000003</v>
      </c>
      <c r="Q2191" s="5">
        <v>28</v>
      </c>
      <c r="R2191" s="5">
        <v>30.83</v>
      </c>
      <c r="S2191" s="5">
        <v>30.06</v>
      </c>
      <c r="T2191" s="5">
        <v>29.08</v>
      </c>
      <c r="V2191" s="5">
        <v>30.88</v>
      </c>
      <c r="Y2191" s="5">
        <v>50558</v>
      </c>
      <c r="Z2191" s="5">
        <v>1505230.65</v>
      </c>
      <c r="AA2191" s="5">
        <v>599</v>
      </c>
      <c r="AB2191" s="5" t="s">
        <v>85</v>
      </c>
      <c r="AC2191" s="5">
        <v>1</v>
      </c>
    </row>
    <row r="2192" spans="1:29" x14ac:dyDescent="0.3">
      <c r="A2192" s="34">
        <v>46274</v>
      </c>
      <c r="B2192" s="34">
        <v>46274</v>
      </c>
      <c r="C2192" s="5" t="s">
        <v>78</v>
      </c>
      <c r="D2192" s="5" t="s">
        <v>79</v>
      </c>
      <c r="E2192" s="5" t="s">
        <v>80</v>
      </c>
      <c r="F2192" s="5">
        <v>19877</v>
      </c>
      <c r="G2192" s="5" t="s">
        <v>6663</v>
      </c>
      <c r="H2192" s="5" t="s">
        <v>6664</v>
      </c>
      <c r="I2192" s="5" t="s">
        <v>212</v>
      </c>
      <c r="N2192" s="5" t="s">
        <v>6665</v>
      </c>
      <c r="O2192" s="5">
        <v>6.09</v>
      </c>
      <c r="P2192" s="5">
        <v>7.33</v>
      </c>
      <c r="Q2192" s="5">
        <v>5.9</v>
      </c>
      <c r="R2192" s="5">
        <v>6.47</v>
      </c>
      <c r="S2192" s="5">
        <v>6.42</v>
      </c>
      <c r="T2192" s="5">
        <v>6.11</v>
      </c>
      <c r="V2192" s="5">
        <v>6.47</v>
      </c>
      <c r="Y2192" s="5">
        <v>196732</v>
      </c>
      <c r="Z2192" s="5">
        <v>1270292.82</v>
      </c>
      <c r="AA2192" s="5">
        <v>432</v>
      </c>
      <c r="AB2192" s="5" t="s">
        <v>85</v>
      </c>
      <c r="AC2192" s="5">
        <v>1</v>
      </c>
    </row>
    <row r="2193" spans="1:29" x14ac:dyDescent="0.3">
      <c r="A2193" s="34">
        <v>46274</v>
      </c>
      <c r="B2193" s="34">
        <v>46274</v>
      </c>
      <c r="C2193" s="5" t="s">
        <v>78</v>
      </c>
      <c r="D2193" s="5" t="s">
        <v>79</v>
      </c>
      <c r="E2193" s="5" t="s">
        <v>80</v>
      </c>
      <c r="F2193" s="5">
        <v>10415</v>
      </c>
      <c r="G2193" s="5" t="s">
        <v>6666</v>
      </c>
      <c r="H2193" s="5" t="s">
        <v>6667</v>
      </c>
      <c r="I2193" s="5" t="s">
        <v>212</v>
      </c>
      <c r="N2193" s="5" t="s">
        <v>6668</v>
      </c>
      <c r="O2193" s="5">
        <v>234.47</v>
      </c>
      <c r="P2193" s="5">
        <v>236</v>
      </c>
      <c r="Q2193" s="5">
        <v>233</v>
      </c>
      <c r="R2193" s="5">
        <v>235.33</v>
      </c>
      <c r="S2193" s="5">
        <v>235.98</v>
      </c>
      <c r="T2193" s="5">
        <v>234.39</v>
      </c>
      <c r="V2193" s="5">
        <v>235.33</v>
      </c>
      <c r="Y2193" s="5">
        <v>5157</v>
      </c>
      <c r="Z2193" s="5">
        <v>1207680.8700000001</v>
      </c>
      <c r="AA2193" s="5">
        <v>268</v>
      </c>
      <c r="AB2193" s="5" t="s">
        <v>85</v>
      </c>
      <c r="AC2193" s="5">
        <v>1</v>
      </c>
    </row>
    <row r="2194" spans="1:29" x14ac:dyDescent="0.3">
      <c r="A2194" s="34">
        <v>46274</v>
      </c>
      <c r="B2194" s="34">
        <v>46274</v>
      </c>
      <c r="C2194" s="5" t="s">
        <v>78</v>
      </c>
      <c r="D2194" s="5" t="s">
        <v>79</v>
      </c>
      <c r="E2194" s="5" t="s">
        <v>80</v>
      </c>
      <c r="F2194" s="5">
        <v>23650</v>
      </c>
      <c r="G2194" s="5" t="s">
        <v>6669</v>
      </c>
      <c r="H2194" s="5" t="s">
        <v>6670</v>
      </c>
      <c r="I2194" s="5" t="s">
        <v>212</v>
      </c>
      <c r="N2194" s="5" t="s">
        <v>6671</v>
      </c>
      <c r="O2194" s="5">
        <v>2854.1</v>
      </c>
      <c r="P2194" s="5">
        <v>2865.3</v>
      </c>
      <c r="Q2194" s="5">
        <v>2795.6</v>
      </c>
      <c r="R2194" s="5">
        <v>2815</v>
      </c>
      <c r="S2194" s="5">
        <v>2815</v>
      </c>
      <c r="T2194" s="5">
        <v>2899.7</v>
      </c>
      <c r="V2194" s="5">
        <v>2815.01</v>
      </c>
      <c r="Y2194" s="5">
        <v>1027017</v>
      </c>
      <c r="Z2194" s="5">
        <v>2903000287</v>
      </c>
      <c r="AA2194" s="5">
        <v>55560</v>
      </c>
      <c r="AB2194" s="5" t="s">
        <v>85</v>
      </c>
      <c r="AC2194" s="5">
        <v>1</v>
      </c>
    </row>
    <row r="2195" spans="1:29" x14ac:dyDescent="0.3">
      <c r="A2195" s="34">
        <v>46274</v>
      </c>
      <c r="B2195" s="34">
        <v>46274</v>
      </c>
      <c r="C2195" s="5" t="s">
        <v>78</v>
      </c>
      <c r="D2195" s="5" t="s">
        <v>79</v>
      </c>
      <c r="E2195" s="5" t="s">
        <v>80</v>
      </c>
      <c r="F2195" s="5">
        <v>20831</v>
      </c>
      <c r="G2195" s="5" t="s">
        <v>6672</v>
      </c>
      <c r="H2195" s="5" t="s">
        <v>6673</v>
      </c>
      <c r="I2195" s="5" t="s">
        <v>212</v>
      </c>
      <c r="N2195" s="5" t="s">
        <v>6674</v>
      </c>
      <c r="O2195" s="5">
        <v>202</v>
      </c>
      <c r="P2195" s="5">
        <v>202</v>
      </c>
      <c r="Q2195" s="5">
        <v>196</v>
      </c>
      <c r="R2195" s="5">
        <v>197.1</v>
      </c>
      <c r="S2195" s="5">
        <v>197.06</v>
      </c>
      <c r="T2195" s="5">
        <v>201.57</v>
      </c>
      <c r="V2195" s="5">
        <v>197.1</v>
      </c>
      <c r="Y2195" s="5">
        <v>242835</v>
      </c>
      <c r="Z2195" s="5">
        <v>47943609.770000003</v>
      </c>
      <c r="AA2195" s="5">
        <v>4567</v>
      </c>
      <c r="AB2195" s="5" t="s">
        <v>85</v>
      </c>
      <c r="AC2195" s="5">
        <v>1</v>
      </c>
    </row>
    <row r="2196" spans="1:29" x14ac:dyDescent="0.3">
      <c r="A2196" s="34">
        <v>46274</v>
      </c>
      <c r="B2196" s="34">
        <v>46274</v>
      </c>
      <c r="C2196" s="5" t="s">
        <v>78</v>
      </c>
      <c r="D2196" s="5" t="s">
        <v>79</v>
      </c>
      <c r="E2196" s="5" t="s">
        <v>80</v>
      </c>
      <c r="F2196" s="5">
        <v>764397</v>
      </c>
      <c r="G2196" s="5" t="s">
        <v>6675</v>
      </c>
      <c r="H2196" s="5" t="s">
        <v>6676</v>
      </c>
      <c r="I2196" s="5" t="s">
        <v>212</v>
      </c>
      <c r="N2196" s="5" t="s">
        <v>6677</v>
      </c>
      <c r="O2196" s="5">
        <v>887.85</v>
      </c>
      <c r="P2196" s="5">
        <v>948</v>
      </c>
      <c r="Q2196" s="5">
        <v>880</v>
      </c>
      <c r="R2196" s="5">
        <v>917.5</v>
      </c>
      <c r="S2196" s="5">
        <v>912</v>
      </c>
      <c r="T2196" s="5">
        <v>883.25</v>
      </c>
      <c r="V2196" s="5">
        <v>917.49</v>
      </c>
      <c r="Y2196" s="5">
        <v>16480312</v>
      </c>
      <c r="Z2196" s="5">
        <v>15208614886.1</v>
      </c>
      <c r="AA2196" s="5">
        <v>327976</v>
      </c>
      <c r="AB2196" s="5" t="s">
        <v>85</v>
      </c>
      <c r="AC2196" s="5">
        <v>1</v>
      </c>
    </row>
    <row r="2197" spans="1:29" x14ac:dyDescent="0.3">
      <c r="A2197" s="34">
        <v>46274</v>
      </c>
      <c r="B2197" s="34">
        <v>46274</v>
      </c>
      <c r="C2197" s="5" t="s">
        <v>78</v>
      </c>
      <c r="D2197" s="5" t="s">
        <v>79</v>
      </c>
      <c r="E2197" s="5" t="s">
        <v>80</v>
      </c>
      <c r="F2197" s="5">
        <v>25208</v>
      </c>
      <c r="G2197" s="5" t="s">
        <v>6678</v>
      </c>
      <c r="H2197" s="5" t="s">
        <v>6679</v>
      </c>
      <c r="I2197" s="5" t="s">
        <v>313</v>
      </c>
      <c r="N2197" s="5" t="s">
        <v>6680</v>
      </c>
      <c r="O2197" s="5">
        <v>69.7</v>
      </c>
      <c r="P2197" s="5">
        <v>69.7</v>
      </c>
      <c r="Q2197" s="5">
        <v>67.099999999999994</v>
      </c>
      <c r="R2197" s="5">
        <v>67.25</v>
      </c>
      <c r="S2197" s="5">
        <v>67.25</v>
      </c>
      <c r="T2197" s="5">
        <v>69.7</v>
      </c>
      <c r="V2197" s="5">
        <v>67.25</v>
      </c>
      <c r="Y2197" s="5">
        <v>9600</v>
      </c>
      <c r="Z2197" s="5">
        <v>652020</v>
      </c>
      <c r="AA2197" s="5">
        <v>7</v>
      </c>
      <c r="AB2197" s="5" t="s">
        <v>85</v>
      </c>
      <c r="AC2197" s="5">
        <v>1200</v>
      </c>
    </row>
    <row r="2198" spans="1:29" x14ac:dyDescent="0.3">
      <c r="A2198" s="34">
        <v>46274</v>
      </c>
      <c r="B2198" s="34">
        <v>46274</v>
      </c>
      <c r="C2198" s="5" t="s">
        <v>78</v>
      </c>
      <c r="D2198" s="5" t="s">
        <v>79</v>
      </c>
      <c r="E2198" s="5" t="s">
        <v>80</v>
      </c>
      <c r="F2198" s="5">
        <v>8220</v>
      </c>
      <c r="G2198" s="5" t="s">
        <v>6681</v>
      </c>
      <c r="H2198" s="5" t="s">
        <v>6682</v>
      </c>
      <c r="I2198" s="5" t="s">
        <v>234</v>
      </c>
      <c r="N2198" s="5" t="s">
        <v>6683</v>
      </c>
      <c r="O2198" s="5">
        <v>146.75</v>
      </c>
      <c r="P2198" s="5">
        <v>147.09</v>
      </c>
      <c r="Q2198" s="5">
        <v>140.09</v>
      </c>
      <c r="R2198" s="5">
        <v>147.09</v>
      </c>
      <c r="S2198" s="5">
        <v>147.09</v>
      </c>
      <c r="T2198" s="5">
        <v>140.09</v>
      </c>
      <c r="V2198" s="5">
        <v>147.07</v>
      </c>
      <c r="Y2198" s="5">
        <v>7751</v>
      </c>
      <c r="Z2198" s="5">
        <v>1133048.27</v>
      </c>
      <c r="AA2198" s="5">
        <v>125</v>
      </c>
      <c r="AB2198" s="5" t="s">
        <v>85</v>
      </c>
      <c r="AC2198" s="5">
        <v>1</v>
      </c>
    </row>
    <row r="2199" spans="1:29" x14ac:dyDescent="0.3">
      <c r="A2199" s="34">
        <v>46274</v>
      </c>
      <c r="B2199" s="34">
        <v>46274</v>
      </c>
      <c r="C2199" s="5" t="s">
        <v>78</v>
      </c>
      <c r="D2199" s="5" t="s">
        <v>79</v>
      </c>
      <c r="E2199" s="5" t="s">
        <v>80</v>
      </c>
      <c r="F2199" s="5">
        <v>20314</v>
      </c>
      <c r="G2199" s="5" t="s">
        <v>6684</v>
      </c>
      <c r="H2199" s="5" t="s">
        <v>6685</v>
      </c>
      <c r="I2199" s="5" t="s">
        <v>212</v>
      </c>
      <c r="N2199" s="5" t="s">
        <v>6686</v>
      </c>
      <c r="O2199" s="5">
        <v>649.9</v>
      </c>
      <c r="P2199" s="5">
        <v>650</v>
      </c>
      <c r="Q2199" s="5">
        <v>604.95000000000005</v>
      </c>
      <c r="R2199" s="5">
        <v>611.20000000000005</v>
      </c>
      <c r="S2199" s="5">
        <v>613.04999999999995</v>
      </c>
      <c r="T2199" s="5">
        <v>644.35</v>
      </c>
      <c r="V2199" s="5">
        <v>611.32000000000005</v>
      </c>
      <c r="Y2199" s="5">
        <v>41453</v>
      </c>
      <c r="Z2199" s="5">
        <v>26060411.899999999</v>
      </c>
      <c r="AA2199" s="5">
        <v>3217</v>
      </c>
      <c r="AB2199" s="5" t="s">
        <v>85</v>
      </c>
      <c r="AC2199" s="5">
        <v>1</v>
      </c>
    </row>
    <row r="2200" spans="1:29" x14ac:dyDescent="0.3">
      <c r="A2200" s="34">
        <v>46274</v>
      </c>
      <c r="B2200" s="34">
        <v>46274</v>
      </c>
      <c r="C2200" s="5" t="s">
        <v>78</v>
      </c>
      <c r="D2200" s="5" t="s">
        <v>79</v>
      </c>
      <c r="E2200" s="5" t="s">
        <v>80</v>
      </c>
      <c r="F2200" s="5">
        <v>757489</v>
      </c>
      <c r="G2200" s="5" t="s">
        <v>6687</v>
      </c>
      <c r="H2200" s="5" t="s">
        <v>6688</v>
      </c>
      <c r="I2200" s="5" t="s">
        <v>313</v>
      </c>
      <c r="N2200" s="5" t="s">
        <v>6689</v>
      </c>
      <c r="O2200" s="5">
        <v>67.150000000000006</v>
      </c>
      <c r="P2200" s="5">
        <v>68</v>
      </c>
      <c r="Q2200" s="5">
        <v>66.650000000000006</v>
      </c>
      <c r="R2200" s="5">
        <v>67.95</v>
      </c>
      <c r="S2200" s="5">
        <v>68</v>
      </c>
      <c r="T2200" s="5">
        <v>69.099999999999994</v>
      </c>
      <c r="V2200" s="5">
        <v>67.95</v>
      </c>
      <c r="Y2200" s="5">
        <v>42000</v>
      </c>
      <c r="Z2200" s="5">
        <v>2844750</v>
      </c>
      <c r="AA2200" s="5">
        <v>8</v>
      </c>
      <c r="AB2200" s="5" t="s">
        <v>85</v>
      </c>
      <c r="AC2200" s="5">
        <v>3000</v>
      </c>
    </row>
    <row r="2201" spans="1:29" x14ac:dyDescent="0.3">
      <c r="A2201" s="34">
        <v>46274</v>
      </c>
      <c r="B2201" s="34">
        <v>46274</v>
      </c>
      <c r="C2201" s="5" t="s">
        <v>78</v>
      </c>
      <c r="D2201" s="5" t="s">
        <v>79</v>
      </c>
      <c r="E2201" s="5" t="s">
        <v>80</v>
      </c>
      <c r="F2201" s="5">
        <v>764798</v>
      </c>
      <c r="G2201" s="5" t="s">
        <v>6690</v>
      </c>
      <c r="H2201" s="5" t="s">
        <v>6691</v>
      </c>
      <c r="I2201" s="5" t="s">
        <v>212</v>
      </c>
      <c r="N2201" s="5" t="s">
        <v>6692</v>
      </c>
      <c r="O2201" s="5">
        <v>139</v>
      </c>
      <c r="P2201" s="5">
        <v>139</v>
      </c>
      <c r="Q2201" s="5">
        <v>130.6</v>
      </c>
      <c r="R2201" s="5">
        <v>132.41</v>
      </c>
      <c r="S2201" s="5">
        <v>133.07</v>
      </c>
      <c r="T2201" s="5">
        <v>136.80000000000001</v>
      </c>
      <c r="V2201" s="5">
        <v>132.44</v>
      </c>
      <c r="Y2201" s="5">
        <v>3559</v>
      </c>
      <c r="Z2201" s="5">
        <v>481111.01</v>
      </c>
      <c r="AA2201" s="5">
        <v>94</v>
      </c>
      <c r="AB2201" s="5" t="s">
        <v>85</v>
      </c>
      <c r="AC2201" s="5">
        <v>1</v>
      </c>
    </row>
    <row r="2202" spans="1:29" x14ac:dyDescent="0.3">
      <c r="A2202" s="34">
        <v>46274</v>
      </c>
      <c r="B2202" s="34">
        <v>46274</v>
      </c>
      <c r="C2202" s="5" t="s">
        <v>78</v>
      </c>
      <c r="D2202" s="5" t="s">
        <v>79</v>
      </c>
      <c r="E2202" s="5" t="s">
        <v>80</v>
      </c>
      <c r="F2202" s="5">
        <v>19111</v>
      </c>
      <c r="G2202" s="5" t="s">
        <v>6693</v>
      </c>
      <c r="H2202" s="5" t="s">
        <v>6694</v>
      </c>
      <c r="I2202" s="5" t="s">
        <v>212</v>
      </c>
      <c r="N2202" s="5" t="s">
        <v>6695</v>
      </c>
      <c r="O2202" s="5">
        <v>1963.4</v>
      </c>
      <c r="P2202" s="5">
        <v>2075</v>
      </c>
      <c r="Q2202" s="5">
        <v>1961</v>
      </c>
      <c r="R2202" s="5">
        <v>1993</v>
      </c>
      <c r="S2202" s="5">
        <v>1988</v>
      </c>
      <c r="T2202" s="5">
        <v>1970</v>
      </c>
      <c r="V2202" s="5">
        <v>1993</v>
      </c>
      <c r="Y2202" s="5">
        <v>9475</v>
      </c>
      <c r="Z2202" s="5">
        <v>18725999.800000001</v>
      </c>
      <c r="AA2202" s="5">
        <v>122</v>
      </c>
      <c r="AB2202" s="5" t="s">
        <v>85</v>
      </c>
      <c r="AC2202" s="5">
        <v>1</v>
      </c>
    </row>
    <row r="2203" spans="1:29" x14ac:dyDescent="0.3">
      <c r="A2203" s="34">
        <v>46274</v>
      </c>
      <c r="B2203" s="34">
        <v>46274</v>
      </c>
      <c r="C2203" s="5" t="s">
        <v>78</v>
      </c>
      <c r="D2203" s="5" t="s">
        <v>79</v>
      </c>
      <c r="E2203" s="5" t="s">
        <v>80</v>
      </c>
      <c r="F2203" s="5">
        <v>20425</v>
      </c>
      <c r="G2203" s="5" t="s">
        <v>6696</v>
      </c>
      <c r="H2203" s="5" t="s">
        <v>6697</v>
      </c>
      <c r="I2203" s="5" t="s">
        <v>212</v>
      </c>
      <c r="N2203" s="5" t="s">
        <v>6698</v>
      </c>
      <c r="O2203" s="5">
        <v>160.22999999999999</v>
      </c>
      <c r="P2203" s="5">
        <v>169.78</v>
      </c>
      <c r="Q2203" s="5">
        <v>160</v>
      </c>
      <c r="R2203" s="5">
        <v>164.32</v>
      </c>
      <c r="S2203" s="5">
        <v>164.2</v>
      </c>
      <c r="T2203" s="5">
        <v>161</v>
      </c>
      <c r="V2203" s="5">
        <v>164.32</v>
      </c>
      <c r="Y2203" s="5">
        <v>553243</v>
      </c>
      <c r="Z2203" s="5">
        <v>91635933.700000003</v>
      </c>
      <c r="AA2203" s="5">
        <v>8473</v>
      </c>
      <c r="AB2203" s="5" t="s">
        <v>85</v>
      </c>
      <c r="AC2203" s="5">
        <v>1</v>
      </c>
    </row>
    <row r="2204" spans="1:29" x14ac:dyDescent="0.3">
      <c r="A2204" s="34">
        <v>46274</v>
      </c>
      <c r="B2204" s="34">
        <v>46274</v>
      </c>
      <c r="C2204" s="5" t="s">
        <v>78</v>
      </c>
      <c r="D2204" s="5" t="s">
        <v>79</v>
      </c>
      <c r="E2204" s="5" t="s">
        <v>80</v>
      </c>
      <c r="F2204" s="5">
        <v>18371</v>
      </c>
      <c r="G2204" s="5" t="s">
        <v>6699</v>
      </c>
      <c r="H2204" s="5" t="s">
        <v>6700</v>
      </c>
      <c r="I2204" s="5" t="s">
        <v>212</v>
      </c>
      <c r="N2204" s="5" t="s">
        <v>6701</v>
      </c>
      <c r="O2204" s="5">
        <v>2775</v>
      </c>
      <c r="P2204" s="5">
        <v>2799</v>
      </c>
      <c r="Q2204" s="5">
        <v>2725</v>
      </c>
      <c r="R2204" s="5">
        <v>2727.6</v>
      </c>
      <c r="S2204" s="5">
        <v>2727.6</v>
      </c>
      <c r="T2204" s="5">
        <v>2775</v>
      </c>
      <c r="V2204" s="5">
        <v>2727.6</v>
      </c>
      <c r="Y2204" s="5">
        <v>44</v>
      </c>
      <c r="Z2204" s="5">
        <v>121035.5</v>
      </c>
      <c r="AA2204" s="5">
        <v>19</v>
      </c>
      <c r="AB2204" s="5" t="s">
        <v>85</v>
      </c>
      <c r="AC2204" s="5">
        <v>1</v>
      </c>
    </row>
    <row r="2205" spans="1:29" x14ac:dyDescent="0.3">
      <c r="A2205" s="34">
        <v>46274</v>
      </c>
      <c r="B2205" s="34">
        <v>46274</v>
      </c>
      <c r="C2205" s="5" t="s">
        <v>78</v>
      </c>
      <c r="D2205" s="5" t="s">
        <v>79</v>
      </c>
      <c r="E2205" s="5" t="s">
        <v>80</v>
      </c>
      <c r="F2205" s="5">
        <v>14942</v>
      </c>
      <c r="G2205" s="5" t="s">
        <v>6702</v>
      </c>
      <c r="H2205" s="5" t="s">
        <v>6703</v>
      </c>
      <c r="I2205" s="5" t="s">
        <v>212</v>
      </c>
      <c r="N2205" s="5" t="s">
        <v>6704</v>
      </c>
      <c r="O2205" s="5">
        <v>23</v>
      </c>
      <c r="P2205" s="5">
        <v>23.38</v>
      </c>
      <c r="Q2205" s="5">
        <v>22.3</v>
      </c>
      <c r="R2205" s="5">
        <v>22.66</v>
      </c>
      <c r="S2205" s="5">
        <v>23</v>
      </c>
      <c r="T2205" s="5">
        <v>23.38</v>
      </c>
      <c r="V2205" s="5">
        <v>22.66</v>
      </c>
      <c r="Y2205" s="5">
        <v>1392</v>
      </c>
      <c r="Z2205" s="5">
        <v>31847.759999999998</v>
      </c>
      <c r="AA2205" s="5">
        <v>66</v>
      </c>
      <c r="AB2205" s="5" t="s">
        <v>85</v>
      </c>
      <c r="AC2205" s="5">
        <v>1</v>
      </c>
    </row>
    <row r="2206" spans="1:29" x14ac:dyDescent="0.3">
      <c r="A2206" s="34">
        <v>46274</v>
      </c>
      <c r="B2206" s="34">
        <v>46274</v>
      </c>
      <c r="C2206" s="5" t="s">
        <v>78</v>
      </c>
      <c r="D2206" s="5" t="s">
        <v>79</v>
      </c>
      <c r="E2206" s="5" t="s">
        <v>80</v>
      </c>
      <c r="F2206" s="5">
        <v>14702</v>
      </c>
      <c r="G2206" s="5" t="s">
        <v>6705</v>
      </c>
      <c r="H2206" s="5" t="s">
        <v>6706</v>
      </c>
      <c r="I2206" s="5" t="s">
        <v>212</v>
      </c>
      <c r="N2206" s="5" t="s">
        <v>6707</v>
      </c>
      <c r="O2206" s="5">
        <v>22.21</v>
      </c>
      <c r="P2206" s="5">
        <v>22.75</v>
      </c>
      <c r="Q2206" s="5">
        <v>21.92</v>
      </c>
      <c r="R2206" s="5">
        <v>22.42</v>
      </c>
      <c r="S2206" s="5">
        <v>22.25</v>
      </c>
      <c r="T2206" s="5">
        <v>22.39</v>
      </c>
      <c r="V2206" s="5">
        <v>22.38</v>
      </c>
      <c r="Y2206" s="5">
        <v>4404</v>
      </c>
      <c r="Z2206" s="5">
        <v>98272.1</v>
      </c>
      <c r="AA2206" s="5">
        <v>225</v>
      </c>
      <c r="AB2206" s="5" t="s">
        <v>85</v>
      </c>
      <c r="AC2206" s="5">
        <v>1</v>
      </c>
    </row>
    <row r="2207" spans="1:29" x14ac:dyDescent="0.3">
      <c r="A2207" s="34">
        <v>46274</v>
      </c>
      <c r="B2207" s="34">
        <v>46274</v>
      </c>
      <c r="C2207" s="5" t="s">
        <v>78</v>
      </c>
      <c r="D2207" s="5" t="s">
        <v>79</v>
      </c>
      <c r="E2207" s="5" t="s">
        <v>80</v>
      </c>
      <c r="F2207" s="5">
        <v>15360</v>
      </c>
      <c r="G2207" s="5" t="s">
        <v>6708</v>
      </c>
      <c r="H2207" s="5" t="s">
        <v>6709</v>
      </c>
      <c r="I2207" s="5" t="s">
        <v>212</v>
      </c>
      <c r="N2207" s="5" t="s">
        <v>6710</v>
      </c>
      <c r="O2207" s="5">
        <v>258</v>
      </c>
      <c r="P2207" s="5">
        <v>262</v>
      </c>
      <c r="Q2207" s="5">
        <v>254.5</v>
      </c>
      <c r="R2207" s="5">
        <v>257.64999999999998</v>
      </c>
      <c r="S2207" s="5">
        <v>258.95</v>
      </c>
      <c r="T2207" s="5">
        <v>258.89999999999998</v>
      </c>
      <c r="V2207" s="5">
        <v>257.64999999999998</v>
      </c>
      <c r="Y2207" s="5">
        <v>1663</v>
      </c>
      <c r="Z2207" s="5">
        <v>428612.05</v>
      </c>
      <c r="AA2207" s="5">
        <v>63</v>
      </c>
      <c r="AB2207" s="5" t="s">
        <v>85</v>
      </c>
      <c r="AC2207" s="5">
        <v>1</v>
      </c>
    </row>
    <row r="2208" spans="1:29" x14ac:dyDescent="0.3">
      <c r="A2208" s="34">
        <v>46274</v>
      </c>
      <c r="B2208" s="34">
        <v>46274</v>
      </c>
      <c r="C2208" s="5" t="s">
        <v>78</v>
      </c>
      <c r="D2208" s="5" t="s">
        <v>79</v>
      </c>
      <c r="E2208" s="5" t="s">
        <v>80</v>
      </c>
      <c r="F2208" s="5">
        <v>13106</v>
      </c>
      <c r="G2208" s="5" t="s">
        <v>6711</v>
      </c>
      <c r="H2208" s="5" t="s">
        <v>6712</v>
      </c>
      <c r="I2208" s="5" t="s">
        <v>212</v>
      </c>
      <c r="N2208" s="5" t="s">
        <v>6713</v>
      </c>
      <c r="O2208" s="5">
        <v>135.91999999999999</v>
      </c>
      <c r="P2208" s="5">
        <v>138.52000000000001</v>
      </c>
      <c r="Q2208" s="5">
        <v>133.34</v>
      </c>
      <c r="R2208" s="5">
        <v>134.1</v>
      </c>
      <c r="S2208" s="5">
        <v>133.35</v>
      </c>
      <c r="T2208" s="5">
        <v>137.43</v>
      </c>
      <c r="V2208" s="5">
        <v>134.1</v>
      </c>
      <c r="Y2208" s="5">
        <v>15546</v>
      </c>
      <c r="Z2208" s="5">
        <v>2104582.98</v>
      </c>
      <c r="AA2208" s="5">
        <v>426</v>
      </c>
      <c r="AB2208" s="5" t="s">
        <v>85</v>
      </c>
      <c r="AC2208" s="5">
        <v>1</v>
      </c>
    </row>
    <row r="2209" spans="1:29" x14ac:dyDescent="0.3">
      <c r="A2209" s="34">
        <v>46274</v>
      </c>
      <c r="B2209" s="34">
        <v>46274</v>
      </c>
      <c r="C2209" s="5" t="s">
        <v>78</v>
      </c>
      <c r="D2209" s="5" t="s">
        <v>79</v>
      </c>
      <c r="E2209" s="5" t="s">
        <v>80</v>
      </c>
      <c r="F2209" s="5">
        <v>14445</v>
      </c>
      <c r="G2209" s="5" t="s">
        <v>6714</v>
      </c>
      <c r="H2209" s="5" t="s">
        <v>6715</v>
      </c>
      <c r="I2209" s="5" t="s">
        <v>212</v>
      </c>
      <c r="N2209" s="5" t="s">
        <v>6716</v>
      </c>
      <c r="O2209" s="5">
        <v>239.02</v>
      </c>
      <c r="P2209" s="5">
        <v>242.19</v>
      </c>
      <c r="Q2209" s="5">
        <v>236</v>
      </c>
      <c r="R2209" s="5">
        <v>236.55</v>
      </c>
      <c r="S2209" s="5">
        <v>236</v>
      </c>
      <c r="T2209" s="5">
        <v>243.18</v>
      </c>
      <c r="V2209" s="5">
        <v>236.59</v>
      </c>
      <c r="Y2209" s="5">
        <v>6160</v>
      </c>
      <c r="Z2209" s="5">
        <v>1460706.33</v>
      </c>
      <c r="AA2209" s="5">
        <v>355</v>
      </c>
      <c r="AB2209" s="5" t="s">
        <v>85</v>
      </c>
      <c r="AC2209" s="5">
        <v>1</v>
      </c>
    </row>
    <row r="2210" spans="1:29" x14ac:dyDescent="0.3">
      <c r="A2210" s="34">
        <v>46274</v>
      </c>
      <c r="B2210" s="34">
        <v>46274</v>
      </c>
      <c r="C2210" s="5" t="s">
        <v>78</v>
      </c>
      <c r="D2210" s="5" t="s">
        <v>79</v>
      </c>
      <c r="E2210" s="5" t="s">
        <v>80</v>
      </c>
      <c r="F2210" s="5">
        <v>14440</v>
      </c>
      <c r="G2210" s="5" t="s">
        <v>6717</v>
      </c>
      <c r="H2210" s="5" t="s">
        <v>6718</v>
      </c>
      <c r="I2210" s="5" t="s">
        <v>212</v>
      </c>
      <c r="N2210" s="5" t="s">
        <v>6719</v>
      </c>
      <c r="O2210" s="5">
        <v>278.5</v>
      </c>
      <c r="P2210" s="5">
        <v>281.2</v>
      </c>
      <c r="Q2210" s="5">
        <v>276.39999999999998</v>
      </c>
      <c r="R2210" s="5">
        <v>277.3</v>
      </c>
      <c r="S2210" s="5">
        <v>279.95</v>
      </c>
      <c r="T2210" s="5">
        <v>277.55</v>
      </c>
      <c r="V2210" s="5">
        <v>277.3</v>
      </c>
      <c r="Y2210" s="5">
        <v>26272</v>
      </c>
      <c r="Z2210" s="5">
        <v>7318443.0999999996</v>
      </c>
      <c r="AA2210" s="5">
        <v>1110</v>
      </c>
      <c r="AB2210" s="5" t="s">
        <v>85</v>
      </c>
      <c r="AC2210" s="5">
        <v>1</v>
      </c>
    </row>
    <row r="2211" spans="1:29" x14ac:dyDescent="0.3">
      <c r="A2211" s="34">
        <v>46274</v>
      </c>
      <c r="B2211" s="34">
        <v>46274</v>
      </c>
      <c r="C2211" s="5" t="s">
        <v>78</v>
      </c>
      <c r="D2211" s="5" t="s">
        <v>79</v>
      </c>
      <c r="E2211" s="5" t="s">
        <v>80</v>
      </c>
      <c r="F2211" s="5">
        <v>5401</v>
      </c>
      <c r="G2211" s="5" t="s">
        <v>6720</v>
      </c>
      <c r="H2211" s="5" t="s">
        <v>6721</v>
      </c>
      <c r="I2211" s="5" t="s">
        <v>212</v>
      </c>
      <c r="N2211" s="5" t="s">
        <v>6722</v>
      </c>
      <c r="O2211" s="5">
        <v>37.36</v>
      </c>
      <c r="P2211" s="5">
        <v>39.75</v>
      </c>
      <c r="Q2211" s="5">
        <v>34.75</v>
      </c>
      <c r="R2211" s="5">
        <v>35.04</v>
      </c>
      <c r="S2211" s="5">
        <v>34.75</v>
      </c>
      <c r="T2211" s="5">
        <v>37.729999999999997</v>
      </c>
      <c r="V2211" s="5">
        <v>35.04</v>
      </c>
      <c r="Y2211" s="5">
        <v>43179</v>
      </c>
      <c r="Z2211" s="5">
        <v>1575714.8</v>
      </c>
      <c r="AA2211" s="5">
        <v>521</v>
      </c>
      <c r="AB2211" s="5" t="s">
        <v>85</v>
      </c>
      <c r="AC2211" s="5">
        <v>1</v>
      </c>
    </row>
    <row r="2212" spans="1:29" x14ac:dyDescent="0.3">
      <c r="A2212" s="34">
        <v>46274</v>
      </c>
      <c r="B2212" s="34">
        <v>46274</v>
      </c>
      <c r="C2212" s="5" t="s">
        <v>78</v>
      </c>
      <c r="D2212" s="5" t="s">
        <v>79</v>
      </c>
      <c r="E2212" s="5" t="s">
        <v>80</v>
      </c>
      <c r="F2212" s="5">
        <v>11239</v>
      </c>
      <c r="G2212" s="5" t="s">
        <v>6723</v>
      </c>
      <c r="H2212" s="5" t="s">
        <v>6724</v>
      </c>
      <c r="I2212" s="5" t="s">
        <v>212</v>
      </c>
      <c r="N2212" s="5" t="s">
        <v>6725</v>
      </c>
      <c r="O2212" s="5">
        <v>5650</v>
      </c>
      <c r="P2212" s="5">
        <v>5667.5</v>
      </c>
      <c r="Q2212" s="5">
        <v>5600.5</v>
      </c>
      <c r="R2212" s="5">
        <v>5621</v>
      </c>
      <c r="S2212" s="5">
        <v>5636</v>
      </c>
      <c r="T2212" s="5">
        <v>5660</v>
      </c>
      <c r="V2212" s="5">
        <v>5621</v>
      </c>
      <c r="Y2212" s="5">
        <v>1373</v>
      </c>
      <c r="Z2212" s="5">
        <v>7723505</v>
      </c>
      <c r="AA2212" s="5">
        <v>258</v>
      </c>
      <c r="AB2212" s="5" t="s">
        <v>85</v>
      </c>
      <c r="AC2212" s="5">
        <v>1</v>
      </c>
    </row>
    <row r="2213" spans="1:29" x14ac:dyDescent="0.3">
      <c r="A2213" s="34">
        <v>46274</v>
      </c>
      <c r="B2213" s="34">
        <v>46274</v>
      </c>
      <c r="C2213" s="5" t="s">
        <v>78</v>
      </c>
      <c r="D2213" s="5" t="s">
        <v>79</v>
      </c>
      <c r="E2213" s="5" t="s">
        <v>80</v>
      </c>
      <c r="F2213" s="5">
        <v>25170</v>
      </c>
      <c r="G2213" s="5" t="s">
        <v>6726</v>
      </c>
      <c r="H2213" s="5" t="s">
        <v>6727</v>
      </c>
      <c r="I2213" s="5" t="s">
        <v>392</v>
      </c>
      <c r="N2213" s="5" t="s">
        <v>6728</v>
      </c>
      <c r="O2213" s="5">
        <v>272.10000000000002</v>
      </c>
      <c r="P2213" s="5">
        <v>286.89999999999998</v>
      </c>
      <c r="Q2213" s="5">
        <v>272.10000000000002</v>
      </c>
      <c r="R2213" s="5">
        <v>281.75</v>
      </c>
      <c r="S2213" s="5">
        <v>283.2</v>
      </c>
      <c r="T2213" s="5">
        <v>281.25</v>
      </c>
      <c r="V2213" s="5">
        <v>281.75</v>
      </c>
      <c r="Y2213" s="5">
        <v>12000</v>
      </c>
      <c r="Z2213" s="5">
        <v>3360760</v>
      </c>
      <c r="AA2213" s="5">
        <v>14</v>
      </c>
      <c r="AB2213" s="5" t="s">
        <v>85</v>
      </c>
      <c r="AC2213" s="5">
        <v>800</v>
      </c>
    </row>
    <row r="2214" spans="1:29" x14ac:dyDescent="0.3">
      <c r="A2214" s="34">
        <v>46274</v>
      </c>
      <c r="B2214" s="34">
        <v>46274</v>
      </c>
      <c r="C2214" s="5" t="s">
        <v>78</v>
      </c>
      <c r="D2214" s="5" t="s">
        <v>79</v>
      </c>
      <c r="E2214" s="5" t="s">
        <v>80</v>
      </c>
      <c r="F2214" s="5">
        <v>31258</v>
      </c>
      <c r="G2214" s="5" t="s">
        <v>6729</v>
      </c>
      <c r="H2214" s="5" t="s">
        <v>6730</v>
      </c>
      <c r="I2214" s="5" t="s">
        <v>212</v>
      </c>
      <c r="N2214" s="5" t="s">
        <v>6731</v>
      </c>
      <c r="O2214" s="5">
        <v>2.93</v>
      </c>
      <c r="P2214" s="5">
        <v>3</v>
      </c>
      <c r="Q2214" s="5">
        <v>2.88</v>
      </c>
      <c r="R2214" s="5">
        <v>2.93</v>
      </c>
      <c r="S2214" s="5">
        <v>2.94</v>
      </c>
      <c r="T2214" s="5">
        <v>2.92</v>
      </c>
      <c r="V2214" s="5">
        <v>2.93</v>
      </c>
      <c r="Y2214" s="5">
        <v>1338011</v>
      </c>
      <c r="Z2214" s="5">
        <v>3931711.63</v>
      </c>
      <c r="AA2214" s="5">
        <v>1206</v>
      </c>
      <c r="AB2214" s="5" t="s">
        <v>85</v>
      </c>
      <c r="AC2214" s="5">
        <v>1</v>
      </c>
    </row>
    <row r="2215" spans="1:29" x14ac:dyDescent="0.3">
      <c r="A2215" s="34">
        <v>46274</v>
      </c>
      <c r="B2215" s="34">
        <v>46274</v>
      </c>
      <c r="C2215" s="5" t="s">
        <v>78</v>
      </c>
      <c r="D2215" s="5" t="s">
        <v>79</v>
      </c>
      <c r="E2215" s="5" t="s">
        <v>80</v>
      </c>
      <c r="F2215" s="5">
        <v>5516</v>
      </c>
      <c r="G2215" s="5" t="s">
        <v>6732</v>
      </c>
      <c r="H2215" s="5" t="s">
        <v>6733</v>
      </c>
      <c r="I2215" s="5" t="s">
        <v>212</v>
      </c>
      <c r="N2215" s="5" t="s">
        <v>6734</v>
      </c>
      <c r="O2215" s="5">
        <v>25.73</v>
      </c>
      <c r="P2215" s="5">
        <v>25.75</v>
      </c>
      <c r="Q2215" s="5">
        <v>24.4</v>
      </c>
      <c r="R2215" s="5">
        <v>24.65</v>
      </c>
      <c r="S2215" s="5">
        <v>25</v>
      </c>
      <c r="T2215" s="5">
        <v>25.71</v>
      </c>
      <c r="V2215" s="5">
        <v>24.65</v>
      </c>
      <c r="Y2215" s="5">
        <v>37656</v>
      </c>
      <c r="Z2215" s="5">
        <v>939327.29</v>
      </c>
      <c r="AA2215" s="5">
        <v>219</v>
      </c>
      <c r="AB2215" s="5" t="s">
        <v>85</v>
      </c>
      <c r="AC2215" s="5">
        <v>1</v>
      </c>
    </row>
    <row r="2216" spans="1:29" x14ac:dyDescent="0.3">
      <c r="A2216" s="34">
        <v>46274</v>
      </c>
      <c r="B2216" s="34">
        <v>46274</v>
      </c>
      <c r="C2216" s="5" t="s">
        <v>78</v>
      </c>
      <c r="D2216" s="5" t="s">
        <v>79</v>
      </c>
      <c r="E2216" s="5" t="s">
        <v>80</v>
      </c>
      <c r="F2216" s="5">
        <v>11840</v>
      </c>
      <c r="G2216" s="5" t="s">
        <v>6735</v>
      </c>
      <c r="H2216" s="5" t="s">
        <v>528</v>
      </c>
      <c r="I2216" s="5" t="s">
        <v>212</v>
      </c>
      <c r="N2216" s="5" t="s">
        <v>6736</v>
      </c>
      <c r="O2216" s="5">
        <v>1899.9</v>
      </c>
      <c r="P2216" s="5">
        <v>1920.6</v>
      </c>
      <c r="Q2216" s="5">
        <v>1872</v>
      </c>
      <c r="R2216" s="5">
        <v>1890.6</v>
      </c>
      <c r="S2216" s="5">
        <v>1887.2</v>
      </c>
      <c r="T2216" s="5">
        <v>1897.4</v>
      </c>
      <c r="V2216" s="5">
        <v>1890.56</v>
      </c>
      <c r="Y2216" s="5">
        <v>179466</v>
      </c>
      <c r="Z2216" s="5">
        <v>340348844.5</v>
      </c>
      <c r="AA2216" s="5">
        <v>20694</v>
      </c>
      <c r="AB2216" s="5" t="s">
        <v>85</v>
      </c>
      <c r="AC2216" s="5">
        <v>1</v>
      </c>
    </row>
    <row r="2217" spans="1:29" x14ac:dyDescent="0.3">
      <c r="A2217" s="34">
        <v>46274</v>
      </c>
      <c r="B2217" s="34">
        <v>46274</v>
      </c>
      <c r="C2217" s="5" t="s">
        <v>78</v>
      </c>
      <c r="D2217" s="5" t="s">
        <v>79</v>
      </c>
      <c r="E2217" s="5" t="s">
        <v>80</v>
      </c>
      <c r="F2217" s="5">
        <v>11627</v>
      </c>
      <c r="G2217" s="5" t="s">
        <v>6737</v>
      </c>
      <c r="H2217" s="5" t="s">
        <v>6738</v>
      </c>
      <c r="I2217" s="5" t="s">
        <v>212</v>
      </c>
      <c r="N2217" s="5" t="s">
        <v>6739</v>
      </c>
      <c r="O2217" s="5">
        <v>14.6</v>
      </c>
      <c r="P2217" s="5">
        <v>14.86</v>
      </c>
      <c r="Q2217" s="5">
        <v>14.21</v>
      </c>
      <c r="R2217" s="5">
        <v>14.59</v>
      </c>
      <c r="S2217" s="5">
        <v>14.21</v>
      </c>
      <c r="T2217" s="5">
        <v>14.78</v>
      </c>
      <c r="V2217" s="5">
        <v>14.59</v>
      </c>
      <c r="Y2217" s="5">
        <v>457162</v>
      </c>
      <c r="Z2217" s="5">
        <v>6635863.4800000004</v>
      </c>
      <c r="AA2217" s="5">
        <v>821</v>
      </c>
      <c r="AB2217" s="5" t="s">
        <v>85</v>
      </c>
      <c r="AC2217" s="5">
        <v>1</v>
      </c>
    </row>
    <row r="2218" spans="1:29" x14ac:dyDescent="0.3">
      <c r="A2218" s="34">
        <v>46274</v>
      </c>
      <c r="B2218" s="34">
        <v>46274</v>
      </c>
      <c r="C2218" s="5" t="s">
        <v>78</v>
      </c>
      <c r="D2218" s="5" t="s">
        <v>79</v>
      </c>
      <c r="E2218" s="5" t="s">
        <v>80</v>
      </c>
      <c r="F2218" s="5">
        <v>3918</v>
      </c>
      <c r="G2218" s="5" t="s">
        <v>6740</v>
      </c>
      <c r="H2218" s="5" t="s">
        <v>6741</v>
      </c>
      <c r="I2218" s="5" t="s">
        <v>212</v>
      </c>
      <c r="N2218" s="5" t="s">
        <v>6742</v>
      </c>
      <c r="O2218" s="5">
        <v>827.9</v>
      </c>
      <c r="P2218" s="5">
        <v>838.9</v>
      </c>
      <c r="Q2218" s="5">
        <v>815.2</v>
      </c>
      <c r="R2218" s="5">
        <v>826.3</v>
      </c>
      <c r="S2218" s="5">
        <v>825.75</v>
      </c>
      <c r="T2218" s="5">
        <v>825.75</v>
      </c>
      <c r="V2218" s="5">
        <v>826.3</v>
      </c>
      <c r="Y2218" s="5">
        <v>537495</v>
      </c>
      <c r="Z2218" s="5">
        <v>443835971.89999998</v>
      </c>
      <c r="AA2218" s="5">
        <v>36642</v>
      </c>
      <c r="AB2218" s="5" t="s">
        <v>85</v>
      </c>
      <c r="AC2218" s="5">
        <v>1</v>
      </c>
    </row>
    <row r="2219" spans="1:29" x14ac:dyDescent="0.3">
      <c r="A2219" s="34">
        <v>46274</v>
      </c>
      <c r="B2219" s="34">
        <v>46274</v>
      </c>
      <c r="C2219" s="5" t="s">
        <v>78</v>
      </c>
      <c r="D2219" s="5" t="s">
        <v>79</v>
      </c>
      <c r="E2219" s="5" t="s">
        <v>80</v>
      </c>
      <c r="F2219" s="5">
        <v>11065</v>
      </c>
      <c r="G2219" s="5" t="s">
        <v>6743</v>
      </c>
      <c r="H2219" s="5" t="s">
        <v>6744</v>
      </c>
      <c r="I2219" s="5" t="s">
        <v>212</v>
      </c>
      <c r="N2219" s="5" t="s">
        <v>6745</v>
      </c>
      <c r="O2219" s="5">
        <v>152.01</v>
      </c>
      <c r="P2219" s="5">
        <v>153.47999999999999</v>
      </c>
      <c r="Q2219" s="5">
        <v>149.11000000000001</v>
      </c>
      <c r="R2219" s="5">
        <v>151.66999999999999</v>
      </c>
      <c r="S2219" s="5">
        <v>152.9</v>
      </c>
      <c r="T2219" s="5">
        <v>152.01</v>
      </c>
      <c r="V2219" s="5">
        <v>151.66999999999999</v>
      </c>
      <c r="Y2219" s="5">
        <v>9450</v>
      </c>
      <c r="Z2219" s="5">
        <v>1435287.9</v>
      </c>
      <c r="AA2219" s="5">
        <v>155</v>
      </c>
      <c r="AB2219" s="5" t="s">
        <v>85</v>
      </c>
      <c r="AC2219" s="5">
        <v>1</v>
      </c>
    </row>
    <row r="2220" spans="1:29" x14ac:dyDescent="0.3">
      <c r="A2220" s="34">
        <v>46274</v>
      </c>
      <c r="B2220" s="34">
        <v>46274</v>
      </c>
      <c r="C2220" s="5" t="s">
        <v>78</v>
      </c>
      <c r="D2220" s="5" t="s">
        <v>79</v>
      </c>
      <c r="E2220" s="5" t="s">
        <v>80</v>
      </c>
      <c r="F2220" s="5">
        <v>6364</v>
      </c>
      <c r="G2220" s="5" t="s">
        <v>6746</v>
      </c>
      <c r="H2220" s="5" t="s">
        <v>6747</v>
      </c>
      <c r="I2220" s="5" t="s">
        <v>212</v>
      </c>
      <c r="N2220" s="5" t="s">
        <v>6748</v>
      </c>
      <c r="O2220" s="5">
        <v>372</v>
      </c>
      <c r="P2220" s="5">
        <v>386</v>
      </c>
      <c r="Q2220" s="5">
        <v>371.65</v>
      </c>
      <c r="R2220" s="5">
        <v>377.6</v>
      </c>
      <c r="S2220" s="5">
        <v>377.6</v>
      </c>
      <c r="T2220" s="5">
        <v>371.05</v>
      </c>
      <c r="V2220" s="5">
        <v>377.62</v>
      </c>
      <c r="Y2220" s="5">
        <v>9139475</v>
      </c>
      <c r="Z2220" s="5">
        <v>3471796556.9499998</v>
      </c>
      <c r="AA2220" s="5">
        <v>64268</v>
      </c>
      <c r="AB2220" s="5" t="s">
        <v>85</v>
      </c>
      <c r="AC2220" s="5">
        <v>1</v>
      </c>
    </row>
    <row r="2221" spans="1:29" x14ac:dyDescent="0.3">
      <c r="A2221" s="34">
        <v>46274</v>
      </c>
      <c r="B2221" s="34">
        <v>46274</v>
      </c>
      <c r="C2221" s="5" t="s">
        <v>78</v>
      </c>
      <c r="D2221" s="5" t="s">
        <v>79</v>
      </c>
      <c r="E2221" s="5" t="s">
        <v>80</v>
      </c>
      <c r="F2221" s="5">
        <v>13925</v>
      </c>
      <c r="G2221" s="5" t="s">
        <v>6749</v>
      </c>
      <c r="H2221" s="5" t="s">
        <v>6750</v>
      </c>
      <c r="I2221" s="5" t="s">
        <v>212</v>
      </c>
      <c r="N2221" s="5" t="s">
        <v>6751</v>
      </c>
      <c r="O2221" s="5">
        <v>70.239999999999995</v>
      </c>
      <c r="P2221" s="5">
        <v>70.37</v>
      </c>
      <c r="Q2221" s="5">
        <v>69.7</v>
      </c>
      <c r="R2221" s="5">
        <v>69.98</v>
      </c>
      <c r="S2221" s="5">
        <v>70</v>
      </c>
      <c r="T2221" s="5">
        <v>70.349999999999994</v>
      </c>
      <c r="V2221" s="5">
        <v>69.98</v>
      </c>
      <c r="Y2221" s="5">
        <v>421662</v>
      </c>
      <c r="Z2221" s="5">
        <v>29473016.850000001</v>
      </c>
      <c r="AA2221" s="5">
        <v>2525</v>
      </c>
      <c r="AB2221" s="5" t="s">
        <v>85</v>
      </c>
      <c r="AC2221" s="5">
        <v>1</v>
      </c>
    </row>
    <row r="2222" spans="1:29" x14ac:dyDescent="0.3">
      <c r="A2222" s="34">
        <v>46274</v>
      </c>
      <c r="B2222" s="34">
        <v>46274</v>
      </c>
      <c r="C2222" s="5" t="s">
        <v>78</v>
      </c>
      <c r="D2222" s="5" t="s">
        <v>79</v>
      </c>
      <c r="E2222" s="5" t="s">
        <v>80</v>
      </c>
      <c r="F2222" s="5">
        <v>762807</v>
      </c>
      <c r="G2222" s="5" t="s">
        <v>6752</v>
      </c>
      <c r="H2222" s="5" t="s">
        <v>6753</v>
      </c>
      <c r="I2222" s="5" t="s">
        <v>212</v>
      </c>
      <c r="N2222" s="5" t="s">
        <v>6754</v>
      </c>
      <c r="O2222" s="5">
        <v>113</v>
      </c>
      <c r="P2222" s="5">
        <v>115.44</v>
      </c>
      <c r="Q2222" s="5">
        <v>110.1</v>
      </c>
      <c r="R2222" s="5">
        <v>114.4</v>
      </c>
      <c r="S2222" s="5">
        <v>114.83</v>
      </c>
      <c r="T2222" s="5">
        <v>109.95</v>
      </c>
      <c r="V2222" s="5">
        <v>114.36</v>
      </c>
      <c r="Y2222" s="5">
        <v>69353</v>
      </c>
      <c r="Z2222" s="5">
        <v>7918979.0899999999</v>
      </c>
      <c r="AA2222" s="5">
        <v>1063</v>
      </c>
      <c r="AB2222" s="5" t="s">
        <v>85</v>
      </c>
      <c r="AC2222" s="5">
        <v>1</v>
      </c>
    </row>
    <row r="2223" spans="1:29" x14ac:dyDescent="0.3">
      <c r="A2223" s="34">
        <v>46274</v>
      </c>
      <c r="B2223" s="34">
        <v>46274</v>
      </c>
      <c r="C2223" s="5" t="s">
        <v>78</v>
      </c>
      <c r="D2223" s="5" t="s">
        <v>79</v>
      </c>
      <c r="E2223" s="5" t="s">
        <v>80</v>
      </c>
      <c r="F2223" s="5">
        <v>29588</v>
      </c>
      <c r="G2223" s="5" t="s">
        <v>6755</v>
      </c>
      <c r="H2223" s="5" t="s">
        <v>6756</v>
      </c>
      <c r="I2223" s="5" t="s">
        <v>234</v>
      </c>
      <c r="N2223" s="5" t="s">
        <v>6757</v>
      </c>
      <c r="O2223" s="5">
        <v>196</v>
      </c>
      <c r="P2223" s="5">
        <v>196</v>
      </c>
      <c r="Q2223" s="5">
        <v>190</v>
      </c>
      <c r="R2223" s="5">
        <v>194.26</v>
      </c>
      <c r="S2223" s="5">
        <v>195.97</v>
      </c>
      <c r="T2223" s="5">
        <v>196.19</v>
      </c>
      <c r="V2223" s="5">
        <v>194.27</v>
      </c>
      <c r="Y2223" s="5">
        <v>11298</v>
      </c>
      <c r="Z2223" s="5">
        <v>2172065.7599999998</v>
      </c>
      <c r="AA2223" s="5">
        <v>145</v>
      </c>
      <c r="AB2223" s="5" t="s">
        <v>85</v>
      </c>
      <c r="AC2223" s="5">
        <v>1</v>
      </c>
    </row>
    <row r="2224" spans="1:29" x14ac:dyDescent="0.3">
      <c r="A2224" s="34">
        <v>46274</v>
      </c>
      <c r="B2224" s="34">
        <v>46274</v>
      </c>
      <c r="C2224" s="5" t="s">
        <v>78</v>
      </c>
      <c r="D2224" s="5" t="s">
        <v>79</v>
      </c>
      <c r="E2224" s="5" t="s">
        <v>80</v>
      </c>
      <c r="F2224" s="5">
        <v>4014</v>
      </c>
      <c r="G2224" s="5" t="s">
        <v>6758</v>
      </c>
      <c r="H2224" s="5" t="s">
        <v>6759</v>
      </c>
      <c r="I2224" s="5" t="s">
        <v>212</v>
      </c>
      <c r="N2224" s="5" t="s">
        <v>6760</v>
      </c>
      <c r="O2224" s="5">
        <v>555.35</v>
      </c>
      <c r="P2224" s="5">
        <v>580</v>
      </c>
      <c r="Q2224" s="5">
        <v>555.04999999999995</v>
      </c>
      <c r="R2224" s="5">
        <v>561.15</v>
      </c>
      <c r="S2224" s="5">
        <v>564</v>
      </c>
      <c r="T2224" s="5">
        <v>554.54999999999995</v>
      </c>
      <c r="V2224" s="5">
        <v>561.24</v>
      </c>
      <c r="Y2224" s="5">
        <v>309952</v>
      </c>
      <c r="Z2224" s="5">
        <v>175376124.75</v>
      </c>
      <c r="AA2224" s="5">
        <v>13661</v>
      </c>
      <c r="AB2224" s="5" t="s">
        <v>85</v>
      </c>
      <c r="AC2224" s="5">
        <v>1</v>
      </c>
    </row>
    <row r="2225" spans="1:29" x14ac:dyDescent="0.3">
      <c r="A2225" s="34">
        <v>46274</v>
      </c>
      <c r="B2225" s="34">
        <v>46274</v>
      </c>
      <c r="C2225" s="5" t="s">
        <v>78</v>
      </c>
      <c r="D2225" s="5" t="s">
        <v>79</v>
      </c>
      <c r="E2225" s="5" t="s">
        <v>80</v>
      </c>
      <c r="F2225" s="5">
        <v>14672</v>
      </c>
      <c r="G2225" s="5" t="s">
        <v>6761</v>
      </c>
      <c r="H2225" s="5" t="s">
        <v>6762</v>
      </c>
      <c r="I2225" s="5" t="s">
        <v>212</v>
      </c>
      <c r="N2225" s="5" t="s">
        <v>6763</v>
      </c>
      <c r="O2225" s="5">
        <v>8740</v>
      </c>
      <c r="P2225" s="5">
        <v>8949.5</v>
      </c>
      <c r="Q2225" s="5">
        <v>8700</v>
      </c>
      <c r="R2225" s="5">
        <v>8775.5</v>
      </c>
      <c r="S2225" s="5">
        <v>8749</v>
      </c>
      <c r="T2225" s="5">
        <v>8731</v>
      </c>
      <c r="V2225" s="5">
        <v>8776.5300000000007</v>
      </c>
      <c r="Y2225" s="5">
        <v>294169</v>
      </c>
      <c r="Z2225" s="5">
        <v>2607411452.5</v>
      </c>
      <c r="AA2225" s="5">
        <v>53405</v>
      </c>
      <c r="AB2225" s="5" t="s">
        <v>85</v>
      </c>
      <c r="AC2225" s="5">
        <v>1</v>
      </c>
    </row>
    <row r="2226" spans="1:29" x14ac:dyDescent="0.3">
      <c r="A2226" s="34">
        <v>46274</v>
      </c>
      <c r="B2226" s="34">
        <v>46274</v>
      </c>
      <c r="C2226" s="5" t="s">
        <v>78</v>
      </c>
      <c r="D2226" s="5" t="s">
        <v>79</v>
      </c>
      <c r="E2226" s="5" t="s">
        <v>80</v>
      </c>
      <c r="F2226" s="5">
        <v>10557</v>
      </c>
      <c r="G2226" s="5" t="s">
        <v>6764</v>
      </c>
      <c r="H2226" s="5" t="s">
        <v>6765</v>
      </c>
      <c r="I2226" s="5" t="s">
        <v>212</v>
      </c>
      <c r="N2226" s="5" t="s">
        <v>6766</v>
      </c>
      <c r="O2226" s="5">
        <v>94.55</v>
      </c>
      <c r="P2226" s="5">
        <v>95.71</v>
      </c>
      <c r="Q2226" s="5">
        <v>94.02</v>
      </c>
      <c r="R2226" s="5">
        <v>94.3</v>
      </c>
      <c r="S2226" s="5">
        <v>94.5</v>
      </c>
      <c r="T2226" s="5">
        <v>94.75</v>
      </c>
      <c r="V2226" s="5">
        <v>94.3</v>
      </c>
      <c r="Y2226" s="5">
        <v>176714</v>
      </c>
      <c r="Z2226" s="5">
        <v>16725515.74</v>
      </c>
      <c r="AA2226" s="5">
        <v>1911</v>
      </c>
      <c r="AB2226" s="5" t="s">
        <v>85</v>
      </c>
      <c r="AC2226" s="5">
        <v>1</v>
      </c>
    </row>
    <row r="2227" spans="1:29" x14ac:dyDescent="0.3">
      <c r="A2227" s="34">
        <v>46274</v>
      </c>
      <c r="B2227" s="34">
        <v>46274</v>
      </c>
      <c r="C2227" s="5" t="s">
        <v>78</v>
      </c>
      <c r="D2227" s="5" t="s">
        <v>79</v>
      </c>
      <c r="E2227" s="5" t="s">
        <v>80</v>
      </c>
      <c r="F2227" s="5">
        <v>29149</v>
      </c>
      <c r="G2227" s="5" t="s">
        <v>6767</v>
      </c>
      <c r="H2227" s="5" t="s">
        <v>6768</v>
      </c>
      <c r="I2227" s="5" t="s">
        <v>234</v>
      </c>
      <c r="N2227" s="5" t="s">
        <v>6769</v>
      </c>
      <c r="O2227" s="5">
        <v>0.9</v>
      </c>
      <c r="P2227" s="5">
        <v>0.93</v>
      </c>
      <c r="Q2227" s="5">
        <v>0.88</v>
      </c>
      <c r="R2227" s="5">
        <v>0.89</v>
      </c>
      <c r="S2227" s="5">
        <v>0.89</v>
      </c>
      <c r="T2227" s="5">
        <v>0.89</v>
      </c>
      <c r="V2227" s="5">
        <v>0.89</v>
      </c>
      <c r="Y2227" s="5">
        <v>383531</v>
      </c>
      <c r="Z2227" s="5">
        <v>348036.26</v>
      </c>
      <c r="AA2227" s="5">
        <v>298</v>
      </c>
      <c r="AB2227" s="5" t="s">
        <v>85</v>
      </c>
      <c r="AC2227" s="5">
        <v>1</v>
      </c>
    </row>
    <row r="2228" spans="1:29" x14ac:dyDescent="0.3">
      <c r="A2228" s="34">
        <v>46274</v>
      </c>
      <c r="B2228" s="34">
        <v>46274</v>
      </c>
      <c r="C2228" s="5" t="s">
        <v>78</v>
      </c>
      <c r="D2228" s="5" t="s">
        <v>79</v>
      </c>
      <c r="E2228" s="5" t="s">
        <v>80</v>
      </c>
      <c r="F2228" s="5">
        <v>2385</v>
      </c>
      <c r="G2228" s="5" t="s">
        <v>6770</v>
      </c>
      <c r="H2228" s="5" t="s">
        <v>6771</v>
      </c>
      <c r="I2228" s="5" t="s">
        <v>212</v>
      </c>
      <c r="N2228" s="5" t="s">
        <v>6772</v>
      </c>
      <c r="O2228" s="5">
        <v>130.07</v>
      </c>
      <c r="P2228" s="5">
        <v>131.08000000000001</v>
      </c>
      <c r="Q2228" s="5">
        <v>126</v>
      </c>
      <c r="R2228" s="5">
        <v>127</v>
      </c>
      <c r="S2228" s="5">
        <v>127.8</v>
      </c>
      <c r="T2228" s="5">
        <v>130.16</v>
      </c>
      <c r="V2228" s="5">
        <v>127.01</v>
      </c>
      <c r="Y2228" s="5">
        <v>181942</v>
      </c>
      <c r="Z2228" s="5">
        <v>23306357.18</v>
      </c>
      <c r="AA2228" s="5">
        <v>3058</v>
      </c>
      <c r="AB2228" s="5" t="s">
        <v>85</v>
      </c>
      <c r="AC2228" s="5">
        <v>1</v>
      </c>
    </row>
    <row r="2229" spans="1:29" x14ac:dyDescent="0.3">
      <c r="A2229" s="34">
        <v>46274</v>
      </c>
      <c r="B2229" s="34">
        <v>46274</v>
      </c>
      <c r="C2229" s="5" t="s">
        <v>78</v>
      </c>
      <c r="D2229" s="5" t="s">
        <v>79</v>
      </c>
      <c r="E2229" s="5" t="s">
        <v>80</v>
      </c>
      <c r="F2229" s="5">
        <v>2987</v>
      </c>
      <c r="G2229" s="5" t="s">
        <v>6773</v>
      </c>
      <c r="H2229" s="5" t="s">
        <v>6774</v>
      </c>
      <c r="I2229" s="5" t="s">
        <v>212</v>
      </c>
      <c r="N2229" s="5" t="s">
        <v>6775</v>
      </c>
      <c r="O2229" s="5">
        <v>367.75</v>
      </c>
      <c r="P2229" s="5">
        <v>378</v>
      </c>
      <c r="Q2229" s="5">
        <v>363</v>
      </c>
      <c r="R2229" s="5">
        <v>374.4</v>
      </c>
      <c r="S2229" s="5">
        <v>373</v>
      </c>
      <c r="T2229" s="5">
        <v>368.4</v>
      </c>
      <c r="V2229" s="5">
        <v>374.37</v>
      </c>
      <c r="Y2229" s="5">
        <v>1723096</v>
      </c>
      <c r="Z2229" s="5">
        <v>643225800.85000002</v>
      </c>
      <c r="AA2229" s="5">
        <v>25599</v>
      </c>
      <c r="AB2229" s="5" t="s">
        <v>85</v>
      </c>
      <c r="AC2229" s="5">
        <v>1</v>
      </c>
    </row>
    <row r="2230" spans="1:29" x14ac:dyDescent="0.3">
      <c r="A2230" s="34">
        <v>46274</v>
      </c>
      <c r="B2230" s="34">
        <v>46274</v>
      </c>
      <c r="C2230" s="5" t="s">
        <v>78</v>
      </c>
      <c r="D2230" s="5" t="s">
        <v>79</v>
      </c>
      <c r="E2230" s="5" t="s">
        <v>80</v>
      </c>
      <c r="F2230" s="5">
        <v>31415</v>
      </c>
      <c r="G2230" s="5" t="s">
        <v>6776</v>
      </c>
      <c r="H2230" s="5" t="s">
        <v>6777</v>
      </c>
      <c r="I2230" s="5" t="s">
        <v>212</v>
      </c>
      <c r="N2230" s="5" t="s">
        <v>6778</v>
      </c>
      <c r="O2230" s="5">
        <v>85.3</v>
      </c>
      <c r="P2230" s="5">
        <v>85.52</v>
      </c>
      <c r="Q2230" s="5">
        <v>83.5</v>
      </c>
      <c r="R2230" s="5">
        <v>83.6</v>
      </c>
      <c r="S2230" s="5">
        <v>83.6</v>
      </c>
      <c r="T2230" s="5">
        <v>86</v>
      </c>
      <c r="V2230" s="5">
        <v>83.6</v>
      </c>
      <c r="Y2230" s="5">
        <v>5699936</v>
      </c>
      <c r="Z2230" s="5">
        <v>480060814.75999999</v>
      </c>
      <c r="AA2230" s="5">
        <v>26579</v>
      </c>
      <c r="AB2230" s="5" t="s">
        <v>85</v>
      </c>
      <c r="AC2230" s="5">
        <v>1</v>
      </c>
    </row>
    <row r="2231" spans="1:29" x14ac:dyDescent="0.3">
      <c r="A2231" s="34">
        <v>46274</v>
      </c>
      <c r="B2231" s="34">
        <v>46274</v>
      </c>
      <c r="C2231" s="5" t="s">
        <v>78</v>
      </c>
      <c r="D2231" s="5" t="s">
        <v>79</v>
      </c>
      <c r="E2231" s="5" t="s">
        <v>80</v>
      </c>
      <c r="F2231" s="5">
        <v>2319</v>
      </c>
      <c r="G2231" s="5" t="s">
        <v>6779</v>
      </c>
      <c r="H2231" s="5" t="s">
        <v>6780</v>
      </c>
      <c r="I2231" s="5" t="s">
        <v>212</v>
      </c>
      <c r="N2231" s="5" t="s">
        <v>6781</v>
      </c>
      <c r="O2231" s="5">
        <v>148.5</v>
      </c>
      <c r="P2231" s="5">
        <v>148.9</v>
      </c>
      <c r="Q2231" s="5">
        <v>144.93</v>
      </c>
      <c r="R2231" s="5">
        <v>145.33000000000001</v>
      </c>
      <c r="S2231" s="5">
        <v>145.47999999999999</v>
      </c>
      <c r="T2231" s="5">
        <v>148.65</v>
      </c>
      <c r="V2231" s="5">
        <v>145.35</v>
      </c>
      <c r="Y2231" s="5">
        <v>1300153</v>
      </c>
      <c r="Z2231" s="5">
        <v>190910761.81999999</v>
      </c>
      <c r="AA2231" s="5">
        <v>14380</v>
      </c>
      <c r="AB2231" s="5" t="s">
        <v>85</v>
      </c>
      <c r="AC2231" s="5">
        <v>1</v>
      </c>
    </row>
    <row r="2232" spans="1:29" x14ac:dyDescent="0.3">
      <c r="A2232" s="34">
        <v>46274</v>
      </c>
      <c r="B2232" s="34">
        <v>46274</v>
      </c>
      <c r="C2232" s="5" t="s">
        <v>78</v>
      </c>
      <c r="D2232" s="5" t="s">
        <v>79</v>
      </c>
      <c r="E2232" s="5" t="s">
        <v>80</v>
      </c>
      <c r="F2232" s="5">
        <v>14490</v>
      </c>
      <c r="G2232" s="5" t="s">
        <v>6782</v>
      </c>
      <c r="H2232" s="5" t="s">
        <v>6783</v>
      </c>
      <c r="I2232" s="5" t="s">
        <v>212</v>
      </c>
      <c r="N2232" s="5" t="s">
        <v>6784</v>
      </c>
      <c r="O2232" s="5">
        <v>175.25</v>
      </c>
      <c r="P2232" s="5">
        <v>181.85</v>
      </c>
      <c r="Q2232" s="5">
        <v>175.25</v>
      </c>
      <c r="R2232" s="5">
        <v>179.12</v>
      </c>
      <c r="S2232" s="5">
        <v>181</v>
      </c>
      <c r="T2232" s="5">
        <v>176.65</v>
      </c>
      <c r="V2232" s="5">
        <v>179.1</v>
      </c>
      <c r="Y2232" s="5">
        <v>27116</v>
      </c>
      <c r="Z2232" s="5">
        <v>4822205.17</v>
      </c>
      <c r="AA2232" s="5">
        <v>721</v>
      </c>
      <c r="AB2232" s="5" t="s">
        <v>85</v>
      </c>
      <c r="AC2232" s="5">
        <v>1</v>
      </c>
    </row>
    <row r="2233" spans="1:29" x14ac:dyDescent="0.3">
      <c r="A2233" s="34">
        <v>46274</v>
      </c>
      <c r="B2233" s="34">
        <v>46274</v>
      </c>
      <c r="C2233" s="5" t="s">
        <v>78</v>
      </c>
      <c r="D2233" s="5" t="s">
        <v>79</v>
      </c>
      <c r="E2233" s="5" t="s">
        <v>80</v>
      </c>
      <c r="F2233" s="5">
        <v>14547</v>
      </c>
      <c r="G2233" s="5" t="s">
        <v>6785</v>
      </c>
      <c r="H2233" s="5" t="s">
        <v>6786</v>
      </c>
      <c r="I2233" s="5" t="s">
        <v>212</v>
      </c>
      <c r="N2233" s="5" t="s">
        <v>6787</v>
      </c>
      <c r="O2233" s="5">
        <v>128.4</v>
      </c>
      <c r="P2233" s="5">
        <v>128.99</v>
      </c>
      <c r="Q2233" s="5">
        <v>123</v>
      </c>
      <c r="R2233" s="5">
        <v>124.69</v>
      </c>
      <c r="S2233" s="5">
        <v>123.31</v>
      </c>
      <c r="T2233" s="5">
        <v>126.18</v>
      </c>
      <c r="V2233" s="5">
        <v>125.01</v>
      </c>
      <c r="Y2233" s="5">
        <v>22755</v>
      </c>
      <c r="Z2233" s="5">
        <v>2904673.61</v>
      </c>
      <c r="AA2233" s="5">
        <v>390</v>
      </c>
      <c r="AB2233" s="5" t="s">
        <v>85</v>
      </c>
      <c r="AC2233" s="5">
        <v>1</v>
      </c>
    </row>
    <row r="2234" spans="1:29" x14ac:dyDescent="0.3">
      <c r="A2234" s="34">
        <v>46274</v>
      </c>
      <c r="B2234" s="34">
        <v>46274</v>
      </c>
      <c r="C2234" s="5" t="s">
        <v>78</v>
      </c>
      <c r="D2234" s="5" t="s">
        <v>79</v>
      </c>
      <c r="E2234" s="5" t="s">
        <v>80</v>
      </c>
      <c r="F2234" s="5">
        <v>22255</v>
      </c>
      <c r="G2234" s="5" t="s">
        <v>6788</v>
      </c>
      <c r="H2234" s="5" t="s">
        <v>6789</v>
      </c>
      <c r="I2234" s="5" t="s">
        <v>212</v>
      </c>
      <c r="N2234" s="5" t="s">
        <v>6790</v>
      </c>
      <c r="O2234" s="5">
        <v>721</v>
      </c>
      <c r="P2234" s="5">
        <v>721</v>
      </c>
      <c r="Q2234" s="5">
        <v>706.05</v>
      </c>
      <c r="R2234" s="5">
        <v>714.9</v>
      </c>
      <c r="S2234" s="5">
        <v>711</v>
      </c>
      <c r="T2234" s="5">
        <v>717.65</v>
      </c>
      <c r="V2234" s="5">
        <v>715.1</v>
      </c>
      <c r="Y2234" s="5">
        <v>8117</v>
      </c>
      <c r="Z2234" s="5">
        <v>5791880.9500000002</v>
      </c>
      <c r="AA2234" s="5">
        <v>850</v>
      </c>
      <c r="AB2234" s="5" t="s">
        <v>85</v>
      </c>
      <c r="AC2234" s="5">
        <v>1</v>
      </c>
    </row>
    <row r="2235" spans="1:29" x14ac:dyDescent="0.3">
      <c r="A2235" s="34">
        <v>46274</v>
      </c>
      <c r="B2235" s="34">
        <v>46274</v>
      </c>
      <c r="C2235" s="5" t="s">
        <v>78</v>
      </c>
      <c r="D2235" s="5" t="s">
        <v>79</v>
      </c>
      <c r="E2235" s="5" t="s">
        <v>80</v>
      </c>
      <c r="F2235" s="5">
        <v>11427</v>
      </c>
      <c r="G2235" s="5" t="s">
        <v>6791</v>
      </c>
      <c r="H2235" s="5" t="s">
        <v>6792</v>
      </c>
      <c r="I2235" s="5" t="s">
        <v>212</v>
      </c>
      <c r="N2235" s="5" t="s">
        <v>6793</v>
      </c>
      <c r="O2235" s="5">
        <v>73.03</v>
      </c>
      <c r="P2235" s="5">
        <v>74.489999999999995</v>
      </c>
      <c r="Q2235" s="5">
        <v>72.209999999999994</v>
      </c>
      <c r="R2235" s="5">
        <v>73.73</v>
      </c>
      <c r="S2235" s="5">
        <v>74</v>
      </c>
      <c r="T2235" s="5">
        <v>73.03</v>
      </c>
      <c r="V2235" s="5">
        <v>73.73</v>
      </c>
      <c r="Y2235" s="5">
        <v>77952</v>
      </c>
      <c r="Z2235" s="5">
        <v>5736849.7000000002</v>
      </c>
      <c r="AA2235" s="5">
        <v>1291</v>
      </c>
      <c r="AB2235" s="5" t="s">
        <v>85</v>
      </c>
      <c r="AC2235" s="5">
        <v>1</v>
      </c>
    </row>
    <row r="2236" spans="1:29" x14ac:dyDescent="0.3">
      <c r="A2236" s="34">
        <v>46274</v>
      </c>
      <c r="B2236" s="34">
        <v>46274</v>
      </c>
      <c r="C2236" s="5" t="s">
        <v>78</v>
      </c>
      <c r="D2236" s="5" t="s">
        <v>79</v>
      </c>
      <c r="E2236" s="5" t="s">
        <v>80</v>
      </c>
      <c r="F2236" s="5">
        <v>11927</v>
      </c>
      <c r="G2236" s="5" t="s">
        <v>6794</v>
      </c>
      <c r="H2236" s="5" t="s">
        <v>6795</v>
      </c>
      <c r="I2236" s="5" t="s">
        <v>212</v>
      </c>
      <c r="N2236" s="5" t="s">
        <v>6796</v>
      </c>
      <c r="O2236" s="5">
        <v>12.39</v>
      </c>
      <c r="P2236" s="5">
        <v>12.39</v>
      </c>
      <c r="Q2236" s="5">
        <v>11.93</v>
      </c>
      <c r="R2236" s="5">
        <v>11.98</v>
      </c>
      <c r="S2236" s="5">
        <v>12</v>
      </c>
      <c r="T2236" s="5">
        <v>12.15</v>
      </c>
      <c r="V2236" s="5">
        <v>11.98</v>
      </c>
      <c r="Y2236" s="5">
        <v>122330</v>
      </c>
      <c r="Z2236" s="5">
        <v>1472896.1</v>
      </c>
      <c r="AA2236" s="5">
        <v>301</v>
      </c>
      <c r="AB2236" s="5" t="s">
        <v>85</v>
      </c>
      <c r="AC2236" s="5">
        <v>1</v>
      </c>
    </row>
    <row r="2237" spans="1:29" x14ac:dyDescent="0.3">
      <c r="A2237" s="34">
        <v>46274</v>
      </c>
      <c r="B2237" s="34">
        <v>46274</v>
      </c>
      <c r="C2237" s="5" t="s">
        <v>78</v>
      </c>
      <c r="D2237" s="5" t="s">
        <v>79</v>
      </c>
      <c r="E2237" s="5" t="s">
        <v>80</v>
      </c>
      <c r="F2237" s="5">
        <v>27123</v>
      </c>
      <c r="G2237" s="5" t="s">
        <v>6797</v>
      </c>
      <c r="H2237" s="5" t="s">
        <v>6798</v>
      </c>
      <c r="I2237" s="5" t="s">
        <v>313</v>
      </c>
      <c r="N2237" s="5" t="s">
        <v>6799</v>
      </c>
      <c r="O2237" s="5">
        <v>6.65</v>
      </c>
      <c r="P2237" s="5">
        <v>6.65</v>
      </c>
      <c r="Q2237" s="5">
        <v>6.4</v>
      </c>
      <c r="R2237" s="5">
        <v>6.4</v>
      </c>
      <c r="S2237" s="5">
        <v>6.4</v>
      </c>
      <c r="T2237" s="5">
        <v>6.65</v>
      </c>
      <c r="V2237" s="5">
        <v>6.4</v>
      </c>
      <c r="Y2237" s="5">
        <v>12000</v>
      </c>
      <c r="Z2237" s="5">
        <v>78300</v>
      </c>
      <c r="AA2237" s="5">
        <v>2</v>
      </c>
      <c r="AB2237" s="5" t="s">
        <v>85</v>
      </c>
      <c r="AC2237" s="5">
        <v>6000</v>
      </c>
    </row>
    <row r="2238" spans="1:29" x14ac:dyDescent="0.3">
      <c r="A2238" s="34">
        <v>46274</v>
      </c>
      <c r="B2238" s="34">
        <v>46274</v>
      </c>
      <c r="C2238" s="5" t="s">
        <v>78</v>
      </c>
      <c r="D2238" s="5" t="s">
        <v>79</v>
      </c>
      <c r="E2238" s="5" t="s">
        <v>80</v>
      </c>
      <c r="F2238" s="5">
        <v>762812</v>
      </c>
      <c r="G2238" s="5" t="s">
        <v>6800</v>
      </c>
      <c r="H2238" s="5" t="s">
        <v>6801</v>
      </c>
      <c r="I2238" s="5" t="s">
        <v>212</v>
      </c>
      <c r="N2238" s="5" t="s">
        <v>6802</v>
      </c>
      <c r="O2238" s="5">
        <v>3470.1</v>
      </c>
      <c r="P2238" s="5">
        <v>3470.1</v>
      </c>
      <c r="Q2238" s="5">
        <v>3470</v>
      </c>
      <c r="R2238" s="5">
        <v>3470</v>
      </c>
      <c r="S2238" s="5">
        <v>3470</v>
      </c>
      <c r="T2238" s="5">
        <v>3470</v>
      </c>
      <c r="V2238" s="5">
        <v>3335</v>
      </c>
      <c r="Y2238" s="5">
        <v>29</v>
      </c>
      <c r="Z2238" s="5">
        <v>100631.1</v>
      </c>
      <c r="AA2238" s="5">
        <v>14</v>
      </c>
      <c r="AB2238" s="5" t="s">
        <v>85</v>
      </c>
      <c r="AC2238" s="5">
        <v>1</v>
      </c>
    </row>
    <row r="2239" spans="1:29" x14ac:dyDescent="0.3">
      <c r="A2239" s="34">
        <v>46274</v>
      </c>
      <c r="B2239" s="34">
        <v>46274</v>
      </c>
      <c r="C2239" s="5" t="s">
        <v>78</v>
      </c>
      <c r="D2239" s="5" t="s">
        <v>79</v>
      </c>
      <c r="E2239" s="5" t="s">
        <v>80</v>
      </c>
      <c r="F2239" s="5">
        <v>14761</v>
      </c>
      <c r="G2239" s="5" t="s">
        <v>6803</v>
      </c>
      <c r="H2239" s="5" t="s">
        <v>6804</v>
      </c>
      <c r="I2239" s="5" t="s">
        <v>212</v>
      </c>
      <c r="N2239" s="5" t="s">
        <v>6805</v>
      </c>
      <c r="O2239" s="5">
        <v>114.4</v>
      </c>
      <c r="P2239" s="5">
        <v>117</v>
      </c>
      <c r="Q2239" s="5">
        <v>113</v>
      </c>
      <c r="R2239" s="5">
        <v>113.94</v>
      </c>
      <c r="S2239" s="5">
        <v>113.51</v>
      </c>
      <c r="T2239" s="5">
        <v>114.18</v>
      </c>
      <c r="V2239" s="5">
        <v>113.97</v>
      </c>
      <c r="Y2239" s="5">
        <v>47071</v>
      </c>
      <c r="Z2239" s="5">
        <v>5385539.2000000002</v>
      </c>
      <c r="AA2239" s="5">
        <v>1538</v>
      </c>
      <c r="AB2239" s="5" t="s">
        <v>85</v>
      </c>
      <c r="AC2239" s="5">
        <v>1</v>
      </c>
    </row>
    <row r="2240" spans="1:29" x14ac:dyDescent="0.3">
      <c r="A2240" s="34">
        <v>46274</v>
      </c>
      <c r="B2240" s="34">
        <v>46274</v>
      </c>
      <c r="C2240" s="5" t="s">
        <v>78</v>
      </c>
      <c r="D2240" s="5" t="s">
        <v>79</v>
      </c>
      <c r="E2240" s="5" t="s">
        <v>80</v>
      </c>
      <c r="F2240" s="5">
        <v>2388</v>
      </c>
      <c r="G2240" s="5" t="s">
        <v>6806</v>
      </c>
      <c r="H2240" s="5" t="s">
        <v>6807</v>
      </c>
      <c r="I2240" s="5" t="s">
        <v>212</v>
      </c>
      <c r="N2240" s="5" t="s">
        <v>6808</v>
      </c>
      <c r="O2240" s="5">
        <v>975.8</v>
      </c>
      <c r="P2240" s="5">
        <v>992.1</v>
      </c>
      <c r="Q2240" s="5">
        <v>953.3</v>
      </c>
      <c r="R2240" s="5">
        <v>958.3</v>
      </c>
      <c r="S2240" s="5">
        <v>958</v>
      </c>
      <c r="T2240" s="5">
        <v>973.1</v>
      </c>
      <c r="V2240" s="5">
        <v>958.3</v>
      </c>
      <c r="Y2240" s="5">
        <v>381192</v>
      </c>
      <c r="Z2240" s="5">
        <v>371815961.19999999</v>
      </c>
      <c r="AA2240" s="5">
        <v>15379</v>
      </c>
      <c r="AB2240" s="5" t="s">
        <v>85</v>
      </c>
      <c r="AC2240" s="5">
        <v>1</v>
      </c>
    </row>
    <row r="2241" spans="1:29" x14ac:dyDescent="0.3">
      <c r="A2241" s="34">
        <v>46274</v>
      </c>
      <c r="B2241" s="34">
        <v>46274</v>
      </c>
      <c r="C2241" s="5" t="s">
        <v>78</v>
      </c>
      <c r="D2241" s="5" t="s">
        <v>79</v>
      </c>
      <c r="E2241" s="5" t="s">
        <v>80</v>
      </c>
      <c r="F2241" s="5">
        <v>760928</v>
      </c>
      <c r="G2241" s="5" t="s">
        <v>6809</v>
      </c>
      <c r="H2241" s="5" t="s">
        <v>6810</v>
      </c>
      <c r="I2241" s="5" t="s">
        <v>313</v>
      </c>
      <c r="N2241" s="5" t="s">
        <v>6811</v>
      </c>
      <c r="O2241" s="5">
        <v>100.5</v>
      </c>
      <c r="P2241" s="5">
        <v>109</v>
      </c>
      <c r="Q2241" s="5">
        <v>98</v>
      </c>
      <c r="R2241" s="5">
        <v>107.4</v>
      </c>
      <c r="S2241" s="5">
        <v>107.25</v>
      </c>
      <c r="T2241" s="5">
        <v>97.3</v>
      </c>
      <c r="V2241" s="5">
        <v>107.4</v>
      </c>
      <c r="Y2241" s="5">
        <v>115200</v>
      </c>
      <c r="Z2241" s="5">
        <v>12182340</v>
      </c>
      <c r="AA2241" s="5">
        <v>77</v>
      </c>
      <c r="AB2241" s="5" t="s">
        <v>85</v>
      </c>
      <c r="AC2241" s="5">
        <v>1200</v>
      </c>
    </row>
    <row r="2242" spans="1:29" x14ac:dyDescent="0.3">
      <c r="A2242" s="34">
        <v>46274</v>
      </c>
      <c r="B2242" s="34">
        <v>46274</v>
      </c>
      <c r="C2242" s="5" t="s">
        <v>78</v>
      </c>
      <c r="D2242" s="5" t="s">
        <v>79</v>
      </c>
      <c r="E2242" s="5" t="s">
        <v>80</v>
      </c>
      <c r="F2242" s="5">
        <v>9917</v>
      </c>
      <c r="G2242" s="5" t="s">
        <v>6812</v>
      </c>
      <c r="H2242" s="5" t="s">
        <v>6813</v>
      </c>
      <c r="I2242" s="5" t="s">
        <v>212</v>
      </c>
      <c r="N2242" s="5" t="s">
        <v>6814</v>
      </c>
      <c r="O2242" s="5">
        <v>2216</v>
      </c>
      <c r="P2242" s="5">
        <v>2336.4</v>
      </c>
      <c r="Q2242" s="5">
        <v>2216</v>
      </c>
      <c r="R2242" s="5">
        <v>2255.1999999999998</v>
      </c>
      <c r="S2242" s="5">
        <v>2247.6999999999998</v>
      </c>
      <c r="T2242" s="5">
        <v>2213</v>
      </c>
      <c r="V2242" s="5">
        <v>2254.36</v>
      </c>
      <c r="Y2242" s="5">
        <v>234288</v>
      </c>
      <c r="Z2242" s="5">
        <v>532796336.60000002</v>
      </c>
      <c r="AA2242" s="5">
        <v>23303</v>
      </c>
      <c r="AB2242" s="5" t="s">
        <v>85</v>
      </c>
      <c r="AC2242" s="5">
        <v>1</v>
      </c>
    </row>
    <row r="2243" spans="1:29" x14ac:dyDescent="0.3">
      <c r="A2243" s="34">
        <v>46274</v>
      </c>
      <c r="B2243" s="34">
        <v>46274</v>
      </c>
      <c r="C2243" s="5" t="s">
        <v>78</v>
      </c>
      <c r="D2243" s="5" t="s">
        <v>79</v>
      </c>
      <c r="E2243" s="5" t="s">
        <v>80</v>
      </c>
      <c r="F2243" s="5">
        <v>24350</v>
      </c>
      <c r="G2243" s="5" t="s">
        <v>6815</v>
      </c>
      <c r="H2243" s="5" t="s">
        <v>6816</v>
      </c>
      <c r="I2243" s="5" t="s">
        <v>313</v>
      </c>
      <c r="N2243" s="5" t="s">
        <v>6817</v>
      </c>
      <c r="O2243" s="5">
        <v>79</v>
      </c>
      <c r="P2243" s="5">
        <v>89.85</v>
      </c>
      <c r="Q2243" s="5">
        <v>78</v>
      </c>
      <c r="R2243" s="5">
        <v>87.25</v>
      </c>
      <c r="S2243" s="5">
        <v>85.55</v>
      </c>
      <c r="T2243" s="5">
        <v>80</v>
      </c>
      <c r="V2243" s="5">
        <v>87.25</v>
      </c>
      <c r="Y2243" s="5">
        <v>44800</v>
      </c>
      <c r="Z2243" s="5">
        <v>3752400</v>
      </c>
      <c r="AA2243" s="5">
        <v>99</v>
      </c>
      <c r="AB2243" s="5" t="s">
        <v>85</v>
      </c>
      <c r="AC2243" s="5">
        <v>400</v>
      </c>
    </row>
    <row r="2244" spans="1:29" x14ac:dyDescent="0.3">
      <c r="A2244" s="34">
        <v>46274</v>
      </c>
      <c r="B2244" s="34">
        <v>46274</v>
      </c>
      <c r="C2244" s="5" t="s">
        <v>78</v>
      </c>
      <c r="D2244" s="5" t="s">
        <v>79</v>
      </c>
      <c r="E2244" s="5" t="s">
        <v>80</v>
      </c>
      <c r="F2244" s="5">
        <v>760346</v>
      </c>
      <c r="G2244" s="5" t="s">
        <v>6818</v>
      </c>
      <c r="H2244" s="5" t="s">
        <v>6819</v>
      </c>
      <c r="I2244" s="5" t="s">
        <v>212</v>
      </c>
      <c r="N2244" s="5" t="s">
        <v>6820</v>
      </c>
      <c r="O2244" s="5">
        <v>744.1</v>
      </c>
      <c r="P2244" s="5">
        <v>757.7</v>
      </c>
      <c r="Q2244" s="5">
        <v>725.75</v>
      </c>
      <c r="R2244" s="5">
        <v>733.45</v>
      </c>
      <c r="S2244" s="5">
        <v>735</v>
      </c>
      <c r="T2244" s="5">
        <v>744.1</v>
      </c>
      <c r="V2244" s="5">
        <v>733.43</v>
      </c>
      <c r="Y2244" s="5">
        <v>204496</v>
      </c>
      <c r="Z2244" s="5">
        <v>151328393.19999999</v>
      </c>
      <c r="AA2244" s="5">
        <v>13058</v>
      </c>
      <c r="AB2244" s="5" t="s">
        <v>85</v>
      </c>
      <c r="AC2244" s="5">
        <v>1</v>
      </c>
    </row>
    <row r="2245" spans="1:29" x14ac:dyDescent="0.3">
      <c r="A2245" s="34">
        <v>46274</v>
      </c>
      <c r="B2245" s="34">
        <v>46274</v>
      </c>
      <c r="C2245" s="5" t="s">
        <v>78</v>
      </c>
      <c r="D2245" s="5" t="s">
        <v>79</v>
      </c>
      <c r="E2245" s="5" t="s">
        <v>80</v>
      </c>
      <c r="F2245" s="5">
        <v>757493</v>
      </c>
      <c r="G2245" s="5" t="s">
        <v>6821</v>
      </c>
      <c r="H2245" s="5" t="s">
        <v>6822</v>
      </c>
      <c r="I2245" s="5" t="s">
        <v>313</v>
      </c>
      <c r="N2245" s="5" t="s">
        <v>6823</v>
      </c>
      <c r="O2245" s="5">
        <v>181</v>
      </c>
      <c r="P2245" s="5">
        <v>181</v>
      </c>
      <c r="Q2245" s="5">
        <v>179</v>
      </c>
      <c r="R2245" s="5">
        <v>179</v>
      </c>
      <c r="S2245" s="5">
        <v>179</v>
      </c>
      <c r="T2245" s="5">
        <v>178.95</v>
      </c>
      <c r="V2245" s="5">
        <v>179</v>
      </c>
      <c r="Y2245" s="5">
        <v>1500</v>
      </c>
      <c r="Z2245" s="5">
        <v>270000</v>
      </c>
      <c r="AA2245" s="5">
        <v>3</v>
      </c>
      <c r="AB2245" s="5" t="s">
        <v>85</v>
      </c>
      <c r="AC2245" s="5">
        <v>500</v>
      </c>
    </row>
    <row r="2246" spans="1:29" x14ac:dyDescent="0.3">
      <c r="A2246" s="34">
        <v>46274</v>
      </c>
      <c r="B2246" s="34">
        <v>46274</v>
      </c>
      <c r="C2246" s="5" t="s">
        <v>78</v>
      </c>
      <c r="D2246" s="5" t="s">
        <v>79</v>
      </c>
      <c r="E2246" s="5" t="s">
        <v>80</v>
      </c>
      <c r="F2246" s="5">
        <v>15409</v>
      </c>
      <c r="G2246" s="5" t="s">
        <v>6824</v>
      </c>
      <c r="H2246" s="5" t="s">
        <v>6825</v>
      </c>
      <c r="I2246" s="5" t="s">
        <v>212</v>
      </c>
      <c r="N2246" s="5" t="s">
        <v>6826</v>
      </c>
      <c r="O2246" s="5">
        <v>1101</v>
      </c>
      <c r="P2246" s="5">
        <v>1124.9000000000001</v>
      </c>
      <c r="Q2246" s="5">
        <v>1091.4000000000001</v>
      </c>
      <c r="R2246" s="5">
        <v>1096.9000000000001</v>
      </c>
      <c r="S2246" s="5">
        <v>1096.5</v>
      </c>
      <c r="T2246" s="5">
        <v>1117.0999999999999</v>
      </c>
      <c r="V2246" s="5">
        <v>1096.93</v>
      </c>
      <c r="Y2246" s="5">
        <v>42607</v>
      </c>
      <c r="Z2246" s="5">
        <v>47208472.700000003</v>
      </c>
      <c r="AA2246" s="5">
        <v>4512</v>
      </c>
      <c r="AB2246" s="5" t="s">
        <v>85</v>
      </c>
      <c r="AC2246" s="5">
        <v>1</v>
      </c>
    </row>
    <row r="2247" spans="1:29" x14ac:dyDescent="0.3">
      <c r="A2247" s="34">
        <v>46274</v>
      </c>
      <c r="B2247" s="34">
        <v>46274</v>
      </c>
      <c r="C2247" s="5" t="s">
        <v>78</v>
      </c>
      <c r="D2247" s="5" t="s">
        <v>79</v>
      </c>
      <c r="E2247" s="5" t="s">
        <v>80</v>
      </c>
      <c r="F2247" s="5">
        <v>17963</v>
      </c>
      <c r="G2247" s="5" t="s">
        <v>6827</v>
      </c>
      <c r="H2247" s="5" t="s">
        <v>6828</v>
      </c>
      <c r="I2247" s="5" t="s">
        <v>212</v>
      </c>
      <c r="N2247" s="5" t="s">
        <v>6829</v>
      </c>
      <c r="O2247" s="5">
        <v>1400.5</v>
      </c>
      <c r="P2247" s="5">
        <v>1405.9</v>
      </c>
      <c r="Q2247" s="5">
        <v>1389.2</v>
      </c>
      <c r="R2247" s="5">
        <v>1393</v>
      </c>
      <c r="S2247" s="5">
        <v>1393</v>
      </c>
      <c r="T2247" s="5">
        <v>1400.5</v>
      </c>
      <c r="V2247" s="5">
        <v>1393</v>
      </c>
      <c r="Y2247" s="5">
        <v>994121</v>
      </c>
      <c r="Z2247" s="5">
        <v>1386014674.5999999</v>
      </c>
      <c r="AA2247" s="5">
        <v>42280</v>
      </c>
      <c r="AB2247" s="5" t="s">
        <v>85</v>
      </c>
      <c r="AC2247" s="5">
        <v>1</v>
      </c>
    </row>
    <row r="2248" spans="1:29" x14ac:dyDescent="0.3">
      <c r="A2248" s="34">
        <v>46274</v>
      </c>
      <c r="B2248" s="34">
        <v>46274</v>
      </c>
      <c r="C2248" s="5" t="s">
        <v>78</v>
      </c>
      <c r="D2248" s="5" t="s">
        <v>79</v>
      </c>
      <c r="E2248" s="5" t="s">
        <v>80</v>
      </c>
      <c r="F2248" s="5">
        <v>17433</v>
      </c>
      <c r="G2248" s="5" t="s">
        <v>6830</v>
      </c>
      <c r="H2248" s="5" t="s">
        <v>6831</v>
      </c>
      <c r="I2248" s="5" t="s">
        <v>212</v>
      </c>
      <c r="N2248" s="5" t="s">
        <v>6832</v>
      </c>
      <c r="O2248" s="5">
        <v>5100</v>
      </c>
      <c r="P2248" s="5">
        <v>5127.5</v>
      </c>
      <c r="Q2248" s="5">
        <v>4881.5</v>
      </c>
      <c r="R2248" s="5">
        <v>4898.5</v>
      </c>
      <c r="S2248" s="5">
        <v>4898</v>
      </c>
      <c r="T2248" s="5">
        <v>5087.5</v>
      </c>
      <c r="V2248" s="5">
        <v>4898.6000000000004</v>
      </c>
      <c r="Y2248" s="5">
        <v>1696353</v>
      </c>
      <c r="Z2248" s="5">
        <v>8383669442.5</v>
      </c>
      <c r="AA2248" s="5">
        <v>110304</v>
      </c>
      <c r="AB2248" s="5" t="s">
        <v>85</v>
      </c>
      <c r="AC2248" s="5">
        <v>1</v>
      </c>
    </row>
    <row r="2249" spans="1:29" x14ac:dyDescent="0.3">
      <c r="A2249" s="34">
        <v>46274</v>
      </c>
      <c r="B2249" s="34">
        <v>46274</v>
      </c>
      <c r="C2249" s="5" t="s">
        <v>78</v>
      </c>
      <c r="D2249" s="5" t="s">
        <v>79</v>
      </c>
      <c r="E2249" s="5" t="s">
        <v>80</v>
      </c>
      <c r="F2249" s="5">
        <v>756324</v>
      </c>
      <c r="G2249" s="5" t="s">
        <v>6833</v>
      </c>
      <c r="H2249" s="5" t="s">
        <v>6834</v>
      </c>
      <c r="I2249" s="5" t="s">
        <v>212</v>
      </c>
      <c r="N2249" s="5" t="s">
        <v>6835</v>
      </c>
      <c r="O2249" s="5">
        <v>1743.4</v>
      </c>
      <c r="P2249" s="5">
        <v>1745</v>
      </c>
      <c r="Q2249" s="5">
        <v>1621</v>
      </c>
      <c r="R2249" s="5">
        <v>1680.5</v>
      </c>
      <c r="S2249" s="5">
        <v>1675</v>
      </c>
      <c r="T2249" s="5">
        <v>1716.5</v>
      </c>
      <c r="V2249" s="5">
        <v>1680.53</v>
      </c>
      <c r="Y2249" s="5">
        <v>71432</v>
      </c>
      <c r="Z2249" s="5">
        <v>118521606.2</v>
      </c>
      <c r="AA2249" s="5">
        <v>7061</v>
      </c>
      <c r="AB2249" s="5" t="s">
        <v>85</v>
      </c>
      <c r="AC2249" s="5">
        <v>1</v>
      </c>
    </row>
    <row r="2250" spans="1:29" x14ac:dyDescent="0.3">
      <c r="A2250" s="34">
        <v>46274</v>
      </c>
      <c r="B2250" s="34">
        <v>46274</v>
      </c>
      <c r="C2250" s="5" t="s">
        <v>78</v>
      </c>
      <c r="D2250" s="5" t="s">
        <v>79</v>
      </c>
      <c r="E2250" s="5" t="s">
        <v>80</v>
      </c>
      <c r="F2250" s="5">
        <v>14111</v>
      </c>
      <c r="G2250" s="5" t="s">
        <v>6836</v>
      </c>
      <c r="H2250" s="5" t="s">
        <v>6837</v>
      </c>
      <c r="I2250" s="5" t="s">
        <v>212</v>
      </c>
      <c r="N2250" s="5" t="s">
        <v>6838</v>
      </c>
      <c r="O2250" s="5">
        <v>27.25</v>
      </c>
      <c r="P2250" s="5">
        <v>27.33</v>
      </c>
      <c r="Q2250" s="5">
        <v>26.83</v>
      </c>
      <c r="R2250" s="5">
        <v>26.92</v>
      </c>
      <c r="S2250" s="5">
        <v>26.93</v>
      </c>
      <c r="T2250" s="5">
        <v>27.3</v>
      </c>
      <c r="V2250" s="5">
        <v>26.92</v>
      </c>
      <c r="Y2250" s="5">
        <v>3339531</v>
      </c>
      <c r="Z2250" s="5">
        <v>90258531.049999997</v>
      </c>
      <c r="AA2250" s="5">
        <v>8181</v>
      </c>
      <c r="AB2250" s="5" t="s">
        <v>85</v>
      </c>
      <c r="AC2250" s="5">
        <v>1</v>
      </c>
    </row>
    <row r="2251" spans="1:29" x14ac:dyDescent="0.3">
      <c r="A2251" s="34">
        <v>46274</v>
      </c>
      <c r="B2251" s="34">
        <v>46274</v>
      </c>
      <c r="C2251" s="5" t="s">
        <v>78</v>
      </c>
      <c r="D2251" s="5" t="s">
        <v>79</v>
      </c>
      <c r="E2251" s="5" t="s">
        <v>80</v>
      </c>
      <c r="F2251" s="5">
        <v>30554</v>
      </c>
      <c r="G2251" s="5" t="s">
        <v>6839</v>
      </c>
      <c r="H2251" s="5" t="s">
        <v>6840</v>
      </c>
      <c r="I2251" s="5" t="s">
        <v>234</v>
      </c>
      <c r="N2251" s="5" t="s">
        <v>6841</v>
      </c>
      <c r="O2251" s="5">
        <v>12.3</v>
      </c>
      <c r="P2251" s="5">
        <v>12.4</v>
      </c>
      <c r="Q2251" s="5">
        <v>11.61</v>
      </c>
      <c r="R2251" s="5">
        <v>11.9</v>
      </c>
      <c r="S2251" s="5">
        <v>11.8</v>
      </c>
      <c r="T2251" s="5">
        <v>12.03</v>
      </c>
      <c r="V2251" s="5">
        <v>11.91</v>
      </c>
      <c r="Y2251" s="5">
        <v>17728</v>
      </c>
      <c r="Z2251" s="5">
        <v>214221.41</v>
      </c>
      <c r="AA2251" s="5">
        <v>94</v>
      </c>
      <c r="AB2251" s="5" t="s">
        <v>85</v>
      </c>
      <c r="AC2251" s="5">
        <v>1</v>
      </c>
    </row>
    <row r="2252" spans="1:29" x14ac:dyDescent="0.3">
      <c r="A2252" s="34">
        <v>46274</v>
      </c>
      <c r="B2252" s="34">
        <v>46274</v>
      </c>
      <c r="C2252" s="5" t="s">
        <v>78</v>
      </c>
      <c r="D2252" s="5" t="s">
        <v>79</v>
      </c>
      <c r="E2252" s="5" t="s">
        <v>80</v>
      </c>
      <c r="F2252" s="5">
        <v>2406</v>
      </c>
      <c r="G2252" s="5" t="s">
        <v>6842</v>
      </c>
      <c r="H2252" s="5" t="s">
        <v>6843</v>
      </c>
      <c r="I2252" s="5" t="s">
        <v>212</v>
      </c>
      <c r="N2252" s="5" t="s">
        <v>6844</v>
      </c>
      <c r="O2252" s="5">
        <v>24000</v>
      </c>
      <c r="P2252" s="5">
        <v>24225</v>
      </c>
      <c r="Q2252" s="5">
        <v>23000</v>
      </c>
      <c r="R2252" s="5">
        <v>23195</v>
      </c>
      <c r="S2252" s="5">
        <v>23150</v>
      </c>
      <c r="T2252" s="5">
        <v>23995</v>
      </c>
      <c r="V2252" s="5">
        <v>23196.28</v>
      </c>
      <c r="Y2252" s="5">
        <v>57976</v>
      </c>
      <c r="Z2252" s="5">
        <v>1368718975</v>
      </c>
      <c r="AA2252" s="5">
        <v>24564</v>
      </c>
      <c r="AB2252" s="5" t="s">
        <v>85</v>
      </c>
      <c r="AC2252" s="5">
        <v>1</v>
      </c>
    </row>
    <row r="2253" spans="1:29" x14ac:dyDescent="0.3">
      <c r="A2253" s="34">
        <v>46274</v>
      </c>
      <c r="B2253" s="34">
        <v>46274</v>
      </c>
      <c r="C2253" s="5" t="s">
        <v>78</v>
      </c>
      <c r="D2253" s="5" t="s">
        <v>79</v>
      </c>
      <c r="E2253" s="5" t="s">
        <v>80</v>
      </c>
      <c r="F2253" s="5">
        <v>1164</v>
      </c>
      <c r="G2253" s="5" t="s">
        <v>6845</v>
      </c>
      <c r="H2253" s="5" t="s">
        <v>6846</v>
      </c>
      <c r="I2253" s="5" t="s">
        <v>212</v>
      </c>
      <c r="N2253" s="5" t="s">
        <v>6847</v>
      </c>
      <c r="O2253" s="5">
        <v>512.5</v>
      </c>
      <c r="P2253" s="5">
        <v>516.54999999999995</v>
      </c>
      <c r="Q2253" s="5">
        <v>504.35</v>
      </c>
      <c r="R2253" s="5">
        <v>512.85</v>
      </c>
      <c r="S2253" s="5">
        <v>516</v>
      </c>
      <c r="T2253" s="5">
        <v>514</v>
      </c>
      <c r="V2253" s="5">
        <v>512.83000000000004</v>
      </c>
      <c r="Y2253" s="5">
        <v>587106</v>
      </c>
      <c r="Z2253" s="5">
        <v>300397059.30000001</v>
      </c>
      <c r="AA2253" s="5">
        <v>18080</v>
      </c>
      <c r="AB2253" s="5" t="s">
        <v>85</v>
      </c>
      <c r="AC2253" s="5">
        <v>1</v>
      </c>
    </row>
    <row r="2254" spans="1:29" x14ac:dyDescent="0.3">
      <c r="A2254" s="34">
        <v>46274</v>
      </c>
      <c r="B2254" s="34">
        <v>46274</v>
      </c>
      <c r="C2254" s="5" t="s">
        <v>78</v>
      </c>
      <c r="D2254" s="5" t="s">
        <v>79</v>
      </c>
      <c r="E2254" s="5" t="s">
        <v>80</v>
      </c>
      <c r="F2254" s="5">
        <v>28801</v>
      </c>
      <c r="G2254" s="5" t="s">
        <v>6848</v>
      </c>
      <c r="H2254" s="5" t="s">
        <v>6849</v>
      </c>
      <c r="I2254" s="5" t="s">
        <v>313</v>
      </c>
      <c r="N2254" s="5" t="s">
        <v>6850</v>
      </c>
      <c r="O2254" s="5">
        <v>23.1</v>
      </c>
      <c r="P2254" s="5">
        <v>23.1</v>
      </c>
      <c r="Q2254" s="5">
        <v>23.1</v>
      </c>
      <c r="R2254" s="5">
        <v>23.1</v>
      </c>
      <c r="S2254" s="5">
        <v>23.1</v>
      </c>
      <c r="T2254" s="5">
        <v>23.1</v>
      </c>
      <c r="V2254" s="5">
        <v>23.1</v>
      </c>
      <c r="Y2254" s="5">
        <v>4800</v>
      </c>
      <c r="Z2254" s="5">
        <v>110880</v>
      </c>
      <c r="AA2254" s="5">
        <v>2</v>
      </c>
      <c r="AB2254" s="5" t="s">
        <v>85</v>
      </c>
      <c r="AC2254" s="5">
        <v>1600</v>
      </c>
    </row>
    <row r="2255" spans="1:29" x14ac:dyDescent="0.3">
      <c r="A2255" s="34">
        <v>46274</v>
      </c>
      <c r="B2255" s="34">
        <v>46274</v>
      </c>
      <c r="C2255" s="5" t="s">
        <v>78</v>
      </c>
      <c r="D2255" s="5" t="s">
        <v>79</v>
      </c>
      <c r="E2255" s="5" t="s">
        <v>80</v>
      </c>
      <c r="F2255" s="5">
        <v>9867</v>
      </c>
      <c r="G2255" s="5" t="s">
        <v>6851</v>
      </c>
      <c r="H2255" s="5" t="s">
        <v>6852</v>
      </c>
      <c r="I2255" s="5" t="s">
        <v>212</v>
      </c>
      <c r="N2255" s="5" t="s">
        <v>6853</v>
      </c>
      <c r="O2255" s="5">
        <v>3.9</v>
      </c>
      <c r="P2255" s="5">
        <v>3.99</v>
      </c>
      <c r="Q2255" s="5">
        <v>3.75</v>
      </c>
      <c r="R2255" s="5">
        <v>3.88</v>
      </c>
      <c r="S2255" s="5">
        <v>3.97</v>
      </c>
      <c r="T2255" s="5">
        <v>3.86</v>
      </c>
      <c r="V2255" s="5">
        <v>3.88</v>
      </c>
      <c r="Y2255" s="5">
        <v>19254</v>
      </c>
      <c r="Z2255" s="5">
        <v>73352.02</v>
      </c>
      <c r="AA2255" s="5">
        <v>100</v>
      </c>
      <c r="AB2255" s="5" t="s">
        <v>85</v>
      </c>
      <c r="AC2255" s="5">
        <v>1</v>
      </c>
    </row>
    <row r="2256" spans="1:29" x14ac:dyDescent="0.3">
      <c r="A2256" s="34">
        <v>46274</v>
      </c>
      <c r="B2256" s="34">
        <v>46274</v>
      </c>
      <c r="C2256" s="5" t="s">
        <v>78</v>
      </c>
      <c r="D2256" s="5" t="s">
        <v>79</v>
      </c>
      <c r="E2256" s="5" t="s">
        <v>80</v>
      </c>
      <c r="F2256" s="5">
        <v>15815</v>
      </c>
      <c r="G2256" s="5" t="s">
        <v>6854</v>
      </c>
      <c r="H2256" s="5" t="s">
        <v>6855</v>
      </c>
      <c r="I2256" s="5" t="s">
        <v>1362</v>
      </c>
      <c r="N2256" s="5" t="s">
        <v>6856</v>
      </c>
      <c r="O2256" s="5">
        <v>167.4</v>
      </c>
      <c r="P2256" s="5">
        <v>168.1</v>
      </c>
      <c r="Q2256" s="5">
        <v>166.61</v>
      </c>
      <c r="R2256" s="5">
        <v>167.33</v>
      </c>
      <c r="S2256" s="5">
        <v>167.5</v>
      </c>
      <c r="T2256" s="5">
        <v>167.46</v>
      </c>
      <c r="V2256" s="5">
        <v>167.33</v>
      </c>
      <c r="Y2256" s="5">
        <v>387287</v>
      </c>
      <c r="Z2256" s="5">
        <v>64822935.369999997</v>
      </c>
      <c r="AA2256" s="5">
        <v>5220</v>
      </c>
      <c r="AB2256" s="5" t="s">
        <v>85</v>
      </c>
      <c r="AC2256" s="5">
        <v>1</v>
      </c>
    </row>
    <row r="2257" spans="1:29" x14ac:dyDescent="0.3">
      <c r="A2257" s="34">
        <v>46274</v>
      </c>
      <c r="B2257" s="34">
        <v>46274</v>
      </c>
      <c r="C2257" s="5" t="s">
        <v>78</v>
      </c>
      <c r="D2257" s="5" t="s">
        <v>79</v>
      </c>
      <c r="E2257" s="5" t="s">
        <v>80</v>
      </c>
      <c r="F2257" s="5">
        <v>763536</v>
      </c>
      <c r="G2257" s="5" t="s">
        <v>6857</v>
      </c>
      <c r="H2257" s="5" t="s">
        <v>6858</v>
      </c>
      <c r="I2257" s="5" t="s">
        <v>313</v>
      </c>
      <c r="N2257" s="5" t="s">
        <v>6859</v>
      </c>
      <c r="O2257" s="5">
        <v>20.75</v>
      </c>
      <c r="P2257" s="5">
        <v>21.3</v>
      </c>
      <c r="Q2257" s="5">
        <v>20.75</v>
      </c>
      <c r="R2257" s="5">
        <v>21.3</v>
      </c>
      <c r="S2257" s="5">
        <v>21.3</v>
      </c>
      <c r="T2257" s="5">
        <v>20.65</v>
      </c>
      <c r="V2257" s="5">
        <v>21.3</v>
      </c>
      <c r="Y2257" s="5">
        <v>8000</v>
      </c>
      <c r="Z2257" s="5">
        <v>168200</v>
      </c>
      <c r="AA2257" s="5">
        <v>4</v>
      </c>
      <c r="AB2257" s="5" t="s">
        <v>85</v>
      </c>
      <c r="AC2257" s="5">
        <v>2000</v>
      </c>
    </row>
    <row r="2258" spans="1:29" x14ac:dyDescent="0.3">
      <c r="A2258" s="34">
        <v>46274</v>
      </c>
      <c r="B2258" s="34">
        <v>46274</v>
      </c>
      <c r="C2258" s="5" t="s">
        <v>78</v>
      </c>
      <c r="D2258" s="5" t="s">
        <v>79</v>
      </c>
      <c r="E2258" s="5" t="s">
        <v>80</v>
      </c>
      <c r="F2258" s="5">
        <v>10277</v>
      </c>
      <c r="G2258" s="5" t="s">
        <v>6860</v>
      </c>
      <c r="H2258" s="5" t="s">
        <v>6861</v>
      </c>
      <c r="I2258" s="5" t="s">
        <v>212</v>
      </c>
      <c r="N2258" s="5" t="s">
        <v>6862</v>
      </c>
      <c r="O2258" s="5">
        <v>2811.6</v>
      </c>
      <c r="P2258" s="5">
        <v>2834.2</v>
      </c>
      <c r="Q2258" s="5">
        <v>2750</v>
      </c>
      <c r="R2258" s="5">
        <v>2758.3</v>
      </c>
      <c r="S2258" s="5">
        <v>2756</v>
      </c>
      <c r="T2258" s="5">
        <v>2811.6</v>
      </c>
      <c r="V2258" s="5">
        <v>2758.41</v>
      </c>
      <c r="Y2258" s="5">
        <v>2466</v>
      </c>
      <c r="Z2258" s="5">
        <v>6853476.7999999998</v>
      </c>
      <c r="AA2258" s="5">
        <v>725</v>
      </c>
      <c r="AB2258" s="5" t="s">
        <v>85</v>
      </c>
      <c r="AC2258" s="5">
        <v>1</v>
      </c>
    </row>
    <row r="2259" spans="1:29" x14ac:dyDescent="0.3">
      <c r="A2259" s="34">
        <v>46274</v>
      </c>
      <c r="B2259" s="34">
        <v>46274</v>
      </c>
      <c r="C2259" s="5" t="s">
        <v>78</v>
      </c>
      <c r="D2259" s="5" t="s">
        <v>79</v>
      </c>
      <c r="E2259" s="5" t="s">
        <v>80</v>
      </c>
      <c r="F2259" s="5">
        <v>17400</v>
      </c>
      <c r="G2259" s="5" t="s">
        <v>6863</v>
      </c>
      <c r="H2259" s="5" t="s">
        <v>6864</v>
      </c>
      <c r="I2259" s="5" t="s">
        <v>212</v>
      </c>
      <c r="N2259" s="5" t="s">
        <v>6865</v>
      </c>
      <c r="O2259" s="5">
        <v>75.900000000000006</v>
      </c>
      <c r="P2259" s="5">
        <v>77.89</v>
      </c>
      <c r="Q2259" s="5">
        <v>75.900000000000006</v>
      </c>
      <c r="R2259" s="5">
        <v>76.69</v>
      </c>
      <c r="S2259" s="5">
        <v>76.69</v>
      </c>
      <c r="T2259" s="5">
        <v>75.900000000000006</v>
      </c>
      <c r="V2259" s="5">
        <v>76.7</v>
      </c>
      <c r="Y2259" s="5">
        <v>17730521</v>
      </c>
      <c r="Z2259" s="5">
        <v>1364059171.98</v>
      </c>
      <c r="AA2259" s="5">
        <v>44500</v>
      </c>
      <c r="AB2259" s="5" t="s">
        <v>85</v>
      </c>
      <c r="AC2259" s="5">
        <v>1</v>
      </c>
    </row>
    <row r="2260" spans="1:29" x14ac:dyDescent="0.3">
      <c r="A2260" s="34">
        <v>46274</v>
      </c>
      <c r="B2260" s="34">
        <v>46274</v>
      </c>
      <c r="C2260" s="5" t="s">
        <v>78</v>
      </c>
      <c r="D2260" s="5" t="s">
        <v>79</v>
      </c>
      <c r="E2260" s="5" t="s">
        <v>80</v>
      </c>
      <c r="F2260" s="5">
        <v>29487</v>
      </c>
      <c r="G2260" s="5" t="s">
        <v>6866</v>
      </c>
      <c r="H2260" s="5" t="s">
        <v>6867</v>
      </c>
      <c r="I2260" s="5" t="s">
        <v>212</v>
      </c>
      <c r="N2260" s="5" t="s">
        <v>6868</v>
      </c>
      <c r="O2260" s="5">
        <v>1331</v>
      </c>
      <c r="P2260" s="5">
        <v>1337.7</v>
      </c>
      <c r="Q2260" s="5">
        <v>1310</v>
      </c>
      <c r="R2260" s="5">
        <v>1313.3</v>
      </c>
      <c r="S2260" s="5">
        <v>1314</v>
      </c>
      <c r="T2260" s="5">
        <v>1331.5</v>
      </c>
      <c r="V2260" s="5">
        <v>1313.33</v>
      </c>
      <c r="Y2260" s="5">
        <v>25348</v>
      </c>
      <c r="Z2260" s="5">
        <v>33416321.100000001</v>
      </c>
      <c r="AA2260" s="5">
        <v>2390</v>
      </c>
      <c r="AB2260" s="5" t="s">
        <v>85</v>
      </c>
      <c r="AC2260" s="5">
        <v>1</v>
      </c>
    </row>
    <row r="2261" spans="1:29" x14ac:dyDescent="0.3">
      <c r="A2261" s="34">
        <v>46274</v>
      </c>
      <c r="B2261" s="34">
        <v>46274</v>
      </c>
      <c r="C2261" s="5" t="s">
        <v>78</v>
      </c>
      <c r="D2261" s="5" t="s">
        <v>79</v>
      </c>
      <c r="E2261" s="5" t="s">
        <v>80</v>
      </c>
      <c r="F2261" s="5">
        <v>764793</v>
      </c>
      <c r="G2261" s="5" t="s">
        <v>6869</v>
      </c>
      <c r="H2261" s="5" t="s">
        <v>6870</v>
      </c>
      <c r="I2261" s="5" t="s">
        <v>212</v>
      </c>
      <c r="N2261" s="5" t="s">
        <v>6871</v>
      </c>
      <c r="O2261" s="5">
        <v>79</v>
      </c>
      <c r="P2261" s="5">
        <v>81</v>
      </c>
      <c r="Q2261" s="5">
        <v>78.33</v>
      </c>
      <c r="R2261" s="5">
        <v>80.27</v>
      </c>
      <c r="S2261" s="5">
        <v>79.33</v>
      </c>
      <c r="T2261" s="5">
        <v>80.33</v>
      </c>
      <c r="V2261" s="5">
        <v>79.739999999999995</v>
      </c>
      <c r="Y2261" s="5">
        <v>1769</v>
      </c>
      <c r="Z2261" s="5">
        <v>140150.21</v>
      </c>
      <c r="AA2261" s="5">
        <v>26</v>
      </c>
      <c r="AB2261" s="5" t="s">
        <v>85</v>
      </c>
      <c r="AC2261" s="5">
        <v>1</v>
      </c>
    </row>
    <row r="2262" spans="1:29" x14ac:dyDescent="0.3">
      <c r="A2262" s="34">
        <v>46274</v>
      </c>
      <c r="B2262" s="34">
        <v>46274</v>
      </c>
      <c r="C2262" s="5" t="s">
        <v>78</v>
      </c>
      <c r="D2262" s="5" t="s">
        <v>79</v>
      </c>
      <c r="E2262" s="5" t="s">
        <v>80</v>
      </c>
      <c r="F2262" s="5">
        <v>6592</v>
      </c>
      <c r="G2262" s="5" t="s">
        <v>6872</v>
      </c>
      <c r="H2262" s="5" t="s">
        <v>6873</v>
      </c>
      <c r="I2262" s="5" t="s">
        <v>313</v>
      </c>
      <c r="N2262" s="5" t="s">
        <v>6874</v>
      </c>
      <c r="O2262" s="5">
        <v>13.5</v>
      </c>
      <c r="P2262" s="5">
        <v>13.85</v>
      </c>
      <c r="Q2262" s="5">
        <v>13.3</v>
      </c>
      <c r="R2262" s="5">
        <v>13.85</v>
      </c>
      <c r="S2262" s="5">
        <v>13.85</v>
      </c>
      <c r="T2262" s="5">
        <v>13.5</v>
      </c>
      <c r="V2262" s="5">
        <v>13.85</v>
      </c>
      <c r="Y2262" s="5">
        <v>4000</v>
      </c>
      <c r="Z2262" s="5">
        <v>54050</v>
      </c>
      <c r="AA2262" s="5">
        <v>4</v>
      </c>
      <c r="AB2262" s="5" t="s">
        <v>85</v>
      </c>
      <c r="AC2262" s="5">
        <v>1000</v>
      </c>
    </row>
    <row r="2263" spans="1:29" x14ac:dyDescent="0.3">
      <c r="A2263" s="34">
        <v>46274</v>
      </c>
      <c r="B2263" s="34">
        <v>46274</v>
      </c>
      <c r="C2263" s="5" t="s">
        <v>78</v>
      </c>
      <c r="D2263" s="5" t="s">
        <v>79</v>
      </c>
      <c r="E2263" s="5" t="s">
        <v>80</v>
      </c>
      <c r="F2263" s="5">
        <v>17747</v>
      </c>
      <c r="G2263" s="5" t="s">
        <v>6875</v>
      </c>
      <c r="H2263" s="5" t="s">
        <v>6876</v>
      </c>
      <c r="I2263" s="5" t="s">
        <v>212</v>
      </c>
      <c r="N2263" s="5" t="s">
        <v>6877</v>
      </c>
      <c r="O2263" s="5">
        <v>223.51</v>
      </c>
      <c r="P2263" s="5">
        <v>225</v>
      </c>
      <c r="Q2263" s="5">
        <v>220</v>
      </c>
      <c r="R2263" s="5">
        <v>221.54</v>
      </c>
      <c r="S2263" s="5">
        <v>225</v>
      </c>
      <c r="T2263" s="5">
        <v>223.51</v>
      </c>
      <c r="V2263" s="5">
        <v>221.54</v>
      </c>
      <c r="Y2263" s="5">
        <v>53748</v>
      </c>
      <c r="Z2263" s="5">
        <v>11894328.33</v>
      </c>
      <c r="AA2263" s="5">
        <v>2539</v>
      </c>
      <c r="AB2263" s="5" t="s">
        <v>85</v>
      </c>
      <c r="AC2263" s="5">
        <v>1</v>
      </c>
    </row>
    <row r="2264" spans="1:29" x14ac:dyDescent="0.3">
      <c r="A2264" s="34">
        <v>46274</v>
      </c>
      <c r="B2264" s="34">
        <v>46274</v>
      </c>
      <c r="C2264" s="5" t="s">
        <v>78</v>
      </c>
      <c r="D2264" s="5" t="s">
        <v>79</v>
      </c>
      <c r="E2264" s="5" t="s">
        <v>80</v>
      </c>
      <c r="F2264" s="5">
        <v>11522</v>
      </c>
      <c r="G2264" s="5" t="s">
        <v>6878</v>
      </c>
      <c r="H2264" s="5" t="s">
        <v>6879</v>
      </c>
      <c r="I2264" s="5" t="s">
        <v>212</v>
      </c>
      <c r="N2264" s="5" t="s">
        <v>6880</v>
      </c>
      <c r="O2264" s="5">
        <v>95.2</v>
      </c>
      <c r="P2264" s="5">
        <v>96.28</v>
      </c>
      <c r="Q2264" s="5">
        <v>93.71</v>
      </c>
      <c r="R2264" s="5">
        <v>94.99</v>
      </c>
      <c r="S2264" s="5">
        <v>95</v>
      </c>
      <c r="T2264" s="5">
        <v>95.34</v>
      </c>
      <c r="V2264" s="5">
        <v>94.99</v>
      </c>
      <c r="Y2264" s="5">
        <v>153514</v>
      </c>
      <c r="Z2264" s="5">
        <v>14506500.52</v>
      </c>
      <c r="AA2264" s="5">
        <v>2380</v>
      </c>
      <c r="AB2264" s="5" t="s">
        <v>85</v>
      </c>
      <c r="AC2264" s="5">
        <v>1</v>
      </c>
    </row>
    <row r="2265" spans="1:29" x14ac:dyDescent="0.3">
      <c r="A2265" s="34">
        <v>46274</v>
      </c>
      <c r="B2265" s="34">
        <v>46274</v>
      </c>
      <c r="C2265" s="5" t="s">
        <v>78</v>
      </c>
      <c r="D2265" s="5" t="s">
        <v>79</v>
      </c>
      <c r="E2265" s="5" t="s">
        <v>80</v>
      </c>
      <c r="F2265" s="5">
        <v>9253</v>
      </c>
      <c r="G2265" s="5" t="s">
        <v>6881</v>
      </c>
      <c r="H2265" s="5" t="s">
        <v>6882</v>
      </c>
      <c r="I2265" s="5" t="s">
        <v>212</v>
      </c>
      <c r="N2265" s="5" t="s">
        <v>6883</v>
      </c>
      <c r="O2265" s="5">
        <v>6.73</v>
      </c>
      <c r="P2265" s="5">
        <v>7.8</v>
      </c>
      <c r="Q2265" s="5">
        <v>6.61</v>
      </c>
      <c r="R2265" s="5">
        <v>6.8</v>
      </c>
      <c r="S2265" s="5">
        <v>6.78</v>
      </c>
      <c r="T2265" s="5">
        <v>6.62</v>
      </c>
      <c r="V2265" s="5">
        <v>6.8</v>
      </c>
      <c r="Y2265" s="5">
        <v>433326</v>
      </c>
      <c r="Z2265" s="5">
        <v>3020200.23</v>
      </c>
      <c r="AA2265" s="5">
        <v>974</v>
      </c>
      <c r="AB2265" s="5" t="s">
        <v>85</v>
      </c>
      <c r="AC2265" s="5">
        <v>1</v>
      </c>
    </row>
    <row r="2266" spans="1:29" x14ac:dyDescent="0.3">
      <c r="A2266" s="34">
        <v>46274</v>
      </c>
      <c r="B2266" s="34">
        <v>46274</v>
      </c>
      <c r="C2266" s="5" t="s">
        <v>78</v>
      </c>
      <c r="D2266" s="5" t="s">
        <v>79</v>
      </c>
      <c r="E2266" s="5" t="s">
        <v>80</v>
      </c>
      <c r="F2266" s="5">
        <v>7411</v>
      </c>
      <c r="G2266" s="5" t="s">
        <v>6884</v>
      </c>
      <c r="H2266" s="5" t="s">
        <v>6885</v>
      </c>
      <c r="I2266" s="5" t="s">
        <v>212</v>
      </c>
      <c r="N2266" s="5" t="s">
        <v>6886</v>
      </c>
      <c r="O2266" s="5">
        <v>12.81</v>
      </c>
      <c r="P2266" s="5">
        <v>12.98</v>
      </c>
      <c r="Q2266" s="5">
        <v>11.97</v>
      </c>
      <c r="R2266" s="5">
        <v>12.16</v>
      </c>
      <c r="S2266" s="5">
        <v>12.16</v>
      </c>
      <c r="T2266" s="5">
        <v>12.78</v>
      </c>
      <c r="V2266" s="5">
        <v>12.16</v>
      </c>
      <c r="Y2266" s="5">
        <v>3056613</v>
      </c>
      <c r="Z2266" s="5">
        <v>37518670.159999996</v>
      </c>
      <c r="AA2266" s="5">
        <v>4734</v>
      </c>
      <c r="AB2266" s="5" t="s">
        <v>85</v>
      </c>
      <c r="AC2266" s="5">
        <v>1</v>
      </c>
    </row>
    <row r="2267" spans="1:29" x14ac:dyDescent="0.3">
      <c r="A2267" s="34">
        <v>46274</v>
      </c>
      <c r="B2267" s="34">
        <v>46274</v>
      </c>
      <c r="C2267" s="5" t="s">
        <v>78</v>
      </c>
      <c r="D2267" s="5" t="s">
        <v>79</v>
      </c>
      <c r="E2267" s="5" t="s">
        <v>80</v>
      </c>
      <c r="F2267" s="5">
        <v>762817</v>
      </c>
      <c r="G2267" s="5" t="s">
        <v>6887</v>
      </c>
      <c r="H2267" s="5" t="s">
        <v>6888</v>
      </c>
      <c r="I2267" s="5" t="s">
        <v>212</v>
      </c>
      <c r="N2267" s="5" t="s">
        <v>6889</v>
      </c>
      <c r="O2267" s="5">
        <v>1450.7</v>
      </c>
      <c r="P2267" s="5">
        <v>1490.8</v>
      </c>
      <c r="Q2267" s="5">
        <v>1450.7</v>
      </c>
      <c r="R2267" s="5">
        <v>1479.7</v>
      </c>
      <c r="S2267" s="5">
        <v>1473.5</v>
      </c>
      <c r="T2267" s="5">
        <v>1471.7</v>
      </c>
      <c r="V2267" s="5">
        <v>1479.61</v>
      </c>
      <c r="Y2267" s="5">
        <v>1800</v>
      </c>
      <c r="Z2267" s="5">
        <v>2660781.4</v>
      </c>
      <c r="AA2267" s="5">
        <v>278</v>
      </c>
      <c r="AB2267" s="5" t="s">
        <v>85</v>
      </c>
      <c r="AC2267" s="5">
        <v>1</v>
      </c>
    </row>
    <row r="2268" spans="1:29" x14ac:dyDescent="0.3">
      <c r="A2268" s="34">
        <v>46274</v>
      </c>
      <c r="B2268" s="34">
        <v>46274</v>
      </c>
      <c r="C2268" s="5" t="s">
        <v>78</v>
      </c>
      <c r="D2268" s="5" t="s">
        <v>79</v>
      </c>
      <c r="E2268" s="5" t="s">
        <v>80</v>
      </c>
      <c r="F2268" s="5">
        <v>2421</v>
      </c>
      <c r="G2268" s="5" t="s">
        <v>6890</v>
      </c>
      <c r="H2268" s="5" t="s">
        <v>6891</v>
      </c>
      <c r="I2268" s="5" t="s">
        <v>212</v>
      </c>
      <c r="N2268" s="5" t="s">
        <v>6892</v>
      </c>
      <c r="O2268" s="5">
        <v>2101.6</v>
      </c>
      <c r="P2268" s="5">
        <v>2123.5</v>
      </c>
      <c r="Q2268" s="5">
        <v>2045.1</v>
      </c>
      <c r="R2268" s="5">
        <v>2056.6999999999998</v>
      </c>
      <c r="S2268" s="5">
        <v>2056.6999999999998</v>
      </c>
      <c r="T2268" s="5">
        <v>2112</v>
      </c>
      <c r="V2268" s="5">
        <v>2056.67</v>
      </c>
      <c r="Y2268" s="5">
        <v>13217</v>
      </c>
      <c r="Z2268" s="5">
        <v>27340575.199999999</v>
      </c>
      <c r="AA2268" s="5">
        <v>1855</v>
      </c>
      <c r="AB2268" s="5" t="s">
        <v>85</v>
      </c>
      <c r="AC2268" s="5">
        <v>1</v>
      </c>
    </row>
    <row r="2269" spans="1:29" x14ac:dyDescent="0.3">
      <c r="A2269" s="34">
        <v>46274</v>
      </c>
      <c r="B2269" s="34">
        <v>46274</v>
      </c>
      <c r="C2269" s="5" t="s">
        <v>78</v>
      </c>
      <c r="D2269" s="5" t="s">
        <v>79</v>
      </c>
      <c r="E2269" s="5" t="s">
        <v>80</v>
      </c>
      <c r="F2269" s="5">
        <v>761720</v>
      </c>
      <c r="G2269" s="5" t="s">
        <v>6893</v>
      </c>
      <c r="H2269" s="5" t="s">
        <v>6894</v>
      </c>
      <c r="I2269" s="5" t="s">
        <v>212</v>
      </c>
      <c r="N2269" s="5" t="s">
        <v>6895</v>
      </c>
      <c r="O2269" s="5">
        <v>147.46</v>
      </c>
      <c r="P2269" s="5">
        <v>155.87</v>
      </c>
      <c r="Q2269" s="5">
        <v>141.04</v>
      </c>
      <c r="R2269" s="5">
        <v>155.84</v>
      </c>
      <c r="S2269" s="5">
        <v>155.84</v>
      </c>
      <c r="T2269" s="5">
        <v>148.46</v>
      </c>
      <c r="V2269" s="5">
        <v>155.84</v>
      </c>
      <c r="Y2269" s="5">
        <v>6680</v>
      </c>
      <c r="Z2269" s="5">
        <v>991104.07</v>
      </c>
      <c r="AA2269" s="5">
        <v>132</v>
      </c>
      <c r="AB2269" s="5" t="s">
        <v>85</v>
      </c>
      <c r="AC2269" s="5">
        <v>1</v>
      </c>
    </row>
    <row r="2270" spans="1:29" x14ac:dyDescent="0.3">
      <c r="A2270" s="34">
        <v>46274</v>
      </c>
      <c r="B2270" s="34">
        <v>46274</v>
      </c>
      <c r="C2270" s="5" t="s">
        <v>78</v>
      </c>
      <c r="D2270" s="5" t="s">
        <v>79</v>
      </c>
      <c r="E2270" s="5" t="s">
        <v>80</v>
      </c>
      <c r="F2270" s="5">
        <v>14194</v>
      </c>
      <c r="G2270" s="5" t="s">
        <v>6896</v>
      </c>
      <c r="H2270" s="5" t="s">
        <v>6897</v>
      </c>
      <c r="I2270" s="5" t="s">
        <v>212</v>
      </c>
      <c r="N2270" s="5" t="s">
        <v>6898</v>
      </c>
      <c r="O2270" s="5">
        <v>709</v>
      </c>
      <c r="P2270" s="5">
        <v>717.9</v>
      </c>
      <c r="Q2270" s="5">
        <v>704.1</v>
      </c>
      <c r="R2270" s="5">
        <v>710.75</v>
      </c>
      <c r="S2270" s="5">
        <v>711.9</v>
      </c>
      <c r="T2270" s="5">
        <v>709.1</v>
      </c>
      <c r="V2270" s="5">
        <v>710.75</v>
      </c>
      <c r="Y2270" s="5">
        <v>3177</v>
      </c>
      <c r="Z2270" s="5">
        <v>2257203.5</v>
      </c>
      <c r="AA2270" s="5">
        <v>377</v>
      </c>
      <c r="AB2270" s="5" t="s">
        <v>85</v>
      </c>
      <c r="AC2270" s="5">
        <v>1</v>
      </c>
    </row>
    <row r="2271" spans="1:29" x14ac:dyDescent="0.3">
      <c r="A2271" s="34">
        <v>46274</v>
      </c>
      <c r="B2271" s="34">
        <v>46274</v>
      </c>
      <c r="C2271" s="5" t="s">
        <v>78</v>
      </c>
      <c r="D2271" s="5" t="s">
        <v>79</v>
      </c>
      <c r="E2271" s="5" t="s">
        <v>80</v>
      </c>
      <c r="F2271" s="5">
        <v>11439</v>
      </c>
      <c r="G2271" s="5" t="s">
        <v>6899</v>
      </c>
      <c r="H2271" s="5" t="s">
        <v>6900</v>
      </c>
      <c r="I2271" s="5" t="s">
        <v>212</v>
      </c>
      <c r="N2271" s="5" t="s">
        <v>6901</v>
      </c>
      <c r="O2271" s="5">
        <v>587.98</v>
      </c>
      <c r="P2271" s="5">
        <v>588.45000000000005</v>
      </c>
      <c r="Q2271" s="5">
        <v>585</v>
      </c>
      <c r="R2271" s="5">
        <v>585.87</v>
      </c>
      <c r="S2271" s="5">
        <v>585.46</v>
      </c>
      <c r="T2271" s="5">
        <v>589.09</v>
      </c>
      <c r="V2271" s="5">
        <v>585.86</v>
      </c>
      <c r="Y2271" s="5">
        <v>552845</v>
      </c>
      <c r="Z2271" s="5">
        <v>324287838.74000001</v>
      </c>
      <c r="AA2271" s="5">
        <v>8771</v>
      </c>
      <c r="AB2271" s="5" t="s">
        <v>85</v>
      </c>
      <c r="AC2271" s="5">
        <v>1</v>
      </c>
    </row>
    <row r="2272" spans="1:29" x14ac:dyDescent="0.3">
      <c r="A2272" s="34">
        <v>46274</v>
      </c>
      <c r="B2272" s="34">
        <v>46274</v>
      </c>
      <c r="C2272" s="5" t="s">
        <v>78</v>
      </c>
      <c r="D2272" s="5" t="s">
        <v>79</v>
      </c>
      <c r="E2272" s="5" t="s">
        <v>80</v>
      </c>
      <c r="F2272" s="5">
        <v>2435</v>
      </c>
      <c r="G2272" s="5" t="s">
        <v>6902</v>
      </c>
      <c r="H2272" s="5" t="s">
        <v>6903</v>
      </c>
      <c r="I2272" s="5" t="s">
        <v>212</v>
      </c>
      <c r="N2272" s="5" t="s">
        <v>6904</v>
      </c>
      <c r="O2272" s="5">
        <v>129.15</v>
      </c>
      <c r="P2272" s="5">
        <v>129.99</v>
      </c>
      <c r="Q2272" s="5">
        <v>128.44999999999999</v>
      </c>
      <c r="R2272" s="5">
        <v>128.84</v>
      </c>
      <c r="S2272" s="5">
        <v>129.24</v>
      </c>
      <c r="T2272" s="5">
        <v>129.15</v>
      </c>
      <c r="V2272" s="5">
        <v>128.84</v>
      </c>
      <c r="Y2272" s="5">
        <v>62177</v>
      </c>
      <c r="Z2272" s="5">
        <v>8005947.0199999996</v>
      </c>
      <c r="AA2272" s="5">
        <v>1016</v>
      </c>
      <c r="AB2272" s="5" t="s">
        <v>85</v>
      </c>
      <c r="AC2272" s="5">
        <v>1</v>
      </c>
    </row>
    <row r="2273" spans="1:29" x14ac:dyDescent="0.3">
      <c r="A2273" s="34">
        <v>46274</v>
      </c>
      <c r="B2273" s="34">
        <v>46274</v>
      </c>
      <c r="C2273" s="5" t="s">
        <v>78</v>
      </c>
      <c r="D2273" s="5" t="s">
        <v>79</v>
      </c>
      <c r="E2273" s="5" t="s">
        <v>80</v>
      </c>
      <c r="F2273" s="5">
        <v>2636</v>
      </c>
      <c r="G2273" s="5" t="s">
        <v>6905</v>
      </c>
      <c r="H2273" s="5" t="s">
        <v>6906</v>
      </c>
      <c r="I2273" s="5" t="s">
        <v>212</v>
      </c>
      <c r="N2273" s="5" t="s">
        <v>6907</v>
      </c>
      <c r="O2273" s="5">
        <v>75.7</v>
      </c>
      <c r="P2273" s="5">
        <v>75.7</v>
      </c>
      <c r="Q2273" s="5">
        <v>75.12</v>
      </c>
      <c r="R2273" s="5">
        <v>75.23</v>
      </c>
      <c r="S2273" s="5">
        <v>75.23</v>
      </c>
      <c r="T2273" s="5">
        <v>75.739999999999995</v>
      </c>
      <c r="V2273" s="5">
        <v>75.23</v>
      </c>
      <c r="Y2273" s="5">
        <v>58069</v>
      </c>
      <c r="Z2273" s="5">
        <v>4374079.37</v>
      </c>
      <c r="AA2273" s="5">
        <v>977</v>
      </c>
      <c r="AB2273" s="5" t="s">
        <v>85</v>
      </c>
      <c r="AC2273" s="5">
        <v>1</v>
      </c>
    </row>
    <row r="2274" spans="1:29" x14ac:dyDescent="0.3">
      <c r="A2274" s="34">
        <v>46274</v>
      </c>
      <c r="B2274" s="34">
        <v>46274</v>
      </c>
      <c r="C2274" s="5" t="s">
        <v>78</v>
      </c>
      <c r="D2274" s="5" t="s">
        <v>79</v>
      </c>
      <c r="E2274" s="5" t="s">
        <v>80</v>
      </c>
      <c r="F2274" s="5">
        <v>9847</v>
      </c>
      <c r="G2274" s="5" t="s">
        <v>6908</v>
      </c>
      <c r="H2274" s="5" t="s">
        <v>6909</v>
      </c>
      <c r="I2274" s="5" t="s">
        <v>212</v>
      </c>
      <c r="N2274" s="5" t="s">
        <v>6910</v>
      </c>
      <c r="O2274" s="5">
        <v>137.75</v>
      </c>
      <c r="P2274" s="5">
        <v>137.75</v>
      </c>
      <c r="Q2274" s="5">
        <v>136.11000000000001</v>
      </c>
      <c r="R2274" s="5">
        <v>136.53</v>
      </c>
      <c r="S2274" s="5">
        <v>136.86000000000001</v>
      </c>
      <c r="T2274" s="5">
        <v>137.75</v>
      </c>
      <c r="V2274" s="5">
        <v>136.53</v>
      </c>
      <c r="Y2274" s="5">
        <v>29712</v>
      </c>
      <c r="Z2274" s="5">
        <v>4059215.29</v>
      </c>
      <c r="AA2274" s="5">
        <v>412</v>
      </c>
      <c r="AB2274" s="5" t="s">
        <v>85</v>
      </c>
      <c r="AC2274" s="5">
        <v>1</v>
      </c>
    </row>
    <row r="2275" spans="1:29" x14ac:dyDescent="0.3">
      <c r="A2275" s="34">
        <v>46274</v>
      </c>
      <c r="B2275" s="34">
        <v>46274</v>
      </c>
      <c r="C2275" s="5" t="s">
        <v>78</v>
      </c>
      <c r="D2275" s="5" t="s">
        <v>79</v>
      </c>
      <c r="E2275" s="5" t="s">
        <v>80</v>
      </c>
      <c r="F2275" s="5">
        <v>14428</v>
      </c>
      <c r="G2275" s="5" t="s">
        <v>6911</v>
      </c>
      <c r="H2275" s="5" t="s">
        <v>6912</v>
      </c>
      <c r="I2275" s="5" t="s">
        <v>212</v>
      </c>
      <c r="N2275" s="5" t="s">
        <v>6913</v>
      </c>
      <c r="O2275" s="5">
        <v>125.5</v>
      </c>
      <c r="P2275" s="5">
        <v>126.31</v>
      </c>
      <c r="Q2275" s="5">
        <v>125.15</v>
      </c>
      <c r="R2275" s="5">
        <v>125.78</v>
      </c>
      <c r="S2275" s="5">
        <v>125.72</v>
      </c>
      <c r="T2275" s="5">
        <v>125.84</v>
      </c>
      <c r="V2275" s="5">
        <v>125.78</v>
      </c>
      <c r="Y2275" s="5">
        <v>15054022</v>
      </c>
      <c r="Z2275" s="5">
        <v>1893513885.3</v>
      </c>
      <c r="AA2275" s="5">
        <v>64117</v>
      </c>
      <c r="AB2275" s="5" t="s">
        <v>85</v>
      </c>
      <c r="AC2275" s="5">
        <v>1</v>
      </c>
    </row>
    <row r="2276" spans="1:29" x14ac:dyDescent="0.3">
      <c r="A2276" s="34">
        <v>46274</v>
      </c>
      <c r="B2276" s="34">
        <v>46274</v>
      </c>
      <c r="C2276" s="5" t="s">
        <v>78</v>
      </c>
      <c r="D2276" s="5" t="s">
        <v>79</v>
      </c>
      <c r="E2276" s="5" t="s">
        <v>80</v>
      </c>
      <c r="F2276" s="5">
        <v>18284</v>
      </c>
      <c r="G2276" s="5" t="s">
        <v>6914</v>
      </c>
      <c r="H2276" s="5" t="s">
        <v>6915</v>
      </c>
      <c r="I2276" s="5" t="s">
        <v>212</v>
      </c>
      <c r="N2276" s="5" t="s">
        <v>6916</v>
      </c>
      <c r="O2276" s="5">
        <v>478.64</v>
      </c>
      <c r="P2276" s="5">
        <v>478.64</v>
      </c>
      <c r="Q2276" s="5">
        <v>463.82</v>
      </c>
      <c r="R2276" s="5">
        <v>466.33</v>
      </c>
      <c r="S2276" s="5">
        <v>466.78</v>
      </c>
      <c r="T2276" s="5">
        <v>466.97</v>
      </c>
      <c r="V2276" s="5">
        <v>466.35</v>
      </c>
      <c r="Y2276" s="5">
        <v>79636</v>
      </c>
      <c r="Z2276" s="5">
        <v>37101804.479999997</v>
      </c>
      <c r="AA2276" s="5">
        <v>4313</v>
      </c>
      <c r="AB2276" s="5" t="s">
        <v>85</v>
      </c>
      <c r="AC2276" s="5">
        <v>1</v>
      </c>
    </row>
    <row r="2277" spans="1:29" x14ac:dyDescent="0.3">
      <c r="A2277" s="34">
        <v>46274</v>
      </c>
      <c r="B2277" s="34">
        <v>46274</v>
      </c>
      <c r="C2277" s="5" t="s">
        <v>78</v>
      </c>
      <c r="D2277" s="5" t="s">
        <v>79</v>
      </c>
      <c r="E2277" s="5" t="s">
        <v>80</v>
      </c>
      <c r="F2277" s="5">
        <v>20072</v>
      </c>
      <c r="G2277" s="5" t="s">
        <v>6917</v>
      </c>
      <c r="H2277" s="5" t="s">
        <v>6918</v>
      </c>
      <c r="I2277" s="5" t="s">
        <v>212</v>
      </c>
      <c r="N2277" s="5" t="s">
        <v>6919</v>
      </c>
      <c r="O2277" s="5">
        <v>947.27</v>
      </c>
      <c r="P2277" s="5">
        <v>949.26</v>
      </c>
      <c r="Q2277" s="5">
        <v>941.41</v>
      </c>
      <c r="R2277" s="5">
        <v>944.32</v>
      </c>
      <c r="S2277" s="5">
        <v>948.99</v>
      </c>
      <c r="T2277" s="5">
        <v>947.27</v>
      </c>
      <c r="V2277" s="5">
        <v>944.36</v>
      </c>
      <c r="Y2277" s="5">
        <v>12145</v>
      </c>
      <c r="Z2277" s="5">
        <v>11491875.75</v>
      </c>
      <c r="AA2277" s="5">
        <v>437</v>
      </c>
      <c r="AB2277" s="5" t="s">
        <v>85</v>
      </c>
      <c r="AC2277" s="5">
        <v>1</v>
      </c>
    </row>
    <row r="2278" spans="1:29" x14ac:dyDescent="0.3">
      <c r="A2278" s="34">
        <v>46274</v>
      </c>
      <c r="B2278" s="34">
        <v>46274</v>
      </c>
      <c r="C2278" s="5" t="s">
        <v>78</v>
      </c>
      <c r="D2278" s="5" t="s">
        <v>79</v>
      </c>
      <c r="E2278" s="5" t="s">
        <v>80</v>
      </c>
      <c r="F2278" s="5">
        <v>19084</v>
      </c>
      <c r="G2278" s="5" t="s">
        <v>6920</v>
      </c>
      <c r="H2278" s="5" t="s">
        <v>6921</v>
      </c>
      <c r="I2278" s="5" t="s">
        <v>212</v>
      </c>
      <c r="N2278" s="5" t="s">
        <v>6922</v>
      </c>
      <c r="O2278" s="5">
        <v>34.1</v>
      </c>
      <c r="P2278" s="5">
        <v>34.1</v>
      </c>
      <c r="Q2278" s="5">
        <v>32.06</v>
      </c>
      <c r="R2278" s="5">
        <v>32.15</v>
      </c>
      <c r="S2278" s="5">
        <v>32.25</v>
      </c>
      <c r="T2278" s="5">
        <v>33.270000000000003</v>
      </c>
      <c r="V2278" s="5">
        <v>32.15</v>
      </c>
      <c r="Y2278" s="5">
        <v>21960305</v>
      </c>
      <c r="Z2278" s="5">
        <v>708483176.01999998</v>
      </c>
      <c r="AA2278" s="5">
        <v>38239</v>
      </c>
      <c r="AB2278" s="5" t="s">
        <v>85</v>
      </c>
      <c r="AC2278" s="5">
        <v>1</v>
      </c>
    </row>
    <row r="2279" spans="1:29" x14ac:dyDescent="0.3">
      <c r="A2279" s="34">
        <v>46274</v>
      </c>
      <c r="B2279" s="34">
        <v>46274</v>
      </c>
      <c r="C2279" s="5" t="s">
        <v>78</v>
      </c>
      <c r="D2279" s="5" t="s">
        <v>79</v>
      </c>
      <c r="E2279" s="5" t="s">
        <v>80</v>
      </c>
      <c r="F2279" s="5">
        <v>10939</v>
      </c>
      <c r="G2279" s="5" t="s">
        <v>6923</v>
      </c>
      <c r="H2279" s="5" t="s">
        <v>6924</v>
      </c>
      <c r="I2279" s="5" t="s">
        <v>212</v>
      </c>
      <c r="N2279" s="5" t="s">
        <v>6925</v>
      </c>
      <c r="O2279" s="5">
        <v>771.84</v>
      </c>
      <c r="P2279" s="5">
        <v>791.99</v>
      </c>
      <c r="Q2279" s="5">
        <v>771.84</v>
      </c>
      <c r="R2279" s="5">
        <v>789.37</v>
      </c>
      <c r="S2279" s="5">
        <v>791.01</v>
      </c>
      <c r="T2279" s="5">
        <v>787.59</v>
      </c>
      <c r="V2279" s="5">
        <v>789.37</v>
      </c>
      <c r="Y2279" s="5">
        <v>239411</v>
      </c>
      <c r="Z2279" s="5">
        <v>189025279.00999999</v>
      </c>
      <c r="AA2279" s="5">
        <v>7450</v>
      </c>
      <c r="AB2279" s="5" t="s">
        <v>85</v>
      </c>
      <c r="AC2279" s="5">
        <v>1</v>
      </c>
    </row>
    <row r="2280" spans="1:29" x14ac:dyDescent="0.3">
      <c r="A2280" s="34">
        <v>46274</v>
      </c>
      <c r="B2280" s="34">
        <v>46274</v>
      </c>
      <c r="C2280" s="5" t="s">
        <v>78</v>
      </c>
      <c r="D2280" s="5" t="s">
        <v>79</v>
      </c>
      <c r="E2280" s="5" t="s">
        <v>80</v>
      </c>
      <c r="F2280" s="5">
        <v>11006</v>
      </c>
      <c r="G2280" s="5" t="s">
        <v>6926</v>
      </c>
      <c r="H2280" s="5" t="s">
        <v>37</v>
      </c>
      <c r="I2280" s="5" t="s">
        <v>212</v>
      </c>
      <c r="N2280" s="5" t="s">
        <v>6927</v>
      </c>
      <c r="O2280" s="5">
        <v>1000</v>
      </c>
      <c r="P2280" s="5">
        <v>1000.01</v>
      </c>
      <c r="Q2280" s="5">
        <v>999.99</v>
      </c>
      <c r="R2280" s="5">
        <v>999.99</v>
      </c>
      <c r="S2280" s="5">
        <v>999.99</v>
      </c>
      <c r="T2280" s="5">
        <v>1000</v>
      </c>
      <c r="V2280" s="5">
        <v>999.99</v>
      </c>
      <c r="Y2280" s="5">
        <v>2370214</v>
      </c>
      <c r="Z2280" s="5">
        <v>2370211288.5</v>
      </c>
      <c r="AA2280" s="5">
        <v>5386</v>
      </c>
      <c r="AB2280" s="5" t="s">
        <v>85</v>
      </c>
      <c r="AC2280" s="5">
        <v>1</v>
      </c>
    </row>
    <row r="2281" spans="1:29" x14ac:dyDescent="0.3">
      <c r="A2281" s="34">
        <v>46274</v>
      </c>
      <c r="B2281" s="34">
        <v>46274</v>
      </c>
      <c r="C2281" s="5" t="s">
        <v>78</v>
      </c>
      <c r="D2281" s="5" t="s">
        <v>79</v>
      </c>
      <c r="E2281" s="5" t="s">
        <v>80</v>
      </c>
      <c r="F2281" s="5">
        <v>17700</v>
      </c>
      <c r="G2281" s="5" t="s">
        <v>6928</v>
      </c>
      <c r="H2281" s="5" t="s">
        <v>6929</v>
      </c>
      <c r="I2281" s="5" t="s">
        <v>212</v>
      </c>
      <c r="N2281" s="5" t="s">
        <v>6930</v>
      </c>
      <c r="O2281" s="5">
        <v>29.9</v>
      </c>
      <c r="P2281" s="5">
        <v>29.93</v>
      </c>
      <c r="Q2281" s="5">
        <v>29.88</v>
      </c>
      <c r="R2281" s="5">
        <v>29.91</v>
      </c>
      <c r="S2281" s="5">
        <v>29.89</v>
      </c>
      <c r="T2281" s="5">
        <v>29.89</v>
      </c>
      <c r="V2281" s="5">
        <v>29.91</v>
      </c>
      <c r="Y2281" s="5">
        <v>1289785</v>
      </c>
      <c r="Z2281" s="5">
        <v>38573955.850000001</v>
      </c>
      <c r="AA2281" s="5">
        <v>550</v>
      </c>
      <c r="AB2281" s="5" t="s">
        <v>85</v>
      </c>
      <c r="AC2281" s="5">
        <v>1</v>
      </c>
    </row>
    <row r="2282" spans="1:29" x14ac:dyDescent="0.3">
      <c r="A2282" s="34">
        <v>46274</v>
      </c>
      <c r="B2282" s="34">
        <v>46274</v>
      </c>
      <c r="C2282" s="5" t="s">
        <v>78</v>
      </c>
      <c r="D2282" s="5" t="s">
        <v>79</v>
      </c>
      <c r="E2282" s="5" t="s">
        <v>80</v>
      </c>
      <c r="F2282" s="5">
        <v>8506</v>
      </c>
      <c r="G2282" s="5" t="s">
        <v>6931</v>
      </c>
      <c r="H2282" s="5" t="s">
        <v>6932</v>
      </c>
      <c r="I2282" s="5" t="s">
        <v>212</v>
      </c>
      <c r="N2282" s="5" t="s">
        <v>6933</v>
      </c>
      <c r="O2282" s="5">
        <v>233.04</v>
      </c>
      <c r="P2282" s="5">
        <v>242</v>
      </c>
      <c r="Q2282" s="5">
        <v>233.04</v>
      </c>
      <c r="R2282" s="5">
        <v>238.02</v>
      </c>
      <c r="S2282" s="5">
        <v>237.77</v>
      </c>
      <c r="T2282" s="5">
        <v>239.02</v>
      </c>
      <c r="V2282" s="5">
        <v>238.01</v>
      </c>
      <c r="Y2282" s="5">
        <v>580979</v>
      </c>
      <c r="Z2282" s="5">
        <v>138406703.44</v>
      </c>
      <c r="AA2282" s="5">
        <v>7973</v>
      </c>
      <c r="AB2282" s="5" t="s">
        <v>85</v>
      </c>
      <c r="AC2282" s="5">
        <v>1</v>
      </c>
    </row>
    <row r="2283" spans="1:29" x14ac:dyDescent="0.3">
      <c r="A2283" s="34">
        <v>46274</v>
      </c>
      <c r="B2283" s="34">
        <v>46274</v>
      </c>
      <c r="C2283" s="5" t="s">
        <v>78</v>
      </c>
      <c r="D2283" s="5" t="s">
        <v>79</v>
      </c>
      <c r="E2283" s="5" t="s">
        <v>80</v>
      </c>
      <c r="F2283" s="5">
        <v>29577</v>
      </c>
      <c r="G2283" s="5" t="s">
        <v>6934</v>
      </c>
      <c r="H2283" s="5" t="s">
        <v>6935</v>
      </c>
      <c r="I2283" s="5" t="s">
        <v>212</v>
      </c>
      <c r="N2283" s="5" t="s">
        <v>6936</v>
      </c>
      <c r="O2283" s="5">
        <v>263.3</v>
      </c>
      <c r="P2283" s="5">
        <v>263.3</v>
      </c>
      <c r="Q2283" s="5">
        <v>261.52</v>
      </c>
      <c r="R2283" s="5">
        <v>262.29000000000002</v>
      </c>
      <c r="S2283" s="5">
        <v>262.89999999999998</v>
      </c>
      <c r="T2283" s="5">
        <v>263.3</v>
      </c>
      <c r="V2283" s="5">
        <v>262.36</v>
      </c>
      <c r="Y2283" s="5">
        <v>57443</v>
      </c>
      <c r="Z2283" s="5">
        <v>15061095.48</v>
      </c>
      <c r="AA2283" s="5">
        <v>709</v>
      </c>
      <c r="AB2283" s="5" t="s">
        <v>85</v>
      </c>
      <c r="AC2283" s="5">
        <v>1</v>
      </c>
    </row>
    <row r="2284" spans="1:29" x14ac:dyDescent="0.3">
      <c r="A2284" s="34">
        <v>46274</v>
      </c>
      <c r="B2284" s="34">
        <v>46274</v>
      </c>
      <c r="C2284" s="5" t="s">
        <v>78</v>
      </c>
      <c r="D2284" s="5" t="s">
        <v>79</v>
      </c>
      <c r="E2284" s="5" t="s">
        <v>80</v>
      </c>
      <c r="F2284" s="5">
        <v>10576</v>
      </c>
      <c r="G2284" s="5" t="s">
        <v>6937</v>
      </c>
      <c r="H2284" s="5" t="s">
        <v>6938</v>
      </c>
      <c r="I2284" s="5" t="s">
        <v>212</v>
      </c>
      <c r="N2284" s="5" t="s">
        <v>6939</v>
      </c>
      <c r="O2284" s="5">
        <v>269.43</v>
      </c>
      <c r="P2284" s="5">
        <v>269.68</v>
      </c>
      <c r="Q2284" s="5">
        <v>267.89999999999998</v>
      </c>
      <c r="R2284" s="5">
        <v>268.14999999999998</v>
      </c>
      <c r="S2284" s="5">
        <v>268.25</v>
      </c>
      <c r="T2284" s="5">
        <v>270.05</v>
      </c>
      <c r="V2284" s="5">
        <v>268.14999999999998</v>
      </c>
      <c r="Y2284" s="5">
        <v>7537478</v>
      </c>
      <c r="Z2284" s="5">
        <v>2024590311.3800001</v>
      </c>
      <c r="AA2284" s="5">
        <v>93493</v>
      </c>
      <c r="AB2284" s="5" t="s">
        <v>85</v>
      </c>
      <c r="AC2284" s="5">
        <v>1</v>
      </c>
    </row>
    <row r="2285" spans="1:29" x14ac:dyDescent="0.3">
      <c r="A2285" s="34">
        <v>46274</v>
      </c>
      <c r="B2285" s="34">
        <v>46274</v>
      </c>
      <c r="C2285" s="5" t="s">
        <v>78</v>
      </c>
      <c r="D2285" s="5" t="s">
        <v>79</v>
      </c>
      <c r="E2285" s="5" t="s">
        <v>80</v>
      </c>
      <c r="F2285" s="5">
        <v>15032</v>
      </c>
      <c r="G2285" s="5" t="s">
        <v>6940</v>
      </c>
      <c r="H2285" s="5" t="s">
        <v>6941</v>
      </c>
      <c r="I2285" s="5" t="s">
        <v>212</v>
      </c>
      <c r="N2285" s="5" t="s">
        <v>6942</v>
      </c>
      <c r="O2285" s="5">
        <v>93.51</v>
      </c>
      <c r="P2285" s="5">
        <v>94.25</v>
      </c>
      <c r="Q2285" s="5">
        <v>93.3</v>
      </c>
      <c r="R2285" s="5">
        <v>93.58</v>
      </c>
      <c r="S2285" s="5">
        <v>93.49</v>
      </c>
      <c r="T2285" s="5">
        <v>93.97</v>
      </c>
      <c r="V2285" s="5">
        <v>93.58</v>
      </c>
      <c r="Y2285" s="5">
        <v>1220617</v>
      </c>
      <c r="Z2285" s="5">
        <v>114519716.64</v>
      </c>
      <c r="AA2285" s="5">
        <v>4845</v>
      </c>
      <c r="AB2285" s="5" t="s">
        <v>85</v>
      </c>
      <c r="AC2285" s="5">
        <v>1</v>
      </c>
    </row>
    <row r="2286" spans="1:29" x14ac:dyDescent="0.3">
      <c r="A2286" s="34">
        <v>46274</v>
      </c>
      <c r="B2286" s="34">
        <v>46274</v>
      </c>
      <c r="C2286" s="5" t="s">
        <v>78</v>
      </c>
      <c r="D2286" s="5" t="s">
        <v>79</v>
      </c>
      <c r="E2286" s="5" t="s">
        <v>80</v>
      </c>
      <c r="F2286" s="5">
        <v>17044</v>
      </c>
      <c r="G2286" s="5" t="s">
        <v>6943</v>
      </c>
      <c r="H2286" s="5" t="s">
        <v>6944</v>
      </c>
      <c r="I2286" s="5" t="s">
        <v>212</v>
      </c>
      <c r="N2286" s="5" t="s">
        <v>6945</v>
      </c>
      <c r="O2286" s="5">
        <v>445</v>
      </c>
      <c r="P2286" s="5">
        <v>446.04</v>
      </c>
      <c r="Q2286" s="5">
        <v>438.5</v>
      </c>
      <c r="R2286" s="5">
        <v>439.96</v>
      </c>
      <c r="S2286" s="5">
        <v>441.26</v>
      </c>
      <c r="T2286" s="5">
        <v>446.23</v>
      </c>
      <c r="V2286" s="5">
        <v>439.96</v>
      </c>
      <c r="Y2286" s="5">
        <v>13292</v>
      </c>
      <c r="Z2286" s="5">
        <v>5859205.71</v>
      </c>
      <c r="AA2286" s="5">
        <v>837</v>
      </c>
      <c r="AB2286" s="5" t="s">
        <v>85</v>
      </c>
      <c r="AC2286" s="5">
        <v>1</v>
      </c>
    </row>
    <row r="2287" spans="1:29" x14ac:dyDescent="0.3">
      <c r="A2287" s="34">
        <v>46274</v>
      </c>
      <c r="B2287" s="34">
        <v>46274</v>
      </c>
      <c r="C2287" s="5" t="s">
        <v>78</v>
      </c>
      <c r="D2287" s="5" t="s">
        <v>79</v>
      </c>
      <c r="E2287" s="5" t="s">
        <v>80</v>
      </c>
      <c r="F2287" s="5">
        <v>357</v>
      </c>
      <c r="G2287" s="5" t="s">
        <v>6946</v>
      </c>
      <c r="H2287" s="5" t="s">
        <v>6947</v>
      </c>
      <c r="I2287" s="5" t="s">
        <v>212</v>
      </c>
      <c r="N2287" s="5" t="s">
        <v>6948</v>
      </c>
      <c r="O2287" s="5">
        <v>1188.0999999999999</v>
      </c>
      <c r="P2287" s="5">
        <v>1190</v>
      </c>
      <c r="Q2287" s="5">
        <v>1158</v>
      </c>
      <c r="R2287" s="5">
        <v>1164.8</v>
      </c>
      <c r="S2287" s="5">
        <v>1164.8</v>
      </c>
      <c r="T2287" s="5">
        <v>1188.9000000000001</v>
      </c>
      <c r="V2287" s="5">
        <v>1164.8</v>
      </c>
      <c r="Y2287" s="5">
        <v>588058</v>
      </c>
      <c r="Z2287" s="5">
        <v>687458523.29999995</v>
      </c>
      <c r="AA2287" s="5">
        <v>52220</v>
      </c>
      <c r="AB2287" s="5" t="s">
        <v>85</v>
      </c>
      <c r="AC2287" s="5">
        <v>1</v>
      </c>
    </row>
    <row r="2288" spans="1:29" x14ac:dyDescent="0.3">
      <c r="A2288" s="34">
        <v>46274</v>
      </c>
      <c r="B2288" s="34">
        <v>46274</v>
      </c>
      <c r="C2288" s="5" t="s">
        <v>78</v>
      </c>
      <c r="D2288" s="5" t="s">
        <v>79</v>
      </c>
      <c r="E2288" s="5" t="s">
        <v>80</v>
      </c>
      <c r="F2288" s="5">
        <v>757725</v>
      </c>
      <c r="G2288" s="5" t="s">
        <v>6949</v>
      </c>
      <c r="H2288" s="5" t="s">
        <v>6950</v>
      </c>
      <c r="I2288" s="5" t="s">
        <v>212</v>
      </c>
      <c r="N2288" s="5" t="s">
        <v>6951</v>
      </c>
      <c r="O2288" s="5">
        <v>1054.8</v>
      </c>
      <c r="P2288" s="5">
        <v>1054.82</v>
      </c>
      <c r="Q2288" s="5">
        <v>1054.8</v>
      </c>
      <c r="R2288" s="5">
        <v>1054.8</v>
      </c>
      <c r="S2288" s="5">
        <v>1054.82</v>
      </c>
      <c r="T2288" s="5">
        <v>1054.68</v>
      </c>
      <c r="V2288" s="5">
        <v>1054.8</v>
      </c>
      <c r="Y2288" s="5">
        <v>17440</v>
      </c>
      <c r="Z2288" s="5">
        <v>18395836.210000001</v>
      </c>
      <c r="AA2288" s="5">
        <v>187</v>
      </c>
      <c r="AB2288" s="5" t="s">
        <v>85</v>
      </c>
      <c r="AC2288" s="5">
        <v>1</v>
      </c>
    </row>
    <row r="2289" spans="1:29" x14ac:dyDescent="0.3">
      <c r="A2289" s="34">
        <v>46274</v>
      </c>
      <c r="B2289" s="34">
        <v>46274</v>
      </c>
      <c r="C2289" s="5" t="s">
        <v>78</v>
      </c>
      <c r="D2289" s="5" t="s">
        <v>79</v>
      </c>
      <c r="E2289" s="5" t="s">
        <v>80</v>
      </c>
      <c r="F2289" s="5">
        <v>758667</v>
      </c>
      <c r="G2289" s="5" t="s">
        <v>6952</v>
      </c>
      <c r="H2289" s="5" t="s">
        <v>6953</v>
      </c>
      <c r="I2289" s="5" t="s">
        <v>212</v>
      </c>
      <c r="N2289" s="5" t="s">
        <v>6954</v>
      </c>
      <c r="O2289" s="5">
        <v>163.47</v>
      </c>
      <c r="P2289" s="5">
        <v>163.68</v>
      </c>
      <c r="Q2289" s="5">
        <v>162.02000000000001</v>
      </c>
      <c r="R2289" s="5">
        <v>162.22</v>
      </c>
      <c r="S2289" s="5">
        <v>162.15</v>
      </c>
      <c r="T2289" s="5">
        <v>162.66</v>
      </c>
      <c r="V2289" s="5">
        <v>162.22</v>
      </c>
      <c r="Y2289" s="5">
        <v>6943</v>
      </c>
      <c r="Z2289" s="5">
        <v>1131737.49</v>
      </c>
      <c r="AA2289" s="5">
        <v>101</v>
      </c>
      <c r="AB2289" s="5" t="s">
        <v>85</v>
      </c>
      <c r="AC2289" s="5">
        <v>1</v>
      </c>
    </row>
    <row r="2290" spans="1:29" x14ac:dyDescent="0.3">
      <c r="A2290" s="34">
        <v>46274</v>
      </c>
      <c r="B2290" s="34">
        <v>46274</v>
      </c>
      <c r="C2290" s="5" t="s">
        <v>78</v>
      </c>
      <c r="D2290" s="5" t="s">
        <v>79</v>
      </c>
      <c r="E2290" s="5" t="s">
        <v>80</v>
      </c>
      <c r="F2290" s="5">
        <v>7880</v>
      </c>
      <c r="G2290" s="5" t="s">
        <v>6955</v>
      </c>
      <c r="H2290" s="5" t="s">
        <v>6956</v>
      </c>
      <c r="I2290" s="5" t="s">
        <v>212</v>
      </c>
      <c r="N2290" s="5" t="s">
        <v>6957</v>
      </c>
      <c r="O2290" s="5">
        <v>286.70999999999998</v>
      </c>
      <c r="P2290" s="5">
        <v>286.89999999999998</v>
      </c>
      <c r="Q2290" s="5">
        <v>284.45999999999998</v>
      </c>
      <c r="R2290" s="5">
        <v>285.51</v>
      </c>
      <c r="S2290" s="5">
        <v>284.8</v>
      </c>
      <c r="T2290" s="5">
        <v>286.83</v>
      </c>
      <c r="V2290" s="5">
        <v>285.51</v>
      </c>
      <c r="Y2290" s="5">
        <v>141003</v>
      </c>
      <c r="Z2290" s="5">
        <v>40253577.299999997</v>
      </c>
      <c r="AA2290" s="5">
        <v>2803</v>
      </c>
      <c r="AB2290" s="5" t="s">
        <v>85</v>
      </c>
      <c r="AC2290" s="5">
        <v>1</v>
      </c>
    </row>
    <row r="2291" spans="1:29" x14ac:dyDescent="0.3">
      <c r="A2291" s="34">
        <v>46274</v>
      </c>
      <c r="B2291" s="34">
        <v>46274</v>
      </c>
      <c r="C2291" s="5" t="s">
        <v>78</v>
      </c>
      <c r="D2291" s="5" t="s">
        <v>79</v>
      </c>
      <c r="E2291" s="5" t="s">
        <v>80</v>
      </c>
      <c r="F2291" s="5">
        <v>4973</v>
      </c>
      <c r="G2291" s="5" t="s">
        <v>6958</v>
      </c>
      <c r="H2291" s="5" t="s">
        <v>6959</v>
      </c>
      <c r="I2291" s="5" t="s">
        <v>212</v>
      </c>
      <c r="N2291" s="5" t="s">
        <v>6960</v>
      </c>
      <c r="O2291" s="5">
        <v>26.96</v>
      </c>
      <c r="P2291" s="5">
        <v>28.4</v>
      </c>
      <c r="Q2291" s="5">
        <v>26.96</v>
      </c>
      <c r="R2291" s="5">
        <v>27.5</v>
      </c>
      <c r="S2291" s="5">
        <v>27.56</v>
      </c>
      <c r="T2291" s="5">
        <v>27.66</v>
      </c>
      <c r="V2291" s="5">
        <v>27.5</v>
      </c>
      <c r="Y2291" s="5">
        <v>3758240</v>
      </c>
      <c r="Z2291" s="5">
        <v>103435711.69</v>
      </c>
      <c r="AA2291" s="5">
        <v>10703</v>
      </c>
      <c r="AB2291" s="5" t="s">
        <v>85</v>
      </c>
      <c r="AC2291" s="5">
        <v>1</v>
      </c>
    </row>
    <row r="2292" spans="1:29" x14ac:dyDescent="0.3">
      <c r="A2292" s="34">
        <v>46274</v>
      </c>
      <c r="B2292" s="34">
        <v>46274</v>
      </c>
      <c r="C2292" s="5" t="s">
        <v>78</v>
      </c>
      <c r="D2292" s="5" t="s">
        <v>79</v>
      </c>
      <c r="E2292" s="5" t="s">
        <v>80</v>
      </c>
      <c r="F2292" s="5">
        <v>8080</v>
      </c>
      <c r="G2292" s="5" t="s">
        <v>6961</v>
      </c>
      <c r="H2292" s="5" t="s">
        <v>6962</v>
      </c>
      <c r="I2292" s="5" t="s">
        <v>212</v>
      </c>
      <c r="N2292" s="5" t="s">
        <v>6963</v>
      </c>
      <c r="O2292" s="5">
        <v>221.49</v>
      </c>
      <c r="P2292" s="5">
        <v>223.65</v>
      </c>
      <c r="Q2292" s="5">
        <v>221.49</v>
      </c>
      <c r="R2292" s="5">
        <v>222.59</v>
      </c>
      <c r="S2292" s="5">
        <v>222.29</v>
      </c>
      <c r="T2292" s="5">
        <v>221.17</v>
      </c>
      <c r="V2292" s="5">
        <v>222.59</v>
      </c>
      <c r="Y2292" s="5">
        <v>13917585</v>
      </c>
      <c r="Z2292" s="5">
        <v>3100159380.0500002</v>
      </c>
      <c r="AA2292" s="5">
        <v>46682</v>
      </c>
      <c r="AB2292" s="5" t="s">
        <v>85</v>
      </c>
      <c r="AC2292" s="5">
        <v>1</v>
      </c>
    </row>
    <row r="2293" spans="1:29" x14ac:dyDescent="0.3">
      <c r="A2293" s="34">
        <v>46274</v>
      </c>
      <c r="B2293" s="34">
        <v>46274</v>
      </c>
      <c r="C2293" s="5" t="s">
        <v>78</v>
      </c>
      <c r="D2293" s="5" t="s">
        <v>79</v>
      </c>
      <c r="E2293" s="5" t="s">
        <v>80</v>
      </c>
      <c r="F2293" s="5">
        <v>757455</v>
      </c>
      <c r="G2293" s="5" t="s">
        <v>6964</v>
      </c>
      <c r="H2293" s="5" t="s">
        <v>6965</v>
      </c>
      <c r="I2293" s="5" t="s">
        <v>212</v>
      </c>
      <c r="N2293" s="5" t="s">
        <v>6966</v>
      </c>
      <c r="O2293" s="5">
        <v>42.44</v>
      </c>
      <c r="P2293" s="5">
        <v>43</v>
      </c>
      <c r="Q2293" s="5">
        <v>42.2</v>
      </c>
      <c r="R2293" s="5">
        <v>42.55</v>
      </c>
      <c r="S2293" s="5">
        <v>42.67</v>
      </c>
      <c r="T2293" s="5">
        <v>42.25</v>
      </c>
      <c r="V2293" s="5">
        <v>42.55</v>
      </c>
      <c r="Y2293" s="5">
        <v>15467</v>
      </c>
      <c r="Z2293" s="5">
        <v>658196.91</v>
      </c>
      <c r="AA2293" s="5">
        <v>70</v>
      </c>
      <c r="AB2293" s="5" t="s">
        <v>85</v>
      </c>
      <c r="AC2293" s="5">
        <v>1</v>
      </c>
    </row>
    <row r="2294" spans="1:29" x14ac:dyDescent="0.3">
      <c r="A2294" s="34">
        <v>46274</v>
      </c>
      <c r="B2294" s="34">
        <v>46274</v>
      </c>
      <c r="C2294" s="5" t="s">
        <v>78</v>
      </c>
      <c r="D2294" s="5" t="s">
        <v>79</v>
      </c>
      <c r="E2294" s="5" t="s">
        <v>80</v>
      </c>
      <c r="F2294" s="5">
        <v>255</v>
      </c>
      <c r="G2294" s="5" t="s">
        <v>6967</v>
      </c>
      <c r="H2294" s="5" t="s">
        <v>6968</v>
      </c>
      <c r="I2294" s="5" t="s">
        <v>212</v>
      </c>
      <c r="N2294" s="5" t="s">
        <v>6969</v>
      </c>
      <c r="O2294" s="5">
        <v>28.18</v>
      </c>
      <c r="P2294" s="5">
        <v>29.2</v>
      </c>
      <c r="Q2294" s="5">
        <v>28</v>
      </c>
      <c r="R2294" s="5">
        <v>28.07</v>
      </c>
      <c r="S2294" s="5">
        <v>28.3</v>
      </c>
      <c r="T2294" s="5">
        <v>28.18</v>
      </c>
      <c r="V2294" s="5">
        <v>28.13</v>
      </c>
      <c r="Y2294" s="5">
        <v>10845</v>
      </c>
      <c r="Z2294" s="5">
        <v>307603.86</v>
      </c>
      <c r="AA2294" s="5">
        <v>189</v>
      </c>
      <c r="AB2294" s="5" t="s">
        <v>85</v>
      </c>
      <c r="AC2294" s="5">
        <v>1</v>
      </c>
    </row>
    <row r="2295" spans="1:29" x14ac:dyDescent="0.3">
      <c r="A2295" s="34">
        <v>46274</v>
      </c>
      <c r="B2295" s="34">
        <v>46274</v>
      </c>
      <c r="C2295" s="5" t="s">
        <v>78</v>
      </c>
      <c r="D2295" s="5" t="s">
        <v>79</v>
      </c>
      <c r="E2295" s="5" t="s">
        <v>80</v>
      </c>
      <c r="F2295" s="5">
        <v>18844</v>
      </c>
      <c r="G2295" s="5" t="s">
        <v>6970</v>
      </c>
      <c r="H2295" s="5" t="s">
        <v>6971</v>
      </c>
      <c r="I2295" s="5" t="s">
        <v>234</v>
      </c>
      <c r="N2295" s="5" t="s">
        <v>6972</v>
      </c>
      <c r="O2295" s="5">
        <v>332.55</v>
      </c>
      <c r="P2295" s="5">
        <v>332.55</v>
      </c>
      <c r="Q2295" s="5">
        <v>332.55</v>
      </c>
      <c r="R2295" s="5">
        <v>332.55</v>
      </c>
      <c r="S2295" s="5">
        <v>332.55</v>
      </c>
      <c r="T2295" s="5">
        <v>350.05</v>
      </c>
      <c r="V2295" s="5">
        <v>332.55</v>
      </c>
      <c r="Y2295" s="5">
        <v>68</v>
      </c>
      <c r="Z2295" s="5">
        <v>22613.4</v>
      </c>
      <c r="AA2295" s="5">
        <v>10</v>
      </c>
      <c r="AB2295" s="5" t="s">
        <v>85</v>
      </c>
      <c r="AC2295" s="5">
        <v>1</v>
      </c>
    </row>
    <row r="2296" spans="1:29" x14ac:dyDescent="0.3">
      <c r="A2296" s="34">
        <v>46274</v>
      </c>
      <c r="B2296" s="34">
        <v>46274</v>
      </c>
      <c r="C2296" s="5" t="s">
        <v>78</v>
      </c>
      <c r="D2296" s="5" t="s">
        <v>79</v>
      </c>
      <c r="E2296" s="5" t="s">
        <v>80</v>
      </c>
      <c r="F2296" s="5">
        <v>2433</v>
      </c>
      <c r="G2296" s="5" t="s">
        <v>6973</v>
      </c>
      <c r="H2296" s="5" t="s">
        <v>6974</v>
      </c>
      <c r="I2296" s="5" t="s">
        <v>212</v>
      </c>
      <c r="N2296" s="5" t="s">
        <v>6975</v>
      </c>
      <c r="O2296" s="5">
        <v>619.65</v>
      </c>
      <c r="P2296" s="5">
        <v>624.75</v>
      </c>
      <c r="Q2296" s="5">
        <v>617.6</v>
      </c>
      <c r="R2296" s="5">
        <v>619.70000000000005</v>
      </c>
      <c r="S2296" s="5">
        <v>621.25</v>
      </c>
      <c r="T2296" s="5">
        <v>619.65</v>
      </c>
      <c r="V2296" s="5">
        <v>619.49</v>
      </c>
      <c r="Y2296" s="5">
        <v>5143</v>
      </c>
      <c r="Z2296" s="5">
        <v>3188834.6</v>
      </c>
      <c r="AA2296" s="5">
        <v>257</v>
      </c>
      <c r="AB2296" s="5" t="s">
        <v>85</v>
      </c>
      <c r="AC2296" s="5">
        <v>1</v>
      </c>
    </row>
    <row r="2297" spans="1:29" x14ac:dyDescent="0.3">
      <c r="A2297" s="34">
        <v>46274</v>
      </c>
      <c r="B2297" s="34">
        <v>46274</v>
      </c>
      <c r="C2297" s="5" t="s">
        <v>78</v>
      </c>
      <c r="D2297" s="5" t="s">
        <v>79</v>
      </c>
      <c r="E2297" s="5" t="s">
        <v>80</v>
      </c>
      <c r="F2297" s="5">
        <v>14722</v>
      </c>
      <c r="G2297" s="5" t="s">
        <v>6976</v>
      </c>
      <c r="H2297" s="5" t="s">
        <v>6977</v>
      </c>
      <c r="I2297" s="5" t="s">
        <v>313</v>
      </c>
      <c r="N2297" s="5" t="s">
        <v>6978</v>
      </c>
      <c r="O2297" s="5">
        <v>27.8</v>
      </c>
      <c r="P2297" s="5">
        <v>27.8</v>
      </c>
      <c r="Q2297" s="5">
        <v>27.05</v>
      </c>
      <c r="R2297" s="5">
        <v>27.5</v>
      </c>
      <c r="S2297" s="5">
        <v>27.5</v>
      </c>
      <c r="T2297" s="5">
        <v>27.3</v>
      </c>
      <c r="V2297" s="5">
        <v>27.5</v>
      </c>
      <c r="Y2297" s="5">
        <v>18000</v>
      </c>
      <c r="Z2297" s="5">
        <v>491355</v>
      </c>
      <c r="AA2297" s="5">
        <v>35</v>
      </c>
      <c r="AB2297" s="5" t="s">
        <v>85</v>
      </c>
      <c r="AC2297" s="5">
        <v>300</v>
      </c>
    </row>
    <row r="2298" spans="1:29" x14ac:dyDescent="0.3">
      <c r="A2298" s="34">
        <v>46274</v>
      </c>
      <c r="B2298" s="34">
        <v>46274</v>
      </c>
      <c r="C2298" s="5" t="s">
        <v>78</v>
      </c>
      <c r="D2298" s="5" t="s">
        <v>79</v>
      </c>
      <c r="E2298" s="5" t="s">
        <v>80</v>
      </c>
      <c r="F2298" s="5">
        <v>13300</v>
      </c>
      <c r="G2298" s="5" t="s">
        <v>6979</v>
      </c>
      <c r="H2298" s="5" t="s">
        <v>6980</v>
      </c>
      <c r="I2298" s="5" t="s">
        <v>212</v>
      </c>
      <c r="N2298" s="5" t="s">
        <v>6981</v>
      </c>
      <c r="O2298" s="5">
        <v>93.43</v>
      </c>
      <c r="P2298" s="5">
        <v>94</v>
      </c>
      <c r="Q2298" s="5">
        <v>92.1</v>
      </c>
      <c r="R2298" s="5">
        <v>92.53</v>
      </c>
      <c r="S2298" s="5">
        <v>92.15</v>
      </c>
      <c r="T2298" s="5">
        <v>93.46</v>
      </c>
      <c r="V2298" s="5">
        <v>92.53</v>
      </c>
      <c r="Y2298" s="5">
        <v>262356</v>
      </c>
      <c r="Z2298" s="5">
        <v>24351208.309999999</v>
      </c>
      <c r="AA2298" s="5">
        <v>2050</v>
      </c>
      <c r="AB2298" s="5" t="s">
        <v>85</v>
      </c>
      <c r="AC2298" s="5">
        <v>1</v>
      </c>
    </row>
    <row r="2299" spans="1:29" x14ac:dyDescent="0.3">
      <c r="A2299" s="34">
        <v>46274</v>
      </c>
      <c r="B2299" s="34">
        <v>46274</v>
      </c>
      <c r="C2299" s="5" t="s">
        <v>78</v>
      </c>
      <c r="D2299" s="5" t="s">
        <v>79</v>
      </c>
      <c r="E2299" s="5" t="s">
        <v>80</v>
      </c>
      <c r="F2299" s="5">
        <v>13175</v>
      </c>
      <c r="G2299" s="5" t="s">
        <v>6982</v>
      </c>
      <c r="H2299" s="5" t="s">
        <v>6983</v>
      </c>
      <c r="I2299" s="5" t="s">
        <v>212</v>
      </c>
      <c r="N2299" s="5" t="s">
        <v>6984</v>
      </c>
      <c r="O2299" s="5">
        <v>660.95</v>
      </c>
      <c r="P2299" s="5">
        <v>663</v>
      </c>
      <c r="Q2299" s="5">
        <v>647.20000000000005</v>
      </c>
      <c r="R2299" s="5">
        <v>651.25</v>
      </c>
      <c r="S2299" s="5">
        <v>650</v>
      </c>
      <c r="T2299" s="5">
        <v>655.1</v>
      </c>
      <c r="V2299" s="5">
        <v>651.24</v>
      </c>
      <c r="Y2299" s="5">
        <v>109474</v>
      </c>
      <c r="Z2299" s="5">
        <v>71449805.849999994</v>
      </c>
      <c r="AA2299" s="5">
        <v>6357</v>
      </c>
      <c r="AB2299" s="5" t="s">
        <v>85</v>
      </c>
      <c r="AC2299" s="5">
        <v>1</v>
      </c>
    </row>
    <row r="2300" spans="1:29" x14ac:dyDescent="0.3">
      <c r="A2300" s="34">
        <v>46274</v>
      </c>
      <c r="B2300" s="34">
        <v>46274</v>
      </c>
      <c r="C2300" s="5" t="s">
        <v>78</v>
      </c>
      <c r="D2300" s="5" t="s">
        <v>79</v>
      </c>
      <c r="E2300" s="5" t="s">
        <v>80</v>
      </c>
      <c r="F2300" s="5">
        <v>3247</v>
      </c>
      <c r="G2300" s="5" t="s">
        <v>6985</v>
      </c>
      <c r="H2300" s="5" t="s">
        <v>6986</v>
      </c>
      <c r="I2300" s="5" t="s">
        <v>212</v>
      </c>
      <c r="N2300" s="5" t="s">
        <v>6987</v>
      </c>
      <c r="O2300" s="5">
        <v>232</v>
      </c>
      <c r="P2300" s="5">
        <v>232</v>
      </c>
      <c r="Q2300" s="5">
        <v>225</v>
      </c>
      <c r="R2300" s="5">
        <v>229.46</v>
      </c>
      <c r="S2300" s="5">
        <v>230</v>
      </c>
      <c r="T2300" s="5">
        <v>230.92</v>
      </c>
      <c r="V2300" s="5">
        <v>229.46</v>
      </c>
      <c r="Y2300" s="5">
        <v>3604</v>
      </c>
      <c r="Z2300" s="5">
        <v>821888.45</v>
      </c>
      <c r="AA2300" s="5">
        <v>82</v>
      </c>
      <c r="AB2300" s="5" t="s">
        <v>85</v>
      </c>
      <c r="AC2300" s="5">
        <v>1</v>
      </c>
    </row>
    <row r="2301" spans="1:29" x14ac:dyDescent="0.3">
      <c r="A2301" s="34">
        <v>46274</v>
      </c>
      <c r="B2301" s="34">
        <v>46274</v>
      </c>
      <c r="C2301" s="5" t="s">
        <v>78</v>
      </c>
      <c r="D2301" s="5" t="s">
        <v>79</v>
      </c>
      <c r="E2301" s="5" t="s">
        <v>80</v>
      </c>
      <c r="F2301" s="5">
        <v>762824</v>
      </c>
      <c r="G2301" s="5" t="s">
        <v>6988</v>
      </c>
      <c r="H2301" s="5" t="s">
        <v>6989</v>
      </c>
      <c r="I2301" s="5" t="s">
        <v>212</v>
      </c>
      <c r="N2301" s="5" t="s">
        <v>6990</v>
      </c>
      <c r="O2301" s="5">
        <v>1672</v>
      </c>
      <c r="P2301" s="5">
        <v>1689.2</v>
      </c>
      <c r="Q2301" s="5">
        <v>1650.4</v>
      </c>
      <c r="R2301" s="5">
        <v>1667</v>
      </c>
      <c r="S2301" s="5">
        <v>1661.4</v>
      </c>
      <c r="T2301" s="5">
        <v>1670.5</v>
      </c>
      <c r="V2301" s="5">
        <v>1666.72</v>
      </c>
      <c r="Y2301" s="5">
        <v>2041</v>
      </c>
      <c r="Z2301" s="5">
        <v>3397021.3</v>
      </c>
      <c r="AA2301" s="5">
        <v>426</v>
      </c>
      <c r="AB2301" s="5" t="s">
        <v>85</v>
      </c>
      <c r="AC2301" s="5">
        <v>1</v>
      </c>
    </row>
    <row r="2302" spans="1:29" x14ac:dyDescent="0.3">
      <c r="A2302" s="34">
        <v>46274</v>
      </c>
      <c r="B2302" s="34">
        <v>46274</v>
      </c>
      <c r="C2302" s="5" t="s">
        <v>78</v>
      </c>
      <c r="D2302" s="5" t="s">
        <v>79</v>
      </c>
      <c r="E2302" s="5" t="s">
        <v>80</v>
      </c>
      <c r="F2302" s="5">
        <v>27097</v>
      </c>
      <c r="G2302" s="5" t="s">
        <v>6991</v>
      </c>
      <c r="H2302" s="5" t="s">
        <v>6992</v>
      </c>
      <c r="I2302" s="5" t="s">
        <v>212</v>
      </c>
      <c r="N2302" s="5" t="s">
        <v>6993</v>
      </c>
      <c r="O2302" s="5">
        <v>80.48</v>
      </c>
      <c r="P2302" s="5">
        <v>80.84</v>
      </c>
      <c r="Q2302" s="5">
        <v>79.2</v>
      </c>
      <c r="R2302" s="5">
        <v>79.59</v>
      </c>
      <c r="S2302" s="5">
        <v>79.599999999999994</v>
      </c>
      <c r="T2302" s="5">
        <v>80.55</v>
      </c>
      <c r="V2302" s="5">
        <v>79.59</v>
      </c>
      <c r="Y2302" s="5">
        <v>371286</v>
      </c>
      <c r="Z2302" s="5">
        <v>29649114</v>
      </c>
      <c r="AA2302" s="5">
        <v>21494</v>
      </c>
      <c r="AB2302" s="5" t="s">
        <v>85</v>
      </c>
      <c r="AC2302" s="5">
        <v>1</v>
      </c>
    </row>
    <row r="2303" spans="1:29" x14ac:dyDescent="0.3">
      <c r="A2303" s="34">
        <v>46274</v>
      </c>
      <c r="B2303" s="34">
        <v>46274</v>
      </c>
      <c r="C2303" s="5" t="s">
        <v>78</v>
      </c>
      <c r="D2303" s="5" t="s">
        <v>79</v>
      </c>
      <c r="E2303" s="5" t="s">
        <v>80</v>
      </c>
      <c r="F2303" s="5">
        <v>2439</v>
      </c>
      <c r="G2303" s="5" t="s">
        <v>6994</v>
      </c>
      <c r="H2303" s="5" t="s">
        <v>6995</v>
      </c>
      <c r="I2303" s="5" t="s">
        <v>212</v>
      </c>
      <c r="N2303" s="5" t="s">
        <v>6996</v>
      </c>
      <c r="O2303" s="5">
        <v>60.01</v>
      </c>
      <c r="P2303" s="5">
        <v>60.1</v>
      </c>
      <c r="Q2303" s="5">
        <v>58</v>
      </c>
      <c r="R2303" s="5">
        <v>58.07</v>
      </c>
      <c r="S2303" s="5">
        <v>58</v>
      </c>
      <c r="T2303" s="5">
        <v>61.05</v>
      </c>
      <c r="V2303" s="5">
        <v>58.12</v>
      </c>
      <c r="Y2303" s="5">
        <v>341</v>
      </c>
      <c r="Z2303" s="5">
        <v>19923.5</v>
      </c>
      <c r="AA2303" s="5">
        <v>28</v>
      </c>
      <c r="AB2303" s="5" t="s">
        <v>85</v>
      </c>
      <c r="AC2303" s="5">
        <v>1</v>
      </c>
    </row>
    <row r="2304" spans="1:29" x14ac:dyDescent="0.3">
      <c r="A2304" s="34">
        <v>46274</v>
      </c>
      <c r="B2304" s="34">
        <v>46274</v>
      </c>
      <c r="C2304" s="5" t="s">
        <v>78</v>
      </c>
      <c r="D2304" s="5" t="s">
        <v>79</v>
      </c>
      <c r="E2304" s="5" t="s">
        <v>80</v>
      </c>
      <c r="F2304" s="5">
        <v>8585</v>
      </c>
      <c r="G2304" s="5" t="s">
        <v>6997</v>
      </c>
      <c r="H2304" s="5" t="s">
        <v>6998</v>
      </c>
      <c r="I2304" s="5" t="s">
        <v>212</v>
      </c>
      <c r="N2304" s="5" t="s">
        <v>6999</v>
      </c>
      <c r="O2304" s="5">
        <v>275</v>
      </c>
      <c r="P2304" s="5">
        <v>282.3</v>
      </c>
      <c r="Q2304" s="5">
        <v>270.75</v>
      </c>
      <c r="R2304" s="5">
        <v>271.55</v>
      </c>
      <c r="S2304" s="5">
        <v>271.60000000000002</v>
      </c>
      <c r="T2304" s="5">
        <v>272.25</v>
      </c>
      <c r="V2304" s="5">
        <v>271.55</v>
      </c>
      <c r="Y2304" s="5">
        <v>4901961</v>
      </c>
      <c r="Z2304" s="5">
        <v>1350322280.05</v>
      </c>
      <c r="AA2304" s="5">
        <v>67851</v>
      </c>
      <c r="AB2304" s="5" t="s">
        <v>85</v>
      </c>
      <c r="AC2304" s="5">
        <v>1</v>
      </c>
    </row>
    <row r="2305" spans="1:29" x14ac:dyDescent="0.3">
      <c r="A2305" s="34">
        <v>46274</v>
      </c>
      <c r="B2305" s="34">
        <v>46274</v>
      </c>
      <c r="C2305" s="5" t="s">
        <v>78</v>
      </c>
      <c r="D2305" s="5" t="s">
        <v>79</v>
      </c>
      <c r="E2305" s="5" t="s">
        <v>80</v>
      </c>
      <c r="F2305" s="5">
        <v>15332</v>
      </c>
      <c r="G2305" s="5" t="s">
        <v>7000</v>
      </c>
      <c r="H2305" s="5" t="s">
        <v>7001</v>
      </c>
      <c r="I2305" s="5" t="s">
        <v>212</v>
      </c>
      <c r="N2305" s="5" t="s">
        <v>7002</v>
      </c>
      <c r="O2305" s="5">
        <v>84.7</v>
      </c>
      <c r="P2305" s="5">
        <v>85.89</v>
      </c>
      <c r="Q2305" s="5">
        <v>84.53</v>
      </c>
      <c r="R2305" s="5">
        <v>85.8</v>
      </c>
      <c r="S2305" s="5">
        <v>85.8</v>
      </c>
      <c r="T2305" s="5">
        <v>84.71</v>
      </c>
      <c r="V2305" s="5">
        <v>85.79</v>
      </c>
      <c r="Y2305" s="5">
        <v>14151248</v>
      </c>
      <c r="Z2305" s="5">
        <v>1207346119.3299999</v>
      </c>
      <c r="AA2305" s="5">
        <v>34914</v>
      </c>
      <c r="AB2305" s="5" t="s">
        <v>85</v>
      </c>
      <c r="AC2305" s="5">
        <v>1</v>
      </c>
    </row>
    <row r="2306" spans="1:29" x14ac:dyDescent="0.3">
      <c r="A2306" s="34">
        <v>46274</v>
      </c>
      <c r="B2306" s="34">
        <v>46274</v>
      </c>
      <c r="C2306" s="5" t="s">
        <v>78</v>
      </c>
      <c r="D2306" s="5" t="s">
        <v>79</v>
      </c>
      <c r="E2306" s="5" t="s">
        <v>80</v>
      </c>
      <c r="F2306" s="5">
        <v>14180</v>
      </c>
      <c r="G2306" s="5" t="s">
        <v>7003</v>
      </c>
      <c r="H2306" s="5" t="s">
        <v>7004</v>
      </c>
      <c r="I2306" s="5" t="s">
        <v>212</v>
      </c>
      <c r="N2306" s="5" t="s">
        <v>7005</v>
      </c>
      <c r="O2306" s="5">
        <v>45.2</v>
      </c>
      <c r="P2306" s="5">
        <v>45.65</v>
      </c>
      <c r="Q2306" s="5">
        <v>44.82</v>
      </c>
      <c r="R2306" s="5">
        <v>45.04</v>
      </c>
      <c r="S2306" s="5">
        <v>45.02</v>
      </c>
      <c r="T2306" s="5">
        <v>45.02</v>
      </c>
      <c r="V2306" s="5">
        <v>45.04</v>
      </c>
      <c r="Y2306" s="5">
        <v>5018996</v>
      </c>
      <c r="Z2306" s="5">
        <v>226957289.21000001</v>
      </c>
      <c r="AA2306" s="5">
        <v>18432</v>
      </c>
      <c r="AB2306" s="5" t="s">
        <v>85</v>
      </c>
      <c r="AC2306" s="5">
        <v>1</v>
      </c>
    </row>
    <row r="2307" spans="1:29" x14ac:dyDescent="0.3">
      <c r="A2307" s="34">
        <v>46274</v>
      </c>
      <c r="B2307" s="34">
        <v>46274</v>
      </c>
      <c r="C2307" s="5" t="s">
        <v>78</v>
      </c>
      <c r="D2307" s="5" t="s">
        <v>79</v>
      </c>
      <c r="E2307" s="5" t="s">
        <v>80</v>
      </c>
      <c r="F2307" s="5">
        <v>2442</v>
      </c>
      <c r="G2307" s="5" t="s">
        <v>7006</v>
      </c>
      <c r="H2307" s="5" t="s">
        <v>7007</v>
      </c>
      <c r="I2307" s="5" t="s">
        <v>212</v>
      </c>
      <c r="N2307" s="5" t="s">
        <v>7008</v>
      </c>
      <c r="O2307" s="5">
        <v>184</v>
      </c>
      <c r="P2307" s="5">
        <v>189.5</v>
      </c>
      <c r="Q2307" s="5">
        <v>181</v>
      </c>
      <c r="R2307" s="5">
        <v>188.28</v>
      </c>
      <c r="S2307" s="5">
        <v>188.41</v>
      </c>
      <c r="T2307" s="5">
        <v>185.07</v>
      </c>
      <c r="V2307" s="5">
        <v>188.29</v>
      </c>
      <c r="Y2307" s="5">
        <v>2843821</v>
      </c>
      <c r="Z2307" s="5">
        <v>530704478.87</v>
      </c>
      <c r="AA2307" s="5">
        <v>27912</v>
      </c>
      <c r="AB2307" s="5" t="s">
        <v>85</v>
      </c>
      <c r="AC2307" s="5">
        <v>1</v>
      </c>
    </row>
    <row r="2308" spans="1:29" x14ac:dyDescent="0.3">
      <c r="A2308" s="34">
        <v>46274</v>
      </c>
      <c r="B2308" s="34">
        <v>46274</v>
      </c>
      <c r="C2308" s="5" t="s">
        <v>78</v>
      </c>
      <c r="D2308" s="5" t="s">
        <v>79</v>
      </c>
      <c r="E2308" s="5" t="s">
        <v>80</v>
      </c>
      <c r="F2308" s="5">
        <v>10786</v>
      </c>
      <c r="G2308" s="5" t="s">
        <v>7009</v>
      </c>
      <c r="H2308" s="5" t="s">
        <v>7010</v>
      </c>
      <c r="I2308" s="5" t="s">
        <v>212</v>
      </c>
      <c r="N2308" s="5" t="s">
        <v>7011</v>
      </c>
      <c r="O2308" s="5">
        <v>4.05</v>
      </c>
      <c r="P2308" s="5">
        <v>4.05</v>
      </c>
      <c r="Q2308" s="5">
        <v>3.96</v>
      </c>
      <c r="R2308" s="5">
        <v>4.0199999999999996</v>
      </c>
      <c r="S2308" s="5">
        <v>4.03</v>
      </c>
      <c r="T2308" s="5">
        <v>3.99</v>
      </c>
      <c r="V2308" s="5">
        <v>4.01</v>
      </c>
      <c r="Y2308" s="5">
        <v>76812</v>
      </c>
      <c r="Z2308" s="5">
        <v>308791.76</v>
      </c>
      <c r="AA2308" s="5">
        <v>252</v>
      </c>
      <c r="AB2308" s="5" t="s">
        <v>85</v>
      </c>
      <c r="AC2308" s="5">
        <v>1</v>
      </c>
    </row>
    <row r="2309" spans="1:29" x14ac:dyDescent="0.3">
      <c r="A2309" s="34">
        <v>46274</v>
      </c>
      <c r="B2309" s="34">
        <v>46274</v>
      </c>
      <c r="C2309" s="5" t="s">
        <v>78</v>
      </c>
      <c r="D2309" s="5" t="s">
        <v>79</v>
      </c>
      <c r="E2309" s="5" t="s">
        <v>80</v>
      </c>
      <c r="F2309" s="5">
        <v>4160</v>
      </c>
      <c r="G2309" s="5" t="s">
        <v>7012</v>
      </c>
      <c r="H2309" s="5" t="s">
        <v>7013</v>
      </c>
      <c r="I2309" s="5" t="s">
        <v>212</v>
      </c>
      <c r="N2309" s="5" t="s">
        <v>7014</v>
      </c>
      <c r="O2309" s="5">
        <v>67.05</v>
      </c>
      <c r="P2309" s="5">
        <v>68.900000000000006</v>
      </c>
      <c r="Q2309" s="5">
        <v>66.27</v>
      </c>
      <c r="R2309" s="5">
        <v>67.2</v>
      </c>
      <c r="S2309" s="5">
        <v>67.2</v>
      </c>
      <c r="T2309" s="5">
        <v>69.75</v>
      </c>
      <c r="V2309" s="5">
        <v>67.2</v>
      </c>
      <c r="Y2309" s="5">
        <v>2111</v>
      </c>
      <c r="Z2309" s="5">
        <v>141170.32</v>
      </c>
      <c r="AA2309" s="5">
        <v>46</v>
      </c>
      <c r="AB2309" s="5" t="s">
        <v>85</v>
      </c>
      <c r="AC2309" s="5">
        <v>1</v>
      </c>
    </row>
    <row r="2310" spans="1:29" x14ac:dyDescent="0.3">
      <c r="A2310" s="34">
        <v>46274</v>
      </c>
      <c r="B2310" s="34">
        <v>46274</v>
      </c>
      <c r="C2310" s="5" t="s">
        <v>78</v>
      </c>
      <c r="D2310" s="5" t="s">
        <v>79</v>
      </c>
      <c r="E2310" s="5" t="s">
        <v>80</v>
      </c>
      <c r="F2310" s="5">
        <v>13533</v>
      </c>
      <c r="G2310" s="5" t="s">
        <v>7015</v>
      </c>
      <c r="H2310" s="5" t="s">
        <v>7016</v>
      </c>
      <c r="I2310" s="5" t="s">
        <v>234</v>
      </c>
      <c r="N2310" s="5" t="s">
        <v>7017</v>
      </c>
      <c r="O2310" s="5">
        <v>19.25</v>
      </c>
      <c r="P2310" s="5">
        <v>19.8</v>
      </c>
      <c r="Q2310" s="5">
        <v>19.25</v>
      </c>
      <c r="R2310" s="5">
        <v>19.59</v>
      </c>
      <c r="S2310" s="5">
        <v>19.399999999999999</v>
      </c>
      <c r="T2310" s="5">
        <v>19.649999999999999</v>
      </c>
      <c r="V2310" s="5">
        <v>19.59</v>
      </c>
      <c r="Y2310" s="5">
        <v>156794</v>
      </c>
      <c r="Z2310" s="5">
        <v>3064237.73</v>
      </c>
      <c r="AA2310" s="5">
        <v>201</v>
      </c>
      <c r="AB2310" s="5" t="s">
        <v>85</v>
      </c>
      <c r="AC2310" s="5">
        <v>1</v>
      </c>
    </row>
    <row r="2311" spans="1:29" x14ac:dyDescent="0.3">
      <c r="A2311" s="34">
        <v>46274</v>
      </c>
      <c r="B2311" s="34">
        <v>46274</v>
      </c>
      <c r="C2311" s="5" t="s">
        <v>78</v>
      </c>
      <c r="D2311" s="5" t="s">
        <v>79</v>
      </c>
      <c r="E2311" s="5" t="s">
        <v>80</v>
      </c>
      <c r="F2311" s="5">
        <v>25426</v>
      </c>
      <c r="G2311" s="5" t="s">
        <v>7018</v>
      </c>
      <c r="H2311" s="5" t="s">
        <v>7019</v>
      </c>
      <c r="I2311" s="5" t="s">
        <v>212</v>
      </c>
      <c r="N2311" s="5" t="s">
        <v>7020</v>
      </c>
      <c r="O2311" s="5">
        <v>312</v>
      </c>
      <c r="P2311" s="5">
        <v>312</v>
      </c>
      <c r="Q2311" s="5">
        <v>303.55</v>
      </c>
      <c r="R2311" s="5">
        <v>308.35000000000002</v>
      </c>
      <c r="S2311" s="5">
        <v>308.05</v>
      </c>
      <c r="T2311" s="5">
        <v>310.85000000000002</v>
      </c>
      <c r="V2311" s="5">
        <v>308.35000000000002</v>
      </c>
      <c r="Y2311" s="5">
        <v>1054140</v>
      </c>
      <c r="Z2311" s="5">
        <v>323512635.94999999</v>
      </c>
      <c r="AA2311" s="5">
        <v>18432</v>
      </c>
      <c r="AB2311" s="5" t="s">
        <v>85</v>
      </c>
      <c r="AC2311" s="5">
        <v>1</v>
      </c>
    </row>
    <row r="2312" spans="1:29" x14ac:dyDescent="0.3">
      <c r="A2312" s="34">
        <v>46274</v>
      </c>
      <c r="B2312" s="34">
        <v>46274</v>
      </c>
      <c r="C2312" s="5" t="s">
        <v>78</v>
      </c>
      <c r="D2312" s="5" t="s">
        <v>79</v>
      </c>
      <c r="E2312" s="5" t="s">
        <v>80</v>
      </c>
      <c r="F2312" s="5">
        <v>22478</v>
      </c>
      <c r="G2312" s="5" t="s">
        <v>7021</v>
      </c>
      <c r="H2312" s="5" t="s">
        <v>7022</v>
      </c>
      <c r="I2312" s="5" t="s">
        <v>234</v>
      </c>
      <c r="N2312" s="5" t="s">
        <v>7023</v>
      </c>
      <c r="O2312" s="5">
        <v>23.3</v>
      </c>
      <c r="P2312" s="5">
        <v>23.79</v>
      </c>
      <c r="Q2312" s="5">
        <v>23.01</v>
      </c>
      <c r="R2312" s="5">
        <v>23.12</v>
      </c>
      <c r="S2312" s="5">
        <v>23.34</v>
      </c>
      <c r="T2312" s="5">
        <v>23.15</v>
      </c>
      <c r="V2312" s="5">
        <v>23.12</v>
      </c>
      <c r="Y2312" s="5">
        <v>32545</v>
      </c>
      <c r="Z2312" s="5">
        <v>758132.34</v>
      </c>
      <c r="AA2312" s="5">
        <v>184</v>
      </c>
      <c r="AB2312" s="5" t="s">
        <v>85</v>
      </c>
      <c r="AC2312" s="5">
        <v>1</v>
      </c>
    </row>
    <row r="2313" spans="1:29" x14ac:dyDescent="0.3">
      <c r="A2313" s="34">
        <v>46274</v>
      </c>
      <c r="B2313" s="34">
        <v>46274</v>
      </c>
      <c r="C2313" s="5" t="s">
        <v>78</v>
      </c>
      <c r="D2313" s="5" t="s">
        <v>79</v>
      </c>
      <c r="E2313" s="5" t="s">
        <v>80</v>
      </c>
      <c r="F2313" s="5">
        <v>9007</v>
      </c>
      <c r="G2313" s="5" t="s">
        <v>7024</v>
      </c>
      <c r="H2313" s="5" t="s">
        <v>7025</v>
      </c>
      <c r="I2313" s="5" t="s">
        <v>212</v>
      </c>
      <c r="N2313" s="5" t="s">
        <v>7026</v>
      </c>
      <c r="O2313" s="5">
        <v>1873.7</v>
      </c>
      <c r="P2313" s="5">
        <v>2186.4</v>
      </c>
      <c r="Q2313" s="5">
        <v>1851</v>
      </c>
      <c r="R2313" s="5">
        <v>2186.4</v>
      </c>
      <c r="S2313" s="5">
        <v>2186.4</v>
      </c>
      <c r="T2313" s="5">
        <v>1822</v>
      </c>
      <c r="V2313" s="5">
        <v>2186.9299999999998</v>
      </c>
      <c r="Y2313" s="5">
        <v>785816</v>
      </c>
      <c r="Z2313" s="5">
        <v>1634724253</v>
      </c>
      <c r="AA2313" s="5">
        <v>55717</v>
      </c>
      <c r="AB2313" s="5" t="s">
        <v>85</v>
      </c>
      <c r="AC2313" s="5">
        <v>1</v>
      </c>
    </row>
    <row r="2314" spans="1:29" x14ac:dyDescent="0.3">
      <c r="A2314" s="34">
        <v>46274</v>
      </c>
      <c r="B2314" s="34">
        <v>46274</v>
      </c>
      <c r="C2314" s="5" t="s">
        <v>78</v>
      </c>
      <c r="D2314" s="5" t="s">
        <v>79</v>
      </c>
      <c r="E2314" s="5" t="s">
        <v>80</v>
      </c>
      <c r="F2314" s="5">
        <v>7553</v>
      </c>
      <c r="G2314" s="5" t="s">
        <v>7027</v>
      </c>
      <c r="H2314" s="5" t="s">
        <v>7028</v>
      </c>
      <c r="I2314" s="5" t="s">
        <v>212</v>
      </c>
      <c r="N2314" s="5" t="s">
        <v>7029</v>
      </c>
      <c r="O2314" s="5">
        <v>490</v>
      </c>
      <c r="P2314" s="5">
        <v>495</v>
      </c>
      <c r="Q2314" s="5">
        <v>478.55</v>
      </c>
      <c r="R2314" s="5">
        <v>484.55</v>
      </c>
      <c r="S2314" s="5">
        <v>488</v>
      </c>
      <c r="T2314" s="5">
        <v>489.6</v>
      </c>
      <c r="V2314" s="5">
        <v>484.52</v>
      </c>
      <c r="Y2314" s="5">
        <v>309450</v>
      </c>
      <c r="Z2314" s="5">
        <v>150791988.15000001</v>
      </c>
      <c r="AA2314" s="5">
        <v>9856</v>
      </c>
      <c r="AB2314" s="5" t="s">
        <v>85</v>
      </c>
      <c r="AC2314" s="5">
        <v>1</v>
      </c>
    </row>
    <row r="2315" spans="1:29" x14ac:dyDescent="0.3">
      <c r="A2315" s="34">
        <v>46274</v>
      </c>
      <c r="B2315" s="34">
        <v>46274</v>
      </c>
      <c r="C2315" s="5" t="s">
        <v>78</v>
      </c>
      <c r="D2315" s="5" t="s">
        <v>79</v>
      </c>
      <c r="E2315" s="5" t="s">
        <v>80</v>
      </c>
      <c r="F2315" s="5">
        <v>29733</v>
      </c>
      <c r="G2315" s="5" t="s">
        <v>7030</v>
      </c>
      <c r="H2315" s="5" t="s">
        <v>7031</v>
      </c>
      <c r="I2315" s="5" t="s">
        <v>212</v>
      </c>
      <c r="N2315" s="5" t="s">
        <v>7032</v>
      </c>
      <c r="O2315" s="5">
        <v>30.37</v>
      </c>
      <c r="P2315" s="5">
        <v>31.47</v>
      </c>
      <c r="Q2315" s="5">
        <v>30.01</v>
      </c>
      <c r="R2315" s="5">
        <v>30.6</v>
      </c>
      <c r="S2315" s="5">
        <v>30.6</v>
      </c>
      <c r="T2315" s="5">
        <v>30.36</v>
      </c>
      <c r="V2315" s="5">
        <v>30.6</v>
      </c>
      <c r="Y2315" s="5">
        <v>18028</v>
      </c>
      <c r="Z2315" s="5">
        <v>553142.14</v>
      </c>
      <c r="AA2315" s="5">
        <v>146</v>
      </c>
      <c r="AB2315" s="5" t="s">
        <v>85</v>
      </c>
      <c r="AC2315" s="5">
        <v>1</v>
      </c>
    </row>
    <row r="2316" spans="1:29" x14ac:dyDescent="0.3">
      <c r="A2316" s="34">
        <v>46274</v>
      </c>
      <c r="B2316" s="34">
        <v>46274</v>
      </c>
      <c r="C2316" s="5" t="s">
        <v>78</v>
      </c>
      <c r="D2316" s="5" t="s">
        <v>79</v>
      </c>
      <c r="E2316" s="5" t="s">
        <v>80</v>
      </c>
      <c r="F2316" s="5">
        <v>27176</v>
      </c>
      <c r="G2316" s="5" t="s">
        <v>7033</v>
      </c>
      <c r="H2316" s="5" t="s">
        <v>7034</v>
      </c>
      <c r="I2316" s="5" t="s">
        <v>212</v>
      </c>
      <c r="N2316" s="5" t="s">
        <v>7035</v>
      </c>
      <c r="O2316" s="5">
        <v>87.98</v>
      </c>
      <c r="P2316" s="5">
        <v>89.25</v>
      </c>
      <c r="Q2316" s="5">
        <v>87.95</v>
      </c>
      <c r="R2316" s="5">
        <v>88.03</v>
      </c>
      <c r="S2316" s="5">
        <v>88.04</v>
      </c>
      <c r="T2316" s="5">
        <v>88.44</v>
      </c>
      <c r="V2316" s="5">
        <v>88.03</v>
      </c>
      <c r="Y2316" s="5">
        <v>2698297</v>
      </c>
      <c r="Z2316" s="5">
        <v>238797195.72</v>
      </c>
      <c r="AA2316" s="5">
        <v>18146</v>
      </c>
      <c r="AB2316" s="5" t="s">
        <v>85</v>
      </c>
      <c r="AC2316" s="5">
        <v>1</v>
      </c>
    </row>
    <row r="2317" spans="1:29" x14ac:dyDescent="0.3">
      <c r="A2317" s="34">
        <v>46274</v>
      </c>
      <c r="B2317" s="34">
        <v>46274</v>
      </c>
      <c r="C2317" s="5" t="s">
        <v>78</v>
      </c>
      <c r="D2317" s="5" t="s">
        <v>79</v>
      </c>
      <c r="E2317" s="5" t="s">
        <v>80</v>
      </c>
      <c r="F2317" s="5">
        <v>11630</v>
      </c>
      <c r="G2317" s="5" t="s">
        <v>7036</v>
      </c>
      <c r="H2317" s="5" t="s">
        <v>7037</v>
      </c>
      <c r="I2317" s="5" t="s">
        <v>212</v>
      </c>
      <c r="N2317" s="5" t="s">
        <v>7038</v>
      </c>
      <c r="O2317" s="5">
        <v>331.1</v>
      </c>
      <c r="P2317" s="5">
        <v>337.5</v>
      </c>
      <c r="Q2317" s="5">
        <v>330.9</v>
      </c>
      <c r="R2317" s="5">
        <v>334.5</v>
      </c>
      <c r="S2317" s="5">
        <v>334.5</v>
      </c>
      <c r="T2317" s="5">
        <v>330.8</v>
      </c>
      <c r="V2317" s="5">
        <v>334.49</v>
      </c>
      <c r="Y2317" s="5">
        <v>11795145</v>
      </c>
      <c r="Z2317" s="5">
        <v>3950450841.3499999</v>
      </c>
      <c r="AA2317" s="5">
        <v>119713</v>
      </c>
      <c r="AB2317" s="5" t="s">
        <v>85</v>
      </c>
      <c r="AC2317" s="5">
        <v>1</v>
      </c>
    </row>
    <row r="2318" spans="1:29" x14ac:dyDescent="0.3">
      <c r="A2318" s="34">
        <v>46274</v>
      </c>
      <c r="B2318" s="34">
        <v>46274</v>
      </c>
      <c r="C2318" s="5" t="s">
        <v>78</v>
      </c>
      <c r="D2318" s="5" t="s">
        <v>79</v>
      </c>
      <c r="E2318" s="5" t="s">
        <v>80</v>
      </c>
      <c r="F2318" s="5">
        <v>10791</v>
      </c>
      <c r="G2318" s="5" t="s">
        <v>7039</v>
      </c>
      <c r="H2318" s="5" t="s">
        <v>7040</v>
      </c>
      <c r="I2318" s="5" t="s">
        <v>212</v>
      </c>
      <c r="N2318" s="5" t="s">
        <v>7041</v>
      </c>
      <c r="O2318" s="5">
        <v>713</v>
      </c>
      <c r="P2318" s="5">
        <v>717.15</v>
      </c>
      <c r="Q2318" s="5">
        <v>704.7</v>
      </c>
      <c r="R2318" s="5">
        <v>706.1</v>
      </c>
      <c r="S2318" s="5">
        <v>705.5</v>
      </c>
      <c r="T2318" s="5">
        <v>717.45</v>
      </c>
      <c r="V2318" s="5">
        <v>706.11</v>
      </c>
      <c r="Y2318" s="5">
        <v>9393</v>
      </c>
      <c r="Z2318" s="5">
        <v>6661446.4500000002</v>
      </c>
      <c r="AA2318" s="5">
        <v>845</v>
      </c>
      <c r="AB2318" s="5" t="s">
        <v>85</v>
      </c>
      <c r="AC2318" s="5">
        <v>1</v>
      </c>
    </row>
    <row r="2319" spans="1:29" x14ac:dyDescent="0.3">
      <c r="A2319" s="34">
        <v>46274</v>
      </c>
      <c r="B2319" s="34">
        <v>46274</v>
      </c>
      <c r="C2319" s="5" t="s">
        <v>78</v>
      </c>
      <c r="D2319" s="5" t="s">
        <v>79</v>
      </c>
      <c r="E2319" s="5" t="s">
        <v>80</v>
      </c>
      <c r="F2319" s="5">
        <v>13680</v>
      </c>
      <c r="G2319" s="5" t="s">
        <v>7042</v>
      </c>
      <c r="H2319" s="5" t="s">
        <v>7043</v>
      </c>
      <c r="I2319" s="5" t="s">
        <v>234</v>
      </c>
      <c r="N2319" s="5" t="s">
        <v>7044</v>
      </c>
      <c r="O2319" s="5">
        <v>128</v>
      </c>
      <c r="P2319" s="5">
        <v>133</v>
      </c>
      <c r="Q2319" s="5">
        <v>128</v>
      </c>
      <c r="R2319" s="5">
        <v>129.5</v>
      </c>
      <c r="S2319" s="5">
        <v>130.76</v>
      </c>
      <c r="T2319" s="5">
        <v>130.46</v>
      </c>
      <c r="V2319" s="5">
        <v>129.5</v>
      </c>
      <c r="Y2319" s="5">
        <v>45722</v>
      </c>
      <c r="Z2319" s="5">
        <v>5988032.0599999996</v>
      </c>
      <c r="AA2319" s="5">
        <v>377</v>
      </c>
      <c r="AB2319" s="5" t="s">
        <v>85</v>
      </c>
      <c r="AC2319" s="5">
        <v>1</v>
      </c>
    </row>
    <row r="2320" spans="1:29" x14ac:dyDescent="0.3">
      <c r="A2320" s="34">
        <v>46274</v>
      </c>
      <c r="B2320" s="34">
        <v>46274</v>
      </c>
      <c r="C2320" s="5" t="s">
        <v>78</v>
      </c>
      <c r="D2320" s="5" t="s">
        <v>79</v>
      </c>
      <c r="E2320" s="5" t="s">
        <v>80</v>
      </c>
      <c r="F2320" s="5">
        <v>2353</v>
      </c>
      <c r="G2320" s="5" t="s">
        <v>7045</v>
      </c>
      <c r="H2320" s="5" t="s">
        <v>7046</v>
      </c>
      <c r="I2320" s="5" t="s">
        <v>234</v>
      </c>
      <c r="N2320" s="5" t="s">
        <v>7047</v>
      </c>
      <c r="O2320" s="5">
        <v>316.55</v>
      </c>
      <c r="P2320" s="5">
        <v>334</v>
      </c>
      <c r="Q2320" s="5">
        <v>316.55</v>
      </c>
      <c r="R2320" s="5">
        <v>334</v>
      </c>
      <c r="S2320" s="5">
        <v>334</v>
      </c>
      <c r="T2320" s="5">
        <v>318.10000000000002</v>
      </c>
      <c r="V2320" s="5">
        <v>334</v>
      </c>
      <c r="Y2320" s="5">
        <v>12839</v>
      </c>
      <c r="Z2320" s="5">
        <v>4272738.5</v>
      </c>
      <c r="AA2320" s="5">
        <v>243</v>
      </c>
      <c r="AB2320" s="5" t="s">
        <v>85</v>
      </c>
      <c r="AC2320" s="5">
        <v>1</v>
      </c>
    </row>
    <row r="2321" spans="1:29" x14ac:dyDescent="0.3">
      <c r="A2321" s="34">
        <v>46274</v>
      </c>
      <c r="B2321" s="34">
        <v>46274</v>
      </c>
      <c r="C2321" s="5" t="s">
        <v>78</v>
      </c>
      <c r="D2321" s="5" t="s">
        <v>79</v>
      </c>
      <c r="E2321" s="5" t="s">
        <v>80</v>
      </c>
      <c r="F2321" s="5">
        <v>18721</v>
      </c>
      <c r="G2321" s="5" t="s">
        <v>7048</v>
      </c>
      <c r="H2321" s="5" t="s">
        <v>7049</v>
      </c>
      <c r="I2321" s="5" t="s">
        <v>212</v>
      </c>
      <c r="N2321" s="5" t="s">
        <v>7050</v>
      </c>
      <c r="O2321" s="5">
        <v>1829</v>
      </c>
      <c r="P2321" s="5">
        <v>1829</v>
      </c>
      <c r="Q2321" s="5">
        <v>1765.1</v>
      </c>
      <c r="R2321" s="5">
        <v>1781.3</v>
      </c>
      <c r="S2321" s="5">
        <v>1778</v>
      </c>
      <c r="T2321" s="5">
        <v>1836.4</v>
      </c>
      <c r="V2321" s="5">
        <v>1781.35</v>
      </c>
      <c r="Y2321" s="5">
        <v>271476</v>
      </c>
      <c r="Z2321" s="5">
        <v>487846138</v>
      </c>
      <c r="AA2321" s="5">
        <v>23936</v>
      </c>
      <c r="AB2321" s="5" t="s">
        <v>85</v>
      </c>
      <c r="AC2321" s="5">
        <v>1</v>
      </c>
    </row>
    <row r="2322" spans="1:29" x14ac:dyDescent="0.3">
      <c r="A2322" s="34">
        <v>46274</v>
      </c>
      <c r="B2322" s="34">
        <v>46274</v>
      </c>
      <c r="C2322" s="5" t="s">
        <v>78</v>
      </c>
      <c r="D2322" s="5" t="s">
        <v>79</v>
      </c>
      <c r="E2322" s="5" t="s">
        <v>80</v>
      </c>
      <c r="F2322" s="5">
        <v>5426</v>
      </c>
      <c r="G2322" s="5" t="s">
        <v>7051</v>
      </c>
      <c r="H2322" s="5" t="s">
        <v>7052</v>
      </c>
      <c r="I2322" s="5" t="s">
        <v>212</v>
      </c>
      <c r="N2322" s="5" t="s">
        <v>7053</v>
      </c>
      <c r="O2322" s="5">
        <v>340</v>
      </c>
      <c r="P2322" s="5">
        <v>343.1</v>
      </c>
      <c r="Q2322" s="5">
        <v>332.1</v>
      </c>
      <c r="R2322" s="5">
        <v>334.75</v>
      </c>
      <c r="S2322" s="5">
        <v>334.8</v>
      </c>
      <c r="T2322" s="5">
        <v>339.85</v>
      </c>
      <c r="V2322" s="5">
        <v>334.79</v>
      </c>
      <c r="Y2322" s="5">
        <v>302497</v>
      </c>
      <c r="Z2322" s="5">
        <v>101398314.15000001</v>
      </c>
      <c r="AA2322" s="5">
        <v>10291</v>
      </c>
      <c r="AB2322" s="5" t="s">
        <v>85</v>
      </c>
      <c r="AC2322" s="5">
        <v>1</v>
      </c>
    </row>
    <row r="2323" spans="1:29" x14ac:dyDescent="0.3">
      <c r="A2323" s="34">
        <v>46274</v>
      </c>
      <c r="B2323" s="34">
        <v>46274</v>
      </c>
      <c r="C2323" s="5" t="s">
        <v>78</v>
      </c>
      <c r="D2323" s="5" t="s">
        <v>79</v>
      </c>
      <c r="E2323" s="5" t="s">
        <v>80</v>
      </c>
      <c r="F2323" s="5">
        <v>24298</v>
      </c>
      <c r="G2323" s="5" t="s">
        <v>7054</v>
      </c>
      <c r="H2323" s="5" t="s">
        <v>7055</v>
      </c>
      <c r="I2323" s="5" t="s">
        <v>822</v>
      </c>
      <c r="N2323" s="5" t="s">
        <v>7056</v>
      </c>
      <c r="O2323" s="5">
        <v>97</v>
      </c>
      <c r="P2323" s="5">
        <v>97</v>
      </c>
      <c r="Q2323" s="5">
        <v>97</v>
      </c>
      <c r="R2323" s="5">
        <v>97</v>
      </c>
      <c r="S2323" s="5">
        <v>97</v>
      </c>
      <c r="T2323" s="5">
        <v>97</v>
      </c>
      <c r="V2323" s="5">
        <v>97</v>
      </c>
      <c r="Y2323" s="5">
        <v>500000</v>
      </c>
      <c r="Z2323" s="5">
        <v>48500000</v>
      </c>
      <c r="AA2323" s="5">
        <v>1</v>
      </c>
      <c r="AB2323" s="5" t="s">
        <v>85</v>
      </c>
      <c r="AC2323" s="5">
        <v>25000</v>
      </c>
    </row>
    <row r="2324" spans="1:29" x14ac:dyDescent="0.3">
      <c r="A2324" s="34">
        <v>46274</v>
      </c>
      <c r="B2324" s="34">
        <v>46274</v>
      </c>
      <c r="C2324" s="5" t="s">
        <v>78</v>
      </c>
      <c r="D2324" s="5" t="s">
        <v>79</v>
      </c>
      <c r="E2324" s="5" t="s">
        <v>80</v>
      </c>
      <c r="F2324" s="5">
        <v>8797</v>
      </c>
      <c r="G2324" s="5" t="s">
        <v>7057</v>
      </c>
      <c r="H2324" s="5" t="s">
        <v>7058</v>
      </c>
      <c r="I2324" s="5" t="s">
        <v>212</v>
      </c>
      <c r="N2324" s="5" t="s">
        <v>7059</v>
      </c>
      <c r="O2324" s="5">
        <v>54.51</v>
      </c>
      <c r="P2324" s="5">
        <v>55.99</v>
      </c>
      <c r="Q2324" s="5">
        <v>54.5</v>
      </c>
      <c r="R2324" s="5">
        <v>55.98</v>
      </c>
      <c r="S2324" s="5">
        <v>55.99</v>
      </c>
      <c r="T2324" s="5">
        <v>55.63</v>
      </c>
      <c r="V2324" s="5">
        <v>55.98</v>
      </c>
      <c r="Y2324" s="5">
        <v>1427</v>
      </c>
      <c r="Z2324" s="5">
        <v>78734.880000000005</v>
      </c>
      <c r="AA2324" s="5">
        <v>15</v>
      </c>
      <c r="AB2324" s="5" t="s">
        <v>85</v>
      </c>
      <c r="AC2324" s="5">
        <v>1</v>
      </c>
    </row>
    <row r="2325" spans="1:29" x14ac:dyDescent="0.3">
      <c r="A2325" s="34">
        <v>46274</v>
      </c>
      <c r="B2325" s="34">
        <v>46274</v>
      </c>
      <c r="C2325" s="5" t="s">
        <v>78</v>
      </c>
      <c r="D2325" s="5" t="s">
        <v>79</v>
      </c>
      <c r="E2325" s="5" t="s">
        <v>80</v>
      </c>
      <c r="F2325" s="5">
        <v>20242</v>
      </c>
      <c r="G2325" s="5" t="s">
        <v>7060</v>
      </c>
      <c r="H2325" s="5" t="s">
        <v>7061</v>
      </c>
      <c r="I2325" s="5" t="s">
        <v>212</v>
      </c>
      <c r="N2325" s="5" t="s">
        <v>7062</v>
      </c>
      <c r="O2325" s="5">
        <v>1821</v>
      </c>
      <c r="P2325" s="5">
        <v>1836.2</v>
      </c>
      <c r="Q2325" s="5">
        <v>1796.1</v>
      </c>
      <c r="R2325" s="5">
        <v>1800</v>
      </c>
      <c r="S2325" s="5">
        <v>1800</v>
      </c>
      <c r="T2325" s="5">
        <v>1833.8</v>
      </c>
      <c r="V2325" s="5">
        <v>1799.94</v>
      </c>
      <c r="Y2325" s="5">
        <v>222585</v>
      </c>
      <c r="Z2325" s="5">
        <v>403264516.89999998</v>
      </c>
      <c r="AA2325" s="5">
        <v>18407</v>
      </c>
      <c r="AB2325" s="5" t="s">
        <v>85</v>
      </c>
      <c r="AC2325" s="5">
        <v>1</v>
      </c>
    </row>
    <row r="2326" spans="1:29" x14ac:dyDescent="0.3">
      <c r="A2326" s="34">
        <v>46274</v>
      </c>
      <c r="B2326" s="34">
        <v>46274</v>
      </c>
      <c r="C2326" s="5" t="s">
        <v>78</v>
      </c>
      <c r="D2326" s="5" t="s">
        <v>79</v>
      </c>
      <c r="E2326" s="5" t="s">
        <v>80</v>
      </c>
      <c r="F2326" s="5">
        <v>25923</v>
      </c>
      <c r="G2326" s="5" t="s">
        <v>7063</v>
      </c>
      <c r="H2326" s="5" t="s">
        <v>7064</v>
      </c>
      <c r="I2326" s="5" t="s">
        <v>313</v>
      </c>
      <c r="N2326" s="5" t="s">
        <v>7065</v>
      </c>
      <c r="O2326" s="5">
        <v>879</v>
      </c>
      <c r="P2326" s="5">
        <v>998</v>
      </c>
      <c r="Q2326" s="5">
        <v>848.3</v>
      </c>
      <c r="R2326" s="5">
        <v>986.25</v>
      </c>
      <c r="S2326" s="5">
        <v>977</v>
      </c>
      <c r="T2326" s="5">
        <v>869.05</v>
      </c>
      <c r="V2326" s="5">
        <v>986.25</v>
      </c>
      <c r="Y2326" s="5">
        <v>214400</v>
      </c>
      <c r="Z2326" s="5">
        <v>200508640</v>
      </c>
      <c r="AA2326" s="5">
        <v>495</v>
      </c>
      <c r="AB2326" s="5" t="s">
        <v>85</v>
      </c>
      <c r="AC2326" s="5">
        <v>400</v>
      </c>
    </row>
    <row r="2327" spans="1:29" x14ac:dyDescent="0.3">
      <c r="A2327" s="34">
        <v>46274</v>
      </c>
      <c r="B2327" s="34">
        <v>46274</v>
      </c>
      <c r="C2327" s="5" t="s">
        <v>78</v>
      </c>
      <c r="D2327" s="5" t="s">
        <v>79</v>
      </c>
      <c r="E2327" s="5" t="s">
        <v>80</v>
      </c>
      <c r="F2327" s="5">
        <v>25920</v>
      </c>
      <c r="G2327" s="5" t="s">
        <v>7066</v>
      </c>
      <c r="H2327" s="5" t="s">
        <v>7067</v>
      </c>
      <c r="I2327" s="5" t="s">
        <v>234</v>
      </c>
      <c r="N2327" s="5" t="s">
        <v>7068</v>
      </c>
      <c r="O2327" s="5">
        <v>164.84</v>
      </c>
      <c r="P2327" s="5">
        <v>168.8</v>
      </c>
      <c r="Q2327" s="5">
        <v>163</v>
      </c>
      <c r="R2327" s="5">
        <v>164.68</v>
      </c>
      <c r="S2327" s="5">
        <v>166.75</v>
      </c>
      <c r="T2327" s="5">
        <v>164.84</v>
      </c>
      <c r="V2327" s="5">
        <v>164.71</v>
      </c>
      <c r="Y2327" s="5">
        <v>76133</v>
      </c>
      <c r="Z2327" s="5">
        <v>12682571.5</v>
      </c>
      <c r="AA2327" s="5">
        <v>514</v>
      </c>
      <c r="AB2327" s="5" t="s">
        <v>85</v>
      </c>
      <c r="AC2327" s="5">
        <v>1</v>
      </c>
    </row>
    <row r="2328" spans="1:29" x14ac:dyDescent="0.3">
      <c r="A2328" s="34">
        <v>46274</v>
      </c>
      <c r="B2328" s="34">
        <v>46274</v>
      </c>
      <c r="C2328" s="5" t="s">
        <v>78</v>
      </c>
      <c r="D2328" s="5" t="s">
        <v>79</v>
      </c>
      <c r="E2328" s="5" t="s">
        <v>80</v>
      </c>
      <c r="F2328" s="5">
        <v>27571</v>
      </c>
      <c r="G2328" s="5" t="s">
        <v>7069</v>
      </c>
      <c r="H2328" s="5" t="s">
        <v>7070</v>
      </c>
      <c r="I2328" s="5" t="s">
        <v>212</v>
      </c>
      <c r="N2328" s="5" t="s">
        <v>7071</v>
      </c>
      <c r="O2328" s="5">
        <v>21.99</v>
      </c>
      <c r="P2328" s="5">
        <v>22.9</v>
      </c>
      <c r="Q2328" s="5">
        <v>21.6</v>
      </c>
      <c r="R2328" s="5">
        <v>22.47</v>
      </c>
      <c r="S2328" s="5">
        <v>22.5</v>
      </c>
      <c r="T2328" s="5">
        <v>21.99</v>
      </c>
      <c r="V2328" s="5">
        <v>22.46</v>
      </c>
      <c r="Y2328" s="5">
        <v>26469</v>
      </c>
      <c r="Z2328" s="5">
        <v>586599.63</v>
      </c>
      <c r="AA2328" s="5">
        <v>385</v>
      </c>
      <c r="AB2328" s="5" t="s">
        <v>85</v>
      </c>
      <c r="AC2328" s="5">
        <v>1</v>
      </c>
    </row>
    <row r="2329" spans="1:29" x14ac:dyDescent="0.3">
      <c r="A2329" s="34">
        <v>46274</v>
      </c>
      <c r="B2329" s="34">
        <v>46274</v>
      </c>
      <c r="C2329" s="5" t="s">
        <v>78</v>
      </c>
      <c r="D2329" s="5" t="s">
        <v>79</v>
      </c>
      <c r="E2329" s="5" t="s">
        <v>80</v>
      </c>
      <c r="F2329" s="5">
        <v>764803</v>
      </c>
      <c r="G2329" s="5" t="s">
        <v>7072</v>
      </c>
      <c r="H2329" s="5" t="s">
        <v>7073</v>
      </c>
      <c r="I2329" s="5" t="s">
        <v>212</v>
      </c>
      <c r="N2329" s="5" t="s">
        <v>7074</v>
      </c>
      <c r="O2329" s="5">
        <v>6.66</v>
      </c>
      <c r="P2329" s="5">
        <v>7.45</v>
      </c>
      <c r="Q2329" s="5">
        <v>6.66</v>
      </c>
      <c r="R2329" s="5">
        <v>7.17</v>
      </c>
      <c r="S2329" s="5">
        <v>7.15</v>
      </c>
      <c r="T2329" s="5">
        <v>7.27</v>
      </c>
      <c r="V2329" s="5">
        <v>7.19</v>
      </c>
      <c r="Y2329" s="5">
        <v>51147</v>
      </c>
      <c r="Z2329" s="5">
        <v>367870.75</v>
      </c>
      <c r="AA2329" s="5">
        <v>102</v>
      </c>
      <c r="AB2329" s="5" t="s">
        <v>85</v>
      </c>
      <c r="AC2329" s="5">
        <v>1</v>
      </c>
    </row>
    <row r="2330" spans="1:29" x14ac:dyDescent="0.3">
      <c r="A2330" s="34">
        <v>46274</v>
      </c>
      <c r="B2330" s="34">
        <v>46274</v>
      </c>
      <c r="C2330" s="5" t="s">
        <v>78</v>
      </c>
      <c r="D2330" s="5" t="s">
        <v>79</v>
      </c>
      <c r="E2330" s="5" t="s">
        <v>80</v>
      </c>
      <c r="F2330" s="5">
        <v>2475</v>
      </c>
      <c r="G2330" s="5" t="s">
        <v>7075</v>
      </c>
      <c r="H2330" s="5" t="s">
        <v>7076</v>
      </c>
      <c r="I2330" s="5" t="s">
        <v>212</v>
      </c>
      <c r="N2330" s="5" t="s">
        <v>7077</v>
      </c>
      <c r="O2330" s="5">
        <v>237.8</v>
      </c>
      <c r="P2330" s="5">
        <v>239.27</v>
      </c>
      <c r="Q2330" s="5">
        <v>234.02</v>
      </c>
      <c r="R2330" s="5">
        <v>234.02</v>
      </c>
      <c r="S2330" s="5">
        <v>234.02</v>
      </c>
      <c r="T2330" s="5">
        <v>236</v>
      </c>
      <c r="V2330" s="5">
        <v>234.02</v>
      </c>
      <c r="Y2330" s="5">
        <v>12781171</v>
      </c>
      <c r="Z2330" s="5">
        <v>3023513446.3699999</v>
      </c>
      <c r="AA2330" s="5">
        <v>106571</v>
      </c>
      <c r="AB2330" s="5" t="s">
        <v>85</v>
      </c>
      <c r="AC2330" s="5">
        <v>1</v>
      </c>
    </row>
    <row r="2331" spans="1:29" x14ac:dyDescent="0.3">
      <c r="A2331" s="34">
        <v>46274</v>
      </c>
      <c r="B2331" s="34">
        <v>46274</v>
      </c>
      <c r="C2331" s="5" t="s">
        <v>78</v>
      </c>
      <c r="D2331" s="5" t="s">
        <v>79</v>
      </c>
      <c r="E2331" s="5" t="s">
        <v>80</v>
      </c>
      <c r="F2331" s="5">
        <v>8109</v>
      </c>
      <c r="G2331" s="5" t="s">
        <v>7078</v>
      </c>
      <c r="H2331" s="5" t="s">
        <v>7079</v>
      </c>
      <c r="I2331" s="5" t="s">
        <v>234</v>
      </c>
      <c r="N2331" s="5" t="s">
        <v>7080</v>
      </c>
      <c r="O2331" s="5">
        <v>63</v>
      </c>
      <c r="P2331" s="5">
        <v>63</v>
      </c>
      <c r="Q2331" s="5">
        <v>61.74</v>
      </c>
      <c r="R2331" s="5">
        <v>61.74</v>
      </c>
      <c r="S2331" s="5">
        <v>61.74</v>
      </c>
      <c r="T2331" s="5">
        <v>63</v>
      </c>
      <c r="V2331" s="5">
        <v>62.46</v>
      </c>
      <c r="Y2331" s="5">
        <v>8254</v>
      </c>
      <c r="Z2331" s="5">
        <v>512249.89</v>
      </c>
      <c r="AA2331" s="5">
        <v>55</v>
      </c>
      <c r="AB2331" s="5" t="s">
        <v>85</v>
      </c>
      <c r="AC2331" s="5">
        <v>1</v>
      </c>
    </row>
    <row r="2332" spans="1:29" x14ac:dyDescent="0.3">
      <c r="A2332" s="34">
        <v>46274</v>
      </c>
      <c r="B2332" s="34">
        <v>46274</v>
      </c>
      <c r="C2332" s="5" t="s">
        <v>78</v>
      </c>
      <c r="D2332" s="5" t="s">
        <v>79</v>
      </c>
      <c r="E2332" s="5" t="s">
        <v>80</v>
      </c>
      <c r="F2332" s="5">
        <v>17438</v>
      </c>
      <c r="G2332" s="5" t="s">
        <v>7081</v>
      </c>
      <c r="H2332" s="5" t="s">
        <v>7082</v>
      </c>
      <c r="I2332" s="5" t="s">
        <v>212</v>
      </c>
      <c r="N2332" s="5" t="s">
        <v>7083</v>
      </c>
      <c r="O2332" s="5">
        <v>498</v>
      </c>
      <c r="P2332" s="5">
        <v>504.9</v>
      </c>
      <c r="Q2332" s="5">
        <v>496</v>
      </c>
      <c r="R2332" s="5">
        <v>498.95</v>
      </c>
      <c r="S2332" s="5">
        <v>498.95</v>
      </c>
      <c r="T2332" s="5">
        <v>495.4</v>
      </c>
      <c r="V2332" s="5">
        <v>498.95</v>
      </c>
      <c r="Y2332" s="5">
        <v>2471923</v>
      </c>
      <c r="Z2332" s="5">
        <v>1236500234.8499999</v>
      </c>
      <c r="AA2332" s="5">
        <v>34705</v>
      </c>
      <c r="AB2332" s="5" t="s">
        <v>85</v>
      </c>
      <c r="AC2332" s="5">
        <v>1</v>
      </c>
    </row>
    <row r="2333" spans="1:29" x14ac:dyDescent="0.3">
      <c r="A2333" s="34">
        <v>46274</v>
      </c>
      <c r="B2333" s="34">
        <v>46274</v>
      </c>
      <c r="C2333" s="5" t="s">
        <v>78</v>
      </c>
      <c r="D2333" s="5" t="s">
        <v>79</v>
      </c>
      <c r="E2333" s="5" t="s">
        <v>80</v>
      </c>
      <c r="F2333" s="5">
        <v>24777</v>
      </c>
      <c r="G2333" s="5" t="s">
        <v>7084</v>
      </c>
      <c r="H2333" s="5" t="s">
        <v>7085</v>
      </c>
      <c r="I2333" s="5" t="s">
        <v>212</v>
      </c>
      <c r="N2333" s="5" t="s">
        <v>7086</v>
      </c>
      <c r="O2333" s="5">
        <v>37.4</v>
      </c>
      <c r="P2333" s="5">
        <v>37.57</v>
      </c>
      <c r="Q2333" s="5">
        <v>37.06</v>
      </c>
      <c r="R2333" s="5">
        <v>37.31</v>
      </c>
      <c r="S2333" s="5">
        <v>37.340000000000003</v>
      </c>
      <c r="T2333" s="5">
        <v>37.630000000000003</v>
      </c>
      <c r="V2333" s="5">
        <v>37.31</v>
      </c>
      <c r="Y2333" s="5">
        <v>19057493</v>
      </c>
      <c r="Z2333" s="5">
        <v>710439210.41999996</v>
      </c>
      <c r="AA2333" s="5">
        <v>53282</v>
      </c>
      <c r="AB2333" s="5" t="s">
        <v>85</v>
      </c>
      <c r="AC2333" s="5">
        <v>1</v>
      </c>
    </row>
    <row r="2334" spans="1:29" x14ac:dyDescent="0.3">
      <c r="A2334" s="34">
        <v>46274</v>
      </c>
      <c r="B2334" s="34">
        <v>46274</v>
      </c>
      <c r="C2334" s="5" t="s">
        <v>78</v>
      </c>
      <c r="D2334" s="5" t="s">
        <v>79</v>
      </c>
      <c r="E2334" s="5" t="s">
        <v>80</v>
      </c>
      <c r="F2334" s="5">
        <v>10637</v>
      </c>
      <c r="G2334" s="5" t="s">
        <v>7087</v>
      </c>
      <c r="H2334" s="5" t="s">
        <v>7088</v>
      </c>
      <c r="I2334" s="5" t="s">
        <v>212</v>
      </c>
      <c r="N2334" s="5" t="s">
        <v>7089</v>
      </c>
      <c r="O2334" s="5">
        <v>1218</v>
      </c>
      <c r="P2334" s="5">
        <v>1230</v>
      </c>
      <c r="Q2334" s="5">
        <v>1203</v>
      </c>
      <c r="R2334" s="5">
        <v>1206.5999999999999</v>
      </c>
      <c r="S2334" s="5">
        <v>1208.5999999999999</v>
      </c>
      <c r="T2334" s="5">
        <v>1213.7</v>
      </c>
      <c r="V2334" s="5">
        <v>1206.46</v>
      </c>
      <c r="Y2334" s="5">
        <v>256924</v>
      </c>
      <c r="Z2334" s="5">
        <v>311602222.80000001</v>
      </c>
      <c r="AA2334" s="5">
        <v>16684</v>
      </c>
      <c r="AB2334" s="5" t="s">
        <v>85</v>
      </c>
      <c r="AC2334" s="5">
        <v>1</v>
      </c>
    </row>
    <row r="2335" spans="1:29" x14ac:dyDescent="0.3">
      <c r="A2335" s="34">
        <v>46274</v>
      </c>
      <c r="B2335" s="34">
        <v>46274</v>
      </c>
      <c r="C2335" s="5" t="s">
        <v>78</v>
      </c>
      <c r="D2335" s="5" t="s">
        <v>79</v>
      </c>
      <c r="E2335" s="5" t="s">
        <v>80</v>
      </c>
      <c r="F2335" s="5">
        <v>759412</v>
      </c>
      <c r="G2335" s="5" t="s">
        <v>7090</v>
      </c>
      <c r="H2335" s="5" t="s">
        <v>7091</v>
      </c>
      <c r="I2335" s="5" t="s">
        <v>234</v>
      </c>
      <c r="N2335" s="5" t="s">
        <v>7092</v>
      </c>
      <c r="O2335" s="5">
        <v>87.75</v>
      </c>
      <c r="P2335" s="5">
        <v>89</v>
      </c>
      <c r="Q2335" s="5">
        <v>87</v>
      </c>
      <c r="R2335" s="5">
        <v>87.75</v>
      </c>
      <c r="S2335" s="5">
        <v>87.5</v>
      </c>
      <c r="T2335" s="5">
        <v>87.51</v>
      </c>
      <c r="V2335" s="5">
        <v>87.75</v>
      </c>
      <c r="Y2335" s="5">
        <v>2731</v>
      </c>
      <c r="Z2335" s="5">
        <v>239584.33</v>
      </c>
      <c r="AA2335" s="5">
        <v>58</v>
      </c>
      <c r="AB2335" s="5" t="s">
        <v>85</v>
      </c>
      <c r="AC2335" s="5">
        <v>1</v>
      </c>
    </row>
    <row r="2336" spans="1:29" x14ac:dyDescent="0.3">
      <c r="A2336" s="34">
        <v>46274</v>
      </c>
      <c r="B2336" s="34">
        <v>46274</v>
      </c>
      <c r="C2336" s="5" t="s">
        <v>78</v>
      </c>
      <c r="D2336" s="5" t="s">
        <v>79</v>
      </c>
      <c r="E2336" s="5" t="s">
        <v>80</v>
      </c>
      <c r="F2336" s="5">
        <v>24231</v>
      </c>
      <c r="G2336" s="5" t="s">
        <v>7093</v>
      </c>
      <c r="H2336" s="5" t="s">
        <v>7094</v>
      </c>
      <c r="I2336" s="5" t="s">
        <v>212</v>
      </c>
      <c r="N2336" s="5" t="s">
        <v>7095</v>
      </c>
      <c r="O2336" s="5">
        <v>81.599999999999994</v>
      </c>
      <c r="P2336" s="5">
        <v>82.94</v>
      </c>
      <c r="Q2336" s="5">
        <v>81.05</v>
      </c>
      <c r="R2336" s="5">
        <v>81.67</v>
      </c>
      <c r="S2336" s="5">
        <v>81.400000000000006</v>
      </c>
      <c r="T2336" s="5">
        <v>81.96</v>
      </c>
      <c r="V2336" s="5">
        <v>81.66</v>
      </c>
      <c r="Y2336" s="5">
        <v>37997</v>
      </c>
      <c r="Z2336" s="5">
        <v>3104999.6</v>
      </c>
      <c r="AA2336" s="5">
        <v>675</v>
      </c>
      <c r="AB2336" s="5" t="s">
        <v>85</v>
      </c>
      <c r="AC2336" s="5">
        <v>1</v>
      </c>
    </row>
    <row r="2337" spans="1:29" x14ac:dyDescent="0.3">
      <c r="A2337" s="34">
        <v>46274</v>
      </c>
      <c r="B2337" s="34">
        <v>46274</v>
      </c>
      <c r="C2337" s="5" t="s">
        <v>78</v>
      </c>
      <c r="D2337" s="5" t="s">
        <v>79</v>
      </c>
      <c r="E2337" s="5" t="s">
        <v>80</v>
      </c>
      <c r="F2337" s="5">
        <v>762432</v>
      </c>
      <c r="G2337" s="5" t="s">
        <v>7096</v>
      </c>
      <c r="H2337" s="5" t="s">
        <v>7097</v>
      </c>
      <c r="I2337" s="5" t="s">
        <v>212</v>
      </c>
      <c r="N2337" s="5" t="s">
        <v>7098</v>
      </c>
      <c r="O2337" s="5">
        <v>170.92</v>
      </c>
      <c r="P2337" s="5">
        <v>171.56</v>
      </c>
      <c r="Q2337" s="5">
        <v>168.01</v>
      </c>
      <c r="R2337" s="5">
        <v>168.7</v>
      </c>
      <c r="S2337" s="5">
        <v>169.95</v>
      </c>
      <c r="T2337" s="5">
        <v>170</v>
      </c>
      <c r="V2337" s="5">
        <v>168.71</v>
      </c>
      <c r="Y2337" s="5">
        <v>34790</v>
      </c>
      <c r="Z2337" s="5">
        <v>5897069.25</v>
      </c>
      <c r="AA2337" s="5">
        <v>674</v>
      </c>
      <c r="AB2337" s="5" t="s">
        <v>85</v>
      </c>
      <c r="AC2337" s="5">
        <v>1</v>
      </c>
    </row>
    <row r="2338" spans="1:29" x14ac:dyDescent="0.3">
      <c r="A2338" s="34">
        <v>46274</v>
      </c>
      <c r="B2338" s="34">
        <v>46274</v>
      </c>
      <c r="C2338" s="5" t="s">
        <v>78</v>
      </c>
      <c r="D2338" s="5" t="s">
        <v>79</v>
      </c>
      <c r="E2338" s="5" t="s">
        <v>80</v>
      </c>
      <c r="F2338" s="5">
        <v>10922</v>
      </c>
      <c r="G2338" s="5" t="s">
        <v>7099</v>
      </c>
      <c r="H2338" s="5" t="s">
        <v>7100</v>
      </c>
      <c r="I2338" s="5" t="s">
        <v>212</v>
      </c>
      <c r="N2338" s="5" t="s">
        <v>7101</v>
      </c>
      <c r="O2338" s="5">
        <v>178.7</v>
      </c>
      <c r="P2338" s="5">
        <v>179</v>
      </c>
      <c r="Q2338" s="5">
        <v>172.21</v>
      </c>
      <c r="R2338" s="5">
        <v>175.79</v>
      </c>
      <c r="S2338" s="5">
        <v>175</v>
      </c>
      <c r="T2338" s="5">
        <v>170.75</v>
      </c>
      <c r="V2338" s="5">
        <v>175.81</v>
      </c>
      <c r="Y2338" s="5">
        <v>90664</v>
      </c>
      <c r="Z2338" s="5">
        <v>15912088.08</v>
      </c>
      <c r="AA2338" s="5">
        <v>2086</v>
      </c>
      <c r="AB2338" s="5" t="s">
        <v>85</v>
      </c>
      <c r="AC2338" s="5">
        <v>1</v>
      </c>
    </row>
    <row r="2339" spans="1:29" x14ac:dyDescent="0.3">
      <c r="A2339" s="34">
        <v>46274</v>
      </c>
      <c r="B2339" s="34">
        <v>46274</v>
      </c>
      <c r="C2339" s="5" t="s">
        <v>78</v>
      </c>
      <c r="D2339" s="5" t="s">
        <v>79</v>
      </c>
      <c r="E2339" s="5" t="s">
        <v>80</v>
      </c>
      <c r="F2339" s="5">
        <v>14853</v>
      </c>
      <c r="G2339" s="5" t="s">
        <v>7102</v>
      </c>
      <c r="H2339" s="5" t="s">
        <v>7103</v>
      </c>
      <c r="I2339" s="5" t="s">
        <v>212</v>
      </c>
      <c r="N2339" s="5" t="s">
        <v>7104</v>
      </c>
      <c r="O2339" s="5">
        <v>128.9</v>
      </c>
      <c r="P2339" s="5">
        <v>128.9</v>
      </c>
      <c r="Q2339" s="5">
        <v>120.77</v>
      </c>
      <c r="R2339" s="5">
        <v>121.36</v>
      </c>
      <c r="S2339" s="5">
        <v>122.13</v>
      </c>
      <c r="T2339" s="5">
        <v>127.58</v>
      </c>
      <c r="V2339" s="5">
        <v>121.36</v>
      </c>
      <c r="Y2339" s="5">
        <v>1138054</v>
      </c>
      <c r="Z2339" s="5">
        <v>140250466.96000001</v>
      </c>
      <c r="AA2339" s="5">
        <v>8648</v>
      </c>
      <c r="AB2339" s="5" t="s">
        <v>85</v>
      </c>
      <c r="AC2339" s="5">
        <v>1</v>
      </c>
    </row>
    <row r="2340" spans="1:29" x14ac:dyDescent="0.3">
      <c r="A2340" s="34">
        <v>46274</v>
      </c>
      <c r="B2340" s="34">
        <v>46274</v>
      </c>
      <c r="C2340" s="5" t="s">
        <v>78</v>
      </c>
      <c r="D2340" s="5" t="s">
        <v>79</v>
      </c>
      <c r="E2340" s="5" t="s">
        <v>80</v>
      </c>
      <c r="F2340" s="5">
        <v>117</v>
      </c>
      <c r="G2340" s="5" t="s">
        <v>7105</v>
      </c>
      <c r="H2340" s="5" t="s">
        <v>7106</v>
      </c>
      <c r="I2340" s="5" t="s">
        <v>313</v>
      </c>
      <c r="N2340" s="5" t="s">
        <v>7107</v>
      </c>
      <c r="O2340" s="5">
        <v>57</v>
      </c>
      <c r="P2340" s="5">
        <v>57</v>
      </c>
      <c r="Q2340" s="5">
        <v>54.2</v>
      </c>
      <c r="R2340" s="5">
        <v>54.2</v>
      </c>
      <c r="S2340" s="5">
        <v>54.2</v>
      </c>
      <c r="T2340" s="5">
        <v>56.5</v>
      </c>
      <c r="V2340" s="5">
        <v>54.2</v>
      </c>
      <c r="Y2340" s="5">
        <v>2400</v>
      </c>
      <c r="Z2340" s="5">
        <v>133440</v>
      </c>
      <c r="AA2340" s="5">
        <v>2</v>
      </c>
      <c r="AB2340" s="5" t="s">
        <v>85</v>
      </c>
      <c r="AC2340" s="5">
        <v>1200</v>
      </c>
    </row>
    <row r="2341" spans="1:29" x14ac:dyDescent="0.3">
      <c r="A2341" s="34">
        <v>46274</v>
      </c>
      <c r="B2341" s="34">
        <v>46274</v>
      </c>
      <c r="C2341" s="5" t="s">
        <v>78</v>
      </c>
      <c r="D2341" s="5" t="s">
        <v>79</v>
      </c>
      <c r="E2341" s="5" t="s">
        <v>80</v>
      </c>
      <c r="F2341" s="5">
        <v>760865</v>
      </c>
      <c r="G2341" s="5" t="s">
        <v>7108</v>
      </c>
      <c r="H2341" s="5" t="s">
        <v>7109</v>
      </c>
      <c r="I2341" s="5" t="s">
        <v>212</v>
      </c>
      <c r="N2341" s="5" t="s">
        <v>7110</v>
      </c>
      <c r="O2341" s="5">
        <v>522.20000000000005</v>
      </c>
      <c r="P2341" s="5">
        <v>551</v>
      </c>
      <c r="Q2341" s="5">
        <v>521.1</v>
      </c>
      <c r="R2341" s="5">
        <v>534.6</v>
      </c>
      <c r="S2341" s="5">
        <v>537.79999999999995</v>
      </c>
      <c r="T2341" s="5">
        <v>525.9</v>
      </c>
      <c r="V2341" s="5">
        <v>534.58000000000004</v>
      </c>
      <c r="Y2341" s="5">
        <v>1142132</v>
      </c>
      <c r="Z2341" s="5">
        <v>613631071.25</v>
      </c>
      <c r="AA2341" s="5">
        <v>31877</v>
      </c>
      <c r="AB2341" s="5" t="s">
        <v>85</v>
      </c>
      <c r="AC2341" s="5">
        <v>1</v>
      </c>
    </row>
    <row r="2342" spans="1:29" x14ac:dyDescent="0.3">
      <c r="A2342" s="34">
        <v>46274</v>
      </c>
      <c r="B2342" s="34">
        <v>46274</v>
      </c>
      <c r="C2342" s="5" t="s">
        <v>78</v>
      </c>
      <c r="D2342" s="5" t="s">
        <v>79</v>
      </c>
      <c r="E2342" s="5" t="s">
        <v>80</v>
      </c>
      <c r="F2342" s="5">
        <v>19692</v>
      </c>
      <c r="G2342" s="5" t="s">
        <v>7111</v>
      </c>
      <c r="H2342" s="5" t="s">
        <v>7112</v>
      </c>
      <c r="I2342" s="5" t="s">
        <v>313</v>
      </c>
      <c r="N2342" s="5" t="s">
        <v>7113</v>
      </c>
      <c r="O2342" s="5">
        <v>290</v>
      </c>
      <c r="P2342" s="5">
        <v>294</v>
      </c>
      <c r="Q2342" s="5">
        <v>284.5</v>
      </c>
      <c r="R2342" s="5">
        <v>290.8</v>
      </c>
      <c r="S2342" s="5">
        <v>294</v>
      </c>
      <c r="T2342" s="5">
        <v>294.5</v>
      </c>
      <c r="V2342" s="5">
        <v>290.8</v>
      </c>
      <c r="Y2342" s="5">
        <v>2100</v>
      </c>
      <c r="Z2342" s="5">
        <v>609285</v>
      </c>
      <c r="AA2342" s="5">
        <v>7</v>
      </c>
      <c r="AB2342" s="5" t="s">
        <v>85</v>
      </c>
      <c r="AC2342" s="5">
        <v>300</v>
      </c>
    </row>
    <row r="2343" spans="1:29" x14ac:dyDescent="0.3">
      <c r="A2343" s="34">
        <v>46274</v>
      </c>
      <c r="B2343" s="34">
        <v>46274</v>
      </c>
      <c r="C2343" s="5" t="s">
        <v>78</v>
      </c>
      <c r="D2343" s="5" t="s">
        <v>79</v>
      </c>
      <c r="E2343" s="5" t="s">
        <v>80</v>
      </c>
      <c r="F2343" s="5">
        <v>6705</v>
      </c>
      <c r="G2343" s="5" t="s">
        <v>7114</v>
      </c>
      <c r="H2343" s="5" t="s">
        <v>7115</v>
      </c>
      <c r="I2343" s="5" t="s">
        <v>212</v>
      </c>
      <c r="N2343" s="5" t="s">
        <v>7116</v>
      </c>
      <c r="O2343" s="5">
        <v>1677</v>
      </c>
      <c r="P2343" s="5">
        <v>1758.9</v>
      </c>
      <c r="Q2343" s="5">
        <v>1676.1</v>
      </c>
      <c r="R2343" s="5">
        <v>1751.5</v>
      </c>
      <c r="S2343" s="5">
        <v>1751.5</v>
      </c>
      <c r="T2343" s="5">
        <v>1670</v>
      </c>
      <c r="V2343" s="5">
        <v>1751.5</v>
      </c>
      <c r="Y2343" s="5">
        <v>8247684</v>
      </c>
      <c r="Z2343" s="5">
        <v>14324044921.5</v>
      </c>
      <c r="AA2343" s="5">
        <v>181218</v>
      </c>
      <c r="AB2343" s="5" t="s">
        <v>85</v>
      </c>
      <c r="AC2343" s="5">
        <v>1</v>
      </c>
    </row>
    <row r="2344" spans="1:29" x14ac:dyDescent="0.3">
      <c r="A2344" s="34">
        <v>46274</v>
      </c>
      <c r="B2344" s="34">
        <v>46274</v>
      </c>
      <c r="C2344" s="5" t="s">
        <v>78</v>
      </c>
      <c r="D2344" s="5" t="s">
        <v>79</v>
      </c>
      <c r="E2344" s="5" t="s">
        <v>80</v>
      </c>
      <c r="F2344" s="5">
        <v>765242</v>
      </c>
      <c r="G2344" s="5" t="s">
        <v>7117</v>
      </c>
      <c r="H2344" s="5" t="s">
        <v>7118</v>
      </c>
      <c r="I2344" s="5" t="s">
        <v>212</v>
      </c>
      <c r="N2344" s="5" t="s">
        <v>7119</v>
      </c>
      <c r="O2344" s="5">
        <v>550</v>
      </c>
      <c r="P2344" s="5">
        <v>550</v>
      </c>
      <c r="Q2344" s="5">
        <v>525.04999999999995</v>
      </c>
      <c r="R2344" s="5">
        <v>540.4</v>
      </c>
      <c r="S2344" s="5">
        <v>541</v>
      </c>
      <c r="T2344" s="5">
        <v>531.20000000000005</v>
      </c>
      <c r="V2344" s="5">
        <v>540.34</v>
      </c>
      <c r="Y2344" s="5">
        <v>11378</v>
      </c>
      <c r="Z2344" s="5">
        <v>6105295.5999999996</v>
      </c>
      <c r="AA2344" s="5">
        <v>977</v>
      </c>
      <c r="AB2344" s="5" t="s">
        <v>85</v>
      </c>
      <c r="AC2344" s="5">
        <v>1</v>
      </c>
    </row>
    <row r="2345" spans="1:29" x14ac:dyDescent="0.3">
      <c r="A2345" s="34">
        <v>46274</v>
      </c>
      <c r="B2345" s="34">
        <v>46274</v>
      </c>
      <c r="C2345" s="5" t="s">
        <v>78</v>
      </c>
      <c r="D2345" s="5" t="s">
        <v>79</v>
      </c>
      <c r="E2345" s="5" t="s">
        <v>80</v>
      </c>
      <c r="F2345" s="5">
        <v>28046</v>
      </c>
      <c r="G2345" s="5" t="s">
        <v>7120</v>
      </c>
      <c r="H2345" s="5" t="s">
        <v>7121</v>
      </c>
      <c r="I2345" s="5" t="s">
        <v>212</v>
      </c>
      <c r="N2345" s="5" t="s">
        <v>7122</v>
      </c>
      <c r="O2345" s="5">
        <v>193.87</v>
      </c>
      <c r="P2345" s="5">
        <v>198.9</v>
      </c>
      <c r="Q2345" s="5">
        <v>192.25</v>
      </c>
      <c r="R2345" s="5">
        <v>195.3</v>
      </c>
      <c r="S2345" s="5">
        <v>195.5</v>
      </c>
      <c r="T2345" s="5">
        <v>194.14</v>
      </c>
      <c r="V2345" s="5">
        <v>195.3</v>
      </c>
      <c r="Y2345" s="5">
        <v>671589</v>
      </c>
      <c r="Z2345" s="5">
        <v>131436149.8</v>
      </c>
      <c r="AA2345" s="5">
        <v>10381</v>
      </c>
      <c r="AB2345" s="5" t="s">
        <v>85</v>
      </c>
      <c r="AC2345" s="5">
        <v>1</v>
      </c>
    </row>
    <row r="2346" spans="1:29" x14ac:dyDescent="0.3">
      <c r="A2346" s="34">
        <v>46274</v>
      </c>
      <c r="B2346" s="34">
        <v>46274</v>
      </c>
      <c r="C2346" s="5" t="s">
        <v>78</v>
      </c>
      <c r="D2346" s="5" t="s">
        <v>79</v>
      </c>
      <c r="E2346" s="5" t="s">
        <v>80</v>
      </c>
      <c r="F2346" s="5">
        <v>9939</v>
      </c>
      <c r="G2346" s="5" t="s">
        <v>7123</v>
      </c>
      <c r="H2346" s="5" t="s">
        <v>7124</v>
      </c>
      <c r="I2346" s="5" t="s">
        <v>212</v>
      </c>
      <c r="N2346" s="5" t="s">
        <v>7125</v>
      </c>
      <c r="O2346" s="5">
        <v>56.08</v>
      </c>
      <c r="P2346" s="5">
        <v>58.7</v>
      </c>
      <c r="Q2346" s="5">
        <v>55.11</v>
      </c>
      <c r="R2346" s="5">
        <v>58.07</v>
      </c>
      <c r="S2346" s="5">
        <v>58.7</v>
      </c>
      <c r="T2346" s="5">
        <v>56.36</v>
      </c>
      <c r="V2346" s="5">
        <v>58.07</v>
      </c>
      <c r="Y2346" s="5">
        <v>847505</v>
      </c>
      <c r="Z2346" s="5">
        <v>48470369.590000004</v>
      </c>
      <c r="AA2346" s="5">
        <v>3624</v>
      </c>
      <c r="AB2346" s="5" t="s">
        <v>85</v>
      </c>
      <c r="AC2346" s="5">
        <v>1</v>
      </c>
    </row>
    <row r="2347" spans="1:29" x14ac:dyDescent="0.3">
      <c r="A2347" s="34">
        <v>46274</v>
      </c>
      <c r="B2347" s="34">
        <v>46274</v>
      </c>
      <c r="C2347" s="5" t="s">
        <v>78</v>
      </c>
      <c r="D2347" s="5" t="s">
        <v>79</v>
      </c>
      <c r="E2347" s="5" t="s">
        <v>80</v>
      </c>
      <c r="F2347" s="5">
        <v>19386</v>
      </c>
      <c r="G2347" s="5" t="s">
        <v>7126</v>
      </c>
      <c r="H2347" s="5" t="s">
        <v>7127</v>
      </c>
      <c r="I2347" s="5" t="s">
        <v>313</v>
      </c>
      <c r="N2347" s="5" t="s">
        <v>7128</v>
      </c>
      <c r="O2347" s="5">
        <v>420</v>
      </c>
      <c r="P2347" s="5">
        <v>427.75</v>
      </c>
      <c r="Q2347" s="5">
        <v>411</v>
      </c>
      <c r="R2347" s="5">
        <v>411</v>
      </c>
      <c r="S2347" s="5">
        <v>411</v>
      </c>
      <c r="T2347" s="5">
        <v>428</v>
      </c>
      <c r="V2347" s="5">
        <v>411</v>
      </c>
      <c r="Y2347" s="5">
        <v>35600</v>
      </c>
      <c r="Z2347" s="5">
        <v>14788180</v>
      </c>
      <c r="AA2347" s="5">
        <v>42</v>
      </c>
      <c r="AB2347" s="5" t="s">
        <v>85</v>
      </c>
      <c r="AC2347" s="5">
        <v>400</v>
      </c>
    </row>
    <row r="2348" spans="1:29" x14ac:dyDescent="0.3">
      <c r="A2348" s="34">
        <v>46274</v>
      </c>
      <c r="B2348" s="34">
        <v>46274</v>
      </c>
      <c r="C2348" s="5" t="s">
        <v>78</v>
      </c>
      <c r="D2348" s="5" t="s">
        <v>79</v>
      </c>
      <c r="E2348" s="5" t="s">
        <v>80</v>
      </c>
      <c r="F2348" s="5">
        <v>25496</v>
      </c>
      <c r="G2348" s="5" t="s">
        <v>7129</v>
      </c>
      <c r="H2348" s="5" t="s">
        <v>7130</v>
      </c>
      <c r="I2348" s="5" t="s">
        <v>234</v>
      </c>
      <c r="N2348" s="5" t="s">
        <v>7131</v>
      </c>
      <c r="O2348" s="5">
        <v>30.09</v>
      </c>
      <c r="P2348" s="5">
        <v>32</v>
      </c>
      <c r="Q2348" s="5">
        <v>29.17</v>
      </c>
      <c r="R2348" s="5">
        <v>31.93</v>
      </c>
      <c r="S2348" s="5">
        <v>32</v>
      </c>
      <c r="T2348" s="5">
        <v>30.7</v>
      </c>
      <c r="V2348" s="5">
        <v>31.86</v>
      </c>
      <c r="Y2348" s="5">
        <v>68506</v>
      </c>
      <c r="Z2348" s="5">
        <v>2064280.62</v>
      </c>
      <c r="AA2348" s="5">
        <v>111</v>
      </c>
      <c r="AB2348" s="5" t="s">
        <v>85</v>
      </c>
      <c r="AC2348" s="5">
        <v>1</v>
      </c>
    </row>
    <row r="2349" spans="1:29" x14ac:dyDescent="0.3">
      <c r="A2349" s="34">
        <v>46274</v>
      </c>
      <c r="B2349" s="34">
        <v>46274</v>
      </c>
      <c r="C2349" s="5" t="s">
        <v>78</v>
      </c>
      <c r="D2349" s="5" t="s">
        <v>79</v>
      </c>
      <c r="E2349" s="5" t="s">
        <v>80</v>
      </c>
      <c r="F2349" s="5">
        <v>763294</v>
      </c>
      <c r="G2349" s="5" t="s">
        <v>7132</v>
      </c>
      <c r="H2349" s="5" t="s">
        <v>7133</v>
      </c>
      <c r="I2349" s="5" t="s">
        <v>212</v>
      </c>
      <c r="N2349" s="5" t="s">
        <v>7134</v>
      </c>
      <c r="O2349" s="5">
        <v>329</v>
      </c>
      <c r="P2349" s="5">
        <v>333.5</v>
      </c>
      <c r="Q2349" s="5">
        <v>321.5</v>
      </c>
      <c r="R2349" s="5">
        <v>322.85000000000002</v>
      </c>
      <c r="S2349" s="5">
        <v>324</v>
      </c>
      <c r="T2349" s="5">
        <v>331</v>
      </c>
      <c r="V2349" s="5">
        <v>322.82</v>
      </c>
      <c r="Y2349" s="5">
        <v>1050580</v>
      </c>
      <c r="Z2349" s="5">
        <v>343710310.19999999</v>
      </c>
      <c r="AA2349" s="5">
        <v>31340</v>
      </c>
      <c r="AB2349" s="5" t="s">
        <v>85</v>
      </c>
      <c r="AC2349" s="5">
        <v>1</v>
      </c>
    </row>
    <row r="2350" spans="1:29" x14ac:dyDescent="0.3">
      <c r="A2350" s="34">
        <v>46274</v>
      </c>
      <c r="B2350" s="34">
        <v>46274</v>
      </c>
      <c r="C2350" s="5" t="s">
        <v>78</v>
      </c>
      <c r="D2350" s="5" t="s">
        <v>79</v>
      </c>
      <c r="E2350" s="5" t="s">
        <v>80</v>
      </c>
      <c r="F2350" s="5">
        <v>29224</v>
      </c>
      <c r="G2350" s="5" t="s">
        <v>7135</v>
      </c>
      <c r="H2350" s="5" t="s">
        <v>7136</v>
      </c>
      <c r="I2350" s="5" t="s">
        <v>212</v>
      </c>
      <c r="N2350" s="5" t="s">
        <v>7137</v>
      </c>
      <c r="O2350" s="5">
        <v>1590</v>
      </c>
      <c r="P2350" s="5">
        <v>1617</v>
      </c>
      <c r="Q2350" s="5">
        <v>1510.1</v>
      </c>
      <c r="R2350" s="5">
        <v>1530.1</v>
      </c>
      <c r="S2350" s="5">
        <v>1540</v>
      </c>
      <c r="T2350" s="5">
        <v>1579.5</v>
      </c>
      <c r="V2350" s="5">
        <v>1530.1</v>
      </c>
      <c r="Y2350" s="5">
        <v>2411313</v>
      </c>
      <c r="Z2350" s="5">
        <v>3687786092</v>
      </c>
      <c r="AA2350" s="5">
        <v>58791</v>
      </c>
      <c r="AB2350" s="5" t="s">
        <v>85</v>
      </c>
      <c r="AC2350" s="5">
        <v>1</v>
      </c>
    </row>
    <row r="2351" spans="1:29" x14ac:dyDescent="0.3">
      <c r="A2351" s="34">
        <v>46274</v>
      </c>
      <c r="B2351" s="34">
        <v>46274</v>
      </c>
      <c r="C2351" s="5" t="s">
        <v>78</v>
      </c>
      <c r="D2351" s="5" t="s">
        <v>79</v>
      </c>
      <c r="E2351" s="5" t="s">
        <v>80</v>
      </c>
      <c r="F2351" s="5">
        <v>2202</v>
      </c>
      <c r="G2351" s="5" t="s">
        <v>7138</v>
      </c>
      <c r="H2351" s="5" t="s">
        <v>7139</v>
      </c>
      <c r="I2351" s="5" t="s">
        <v>212</v>
      </c>
      <c r="N2351" s="5" t="s">
        <v>7140</v>
      </c>
      <c r="O2351" s="5">
        <v>34.700000000000003</v>
      </c>
      <c r="P2351" s="5">
        <v>34.729999999999997</v>
      </c>
      <c r="Q2351" s="5">
        <v>33.9</v>
      </c>
      <c r="R2351" s="5">
        <v>34.26</v>
      </c>
      <c r="S2351" s="5">
        <v>33.9</v>
      </c>
      <c r="T2351" s="5">
        <v>34.76</v>
      </c>
      <c r="V2351" s="5">
        <v>34.25</v>
      </c>
      <c r="Y2351" s="5">
        <v>346700</v>
      </c>
      <c r="Z2351" s="5">
        <v>11891513.58</v>
      </c>
      <c r="AA2351" s="5">
        <v>1356</v>
      </c>
      <c r="AB2351" s="5" t="s">
        <v>85</v>
      </c>
      <c r="AC2351" s="5">
        <v>1</v>
      </c>
    </row>
    <row r="2352" spans="1:29" x14ac:dyDescent="0.3">
      <c r="A2352" s="34">
        <v>46274</v>
      </c>
      <c r="B2352" s="34">
        <v>46274</v>
      </c>
      <c r="C2352" s="5" t="s">
        <v>78</v>
      </c>
      <c r="D2352" s="5" t="s">
        <v>79</v>
      </c>
      <c r="E2352" s="5" t="s">
        <v>80</v>
      </c>
      <c r="F2352" s="5">
        <v>764808</v>
      </c>
      <c r="G2352" s="5" t="s">
        <v>7141</v>
      </c>
      <c r="H2352" s="5" t="s">
        <v>7142</v>
      </c>
      <c r="I2352" s="5" t="s">
        <v>212</v>
      </c>
      <c r="N2352" s="5" t="s">
        <v>7143</v>
      </c>
      <c r="O2352" s="5">
        <v>446</v>
      </c>
      <c r="P2352" s="5">
        <v>462.8</v>
      </c>
      <c r="Q2352" s="5">
        <v>446</v>
      </c>
      <c r="R2352" s="5">
        <v>455.3</v>
      </c>
      <c r="S2352" s="5">
        <v>453</v>
      </c>
      <c r="T2352" s="5">
        <v>444.3</v>
      </c>
      <c r="V2352" s="5">
        <v>455.2</v>
      </c>
      <c r="Y2352" s="5">
        <v>462195</v>
      </c>
      <c r="Z2352" s="5">
        <v>210679320.19999999</v>
      </c>
      <c r="AA2352" s="5">
        <v>9308</v>
      </c>
      <c r="AB2352" s="5" t="s">
        <v>85</v>
      </c>
      <c r="AC2352" s="5">
        <v>1</v>
      </c>
    </row>
    <row r="2353" spans="1:29" x14ac:dyDescent="0.3">
      <c r="A2353" s="34">
        <v>46274</v>
      </c>
      <c r="B2353" s="34">
        <v>46274</v>
      </c>
      <c r="C2353" s="5" t="s">
        <v>78</v>
      </c>
      <c r="D2353" s="5" t="s">
        <v>79</v>
      </c>
      <c r="E2353" s="5" t="s">
        <v>80</v>
      </c>
      <c r="F2353" s="5">
        <v>15282</v>
      </c>
      <c r="G2353" s="5" t="s">
        <v>7144</v>
      </c>
      <c r="H2353" s="5" t="s">
        <v>7145</v>
      </c>
      <c r="I2353" s="5" t="s">
        <v>234</v>
      </c>
      <c r="N2353" s="5" t="s">
        <v>7146</v>
      </c>
      <c r="O2353" s="5">
        <v>48.25</v>
      </c>
      <c r="P2353" s="5">
        <v>48.25</v>
      </c>
      <c r="Q2353" s="5">
        <v>47.3</v>
      </c>
      <c r="R2353" s="5">
        <v>47.35</v>
      </c>
      <c r="S2353" s="5">
        <v>47.35</v>
      </c>
      <c r="T2353" s="5">
        <v>48.25</v>
      </c>
      <c r="V2353" s="5">
        <v>47.5</v>
      </c>
      <c r="Y2353" s="5">
        <v>20520</v>
      </c>
      <c r="Z2353" s="5">
        <v>974695.2</v>
      </c>
      <c r="AA2353" s="5">
        <v>169</v>
      </c>
      <c r="AB2353" s="5" t="s">
        <v>85</v>
      </c>
      <c r="AC2353" s="5">
        <v>1</v>
      </c>
    </row>
    <row r="2354" spans="1:29" x14ac:dyDescent="0.3">
      <c r="A2354" s="34">
        <v>46274</v>
      </c>
      <c r="B2354" s="34">
        <v>46274</v>
      </c>
      <c r="C2354" s="5" t="s">
        <v>78</v>
      </c>
      <c r="D2354" s="5" t="s">
        <v>79</v>
      </c>
      <c r="E2354" s="5" t="s">
        <v>80</v>
      </c>
      <c r="F2354" s="5">
        <v>2481</v>
      </c>
      <c r="G2354" s="5" t="s">
        <v>7147</v>
      </c>
      <c r="H2354" s="5" t="s">
        <v>7148</v>
      </c>
      <c r="I2354" s="5" t="s">
        <v>212</v>
      </c>
      <c r="N2354" s="5" t="s">
        <v>7149</v>
      </c>
      <c r="O2354" s="5">
        <v>285.75</v>
      </c>
      <c r="P2354" s="5">
        <v>290</v>
      </c>
      <c r="Q2354" s="5">
        <v>280.3</v>
      </c>
      <c r="R2354" s="5">
        <v>285.75</v>
      </c>
      <c r="S2354" s="5">
        <v>286.7</v>
      </c>
      <c r="T2354" s="5">
        <v>286.3</v>
      </c>
      <c r="V2354" s="5">
        <v>285.89</v>
      </c>
      <c r="Y2354" s="5">
        <v>35966</v>
      </c>
      <c r="Z2354" s="5">
        <v>10216737.25</v>
      </c>
      <c r="AA2354" s="5">
        <v>1002</v>
      </c>
      <c r="AB2354" s="5" t="s">
        <v>85</v>
      </c>
      <c r="AC2354" s="5">
        <v>1</v>
      </c>
    </row>
    <row r="2355" spans="1:29" x14ac:dyDescent="0.3">
      <c r="A2355" s="34">
        <v>46274</v>
      </c>
      <c r="B2355" s="34">
        <v>46274</v>
      </c>
      <c r="C2355" s="5" t="s">
        <v>78</v>
      </c>
      <c r="D2355" s="5" t="s">
        <v>79</v>
      </c>
      <c r="E2355" s="5" t="s">
        <v>80</v>
      </c>
      <c r="F2355" s="5">
        <v>27143</v>
      </c>
      <c r="G2355" s="5" t="s">
        <v>7150</v>
      </c>
      <c r="H2355" s="5" t="s">
        <v>7151</v>
      </c>
      <c r="I2355" s="5" t="s">
        <v>392</v>
      </c>
      <c r="N2355" s="5" t="s">
        <v>7152</v>
      </c>
      <c r="O2355" s="5">
        <v>37.4</v>
      </c>
      <c r="P2355" s="5">
        <v>38</v>
      </c>
      <c r="Q2355" s="5">
        <v>37.4</v>
      </c>
      <c r="R2355" s="5">
        <v>37.5</v>
      </c>
      <c r="S2355" s="5">
        <v>37.5</v>
      </c>
      <c r="T2355" s="5">
        <v>37.549999999999997</v>
      </c>
      <c r="V2355" s="5">
        <v>37.5</v>
      </c>
      <c r="Y2355" s="5">
        <v>12000</v>
      </c>
      <c r="Z2355" s="5">
        <v>453800</v>
      </c>
      <c r="AA2355" s="5">
        <v>6</v>
      </c>
      <c r="AB2355" s="5" t="s">
        <v>85</v>
      </c>
      <c r="AC2355" s="5">
        <v>2000</v>
      </c>
    </row>
    <row r="2356" spans="1:29" x14ac:dyDescent="0.3">
      <c r="A2356" s="34">
        <v>46274</v>
      </c>
      <c r="B2356" s="34">
        <v>46274</v>
      </c>
      <c r="C2356" s="5" t="s">
        <v>78</v>
      </c>
      <c r="D2356" s="5" t="s">
        <v>79</v>
      </c>
      <c r="E2356" s="5" t="s">
        <v>80</v>
      </c>
      <c r="F2356" s="5">
        <v>21469</v>
      </c>
      <c r="G2356" s="5" t="s">
        <v>7153</v>
      </c>
      <c r="H2356" s="5" t="s">
        <v>7154</v>
      </c>
      <c r="I2356" s="5" t="s">
        <v>212</v>
      </c>
      <c r="N2356" s="5" t="s">
        <v>7155</v>
      </c>
      <c r="O2356" s="5">
        <v>552.4</v>
      </c>
      <c r="P2356" s="5">
        <v>556.70000000000005</v>
      </c>
      <c r="Q2356" s="5">
        <v>540.04999999999995</v>
      </c>
      <c r="R2356" s="5">
        <v>541.95000000000005</v>
      </c>
      <c r="S2356" s="5">
        <v>544.9</v>
      </c>
      <c r="T2356" s="5">
        <v>556.35</v>
      </c>
      <c r="V2356" s="5">
        <v>541.98</v>
      </c>
      <c r="Y2356" s="5">
        <v>80387</v>
      </c>
      <c r="Z2356" s="5">
        <v>44031214</v>
      </c>
      <c r="AA2356" s="5">
        <v>3717</v>
      </c>
      <c r="AB2356" s="5" t="s">
        <v>85</v>
      </c>
      <c r="AC2356" s="5">
        <v>1</v>
      </c>
    </row>
    <row r="2357" spans="1:29" x14ac:dyDescent="0.3">
      <c r="A2357" s="34">
        <v>46274</v>
      </c>
      <c r="B2357" s="34">
        <v>46274</v>
      </c>
      <c r="C2357" s="5" t="s">
        <v>78</v>
      </c>
      <c r="D2357" s="5" t="s">
        <v>79</v>
      </c>
      <c r="E2357" s="5" t="s">
        <v>80</v>
      </c>
      <c r="F2357" s="5">
        <v>764813</v>
      </c>
      <c r="G2357" s="5" t="s">
        <v>7156</v>
      </c>
      <c r="H2357" s="5" t="s">
        <v>7157</v>
      </c>
      <c r="I2357" s="5" t="s">
        <v>212</v>
      </c>
      <c r="N2357" s="5" t="s">
        <v>7158</v>
      </c>
      <c r="O2357" s="5">
        <v>14.23</v>
      </c>
      <c r="P2357" s="5">
        <v>15</v>
      </c>
      <c r="Q2357" s="5">
        <v>13.55</v>
      </c>
      <c r="R2357" s="5">
        <v>14.2</v>
      </c>
      <c r="S2357" s="5">
        <v>14.49</v>
      </c>
      <c r="T2357" s="5">
        <v>14.52</v>
      </c>
      <c r="V2357" s="5">
        <v>14.22</v>
      </c>
      <c r="Y2357" s="5">
        <v>18983</v>
      </c>
      <c r="Z2357" s="5">
        <v>268784.28999999998</v>
      </c>
      <c r="AA2357" s="5">
        <v>75</v>
      </c>
      <c r="AB2357" s="5" t="s">
        <v>85</v>
      </c>
      <c r="AC2357" s="5">
        <v>1</v>
      </c>
    </row>
    <row r="2358" spans="1:29" x14ac:dyDescent="0.3">
      <c r="A2358" s="34">
        <v>46274</v>
      </c>
      <c r="B2358" s="34">
        <v>46274</v>
      </c>
      <c r="C2358" s="5" t="s">
        <v>78</v>
      </c>
      <c r="D2358" s="5" t="s">
        <v>79</v>
      </c>
      <c r="E2358" s="5" t="s">
        <v>80</v>
      </c>
      <c r="F2358" s="5">
        <v>764528</v>
      </c>
      <c r="G2358" s="5" t="s">
        <v>7159</v>
      </c>
      <c r="H2358" s="5" t="s">
        <v>7160</v>
      </c>
      <c r="I2358" s="5" t="s">
        <v>313</v>
      </c>
      <c r="N2358" s="5" t="s">
        <v>7161</v>
      </c>
      <c r="O2358" s="5">
        <v>150</v>
      </c>
      <c r="P2358" s="5">
        <v>150</v>
      </c>
      <c r="Q2358" s="5">
        <v>145.05000000000001</v>
      </c>
      <c r="R2358" s="5">
        <v>148.19999999999999</v>
      </c>
      <c r="S2358" s="5">
        <v>146.94999999999999</v>
      </c>
      <c r="T2358" s="5">
        <v>150.5</v>
      </c>
      <c r="V2358" s="5">
        <v>148.19999999999999</v>
      </c>
      <c r="Y2358" s="5">
        <v>35200</v>
      </c>
      <c r="Z2358" s="5">
        <v>5179760</v>
      </c>
      <c r="AA2358" s="5">
        <v>32</v>
      </c>
      <c r="AB2358" s="5" t="s">
        <v>85</v>
      </c>
      <c r="AC2358" s="5">
        <v>800</v>
      </c>
    </row>
    <row r="2359" spans="1:29" x14ac:dyDescent="0.3">
      <c r="A2359" s="34">
        <v>46274</v>
      </c>
      <c r="B2359" s="34">
        <v>46274</v>
      </c>
      <c r="C2359" s="5" t="s">
        <v>78</v>
      </c>
      <c r="D2359" s="5" t="s">
        <v>79</v>
      </c>
      <c r="E2359" s="5" t="s">
        <v>80</v>
      </c>
      <c r="F2359" s="5">
        <v>758903</v>
      </c>
      <c r="G2359" s="5" t="s">
        <v>7162</v>
      </c>
      <c r="H2359" s="5" t="s">
        <v>7163</v>
      </c>
      <c r="I2359" s="5" t="s">
        <v>392</v>
      </c>
      <c r="N2359" s="5" t="s">
        <v>7164</v>
      </c>
      <c r="O2359" s="5">
        <v>168</v>
      </c>
      <c r="P2359" s="5">
        <v>172.7</v>
      </c>
      <c r="Q2359" s="5">
        <v>168</v>
      </c>
      <c r="R2359" s="5">
        <v>172.7</v>
      </c>
      <c r="S2359" s="5">
        <v>172.7</v>
      </c>
      <c r="T2359" s="5">
        <v>164.5</v>
      </c>
      <c r="V2359" s="5">
        <v>172.7</v>
      </c>
      <c r="Y2359" s="5">
        <v>92800</v>
      </c>
      <c r="Z2359" s="5">
        <v>15867440</v>
      </c>
      <c r="AA2359" s="5">
        <v>24</v>
      </c>
      <c r="AB2359" s="5" t="s">
        <v>85</v>
      </c>
      <c r="AC2359" s="5">
        <v>1600</v>
      </c>
    </row>
    <row r="2360" spans="1:29" x14ac:dyDescent="0.3">
      <c r="A2360" s="34">
        <v>46274</v>
      </c>
      <c r="B2360" s="34">
        <v>46274</v>
      </c>
      <c r="C2360" s="5" t="s">
        <v>78</v>
      </c>
      <c r="D2360" s="5" t="s">
        <v>79</v>
      </c>
      <c r="E2360" s="5" t="s">
        <v>80</v>
      </c>
      <c r="F2360" s="5">
        <v>10738</v>
      </c>
      <c r="G2360" s="5" t="s">
        <v>7165</v>
      </c>
      <c r="H2360" s="5" t="s">
        <v>7166</v>
      </c>
      <c r="I2360" s="5" t="s">
        <v>212</v>
      </c>
      <c r="N2360" s="5" t="s">
        <v>7167</v>
      </c>
      <c r="O2360" s="5">
        <v>11762</v>
      </c>
      <c r="P2360" s="5">
        <v>11762</v>
      </c>
      <c r="Q2360" s="5">
        <v>11550</v>
      </c>
      <c r="R2360" s="5">
        <v>11630</v>
      </c>
      <c r="S2360" s="5">
        <v>11630</v>
      </c>
      <c r="T2360" s="5">
        <v>11780</v>
      </c>
      <c r="V2360" s="5">
        <v>11629.84</v>
      </c>
      <c r="Y2360" s="5">
        <v>156426</v>
      </c>
      <c r="Z2360" s="5">
        <v>1821349142</v>
      </c>
      <c r="AA2360" s="5">
        <v>30435</v>
      </c>
      <c r="AB2360" s="5" t="s">
        <v>85</v>
      </c>
      <c r="AC2360" s="5">
        <v>1</v>
      </c>
    </row>
    <row r="2361" spans="1:29" x14ac:dyDescent="0.3">
      <c r="A2361" s="34">
        <v>46274</v>
      </c>
      <c r="B2361" s="34">
        <v>46274</v>
      </c>
      <c r="C2361" s="5" t="s">
        <v>78</v>
      </c>
      <c r="D2361" s="5" t="s">
        <v>79</v>
      </c>
      <c r="E2361" s="5" t="s">
        <v>80</v>
      </c>
      <c r="F2361" s="5">
        <v>31479</v>
      </c>
      <c r="G2361" s="5" t="s">
        <v>7168</v>
      </c>
      <c r="H2361" s="5" t="s">
        <v>7169</v>
      </c>
      <c r="I2361" s="5" t="s">
        <v>234</v>
      </c>
      <c r="N2361" s="5" t="s">
        <v>7170</v>
      </c>
      <c r="O2361" s="5">
        <v>231.5</v>
      </c>
      <c r="P2361" s="5">
        <v>237.99</v>
      </c>
      <c r="Q2361" s="5">
        <v>231.5</v>
      </c>
      <c r="R2361" s="5">
        <v>233</v>
      </c>
      <c r="S2361" s="5">
        <v>233</v>
      </c>
      <c r="T2361" s="5">
        <v>239.43</v>
      </c>
      <c r="V2361" s="5">
        <v>233.15</v>
      </c>
      <c r="Y2361" s="5">
        <v>709</v>
      </c>
      <c r="Z2361" s="5">
        <v>166232.38</v>
      </c>
      <c r="AA2361" s="5">
        <v>23</v>
      </c>
      <c r="AB2361" s="5" t="s">
        <v>85</v>
      </c>
      <c r="AC2361" s="5">
        <v>1</v>
      </c>
    </row>
    <row r="2362" spans="1:29" x14ac:dyDescent="0.3">
      <c r="A2362" s="34">
        <v>46274</v>
      </c>
      <c r="B2362" s="34">
        <v>46274</v>
      </c>
      <c r="C2362" s="5" t="s">
        <v>78</v>
      </c>
      <c r="D2362" s="5" t="s">
        <v>79</v>
      </c>
      <c r="E2362" s="5" t="s">
        <v>80</v>
      </c>
      <c r="F2362" s="5">
        <v>29492</v>
      </c>
      <c r="G2362" s="5" t="s">
        <v>7171</v>
      </c>
      <c r="H2362" s="5" t="s">
        <v>7172</v>
      </c>
      <c r="I2362" s="5" t="s">
        <v>212</v>
      </c>
      <c r="N2362" s="5" t="s">
        <v>7173</v>
      </c>
      <c r="O2362" s="5">
        <v>1.43</v>
      </c>
      <c r="P2362" s="5">
        <v>1.49</v>
      </c>
      <c r="Q2362" s="5">
        <v>1.38</v>
      </c>
      <c r="R2362" s="5">
        <v>1.42</v>
      </c>
      <c r="S2362" s="5">
        <v>1.44</v>
      </c>
      <c r="T2362" s="5">
        <v>1.36</v>
      </c>
      <c r="V2362" s="5">
        <v>1.42</v>
      </c>
      <c r="Y2362" s="5">
        <v>417732</v>
      </c>
      <c r="Z2362" s="5">
        <v>598075.43000000005</v>
      </c>
      <c r="AA2362" s="5">
        <v>334</v>
      </c>
      <c r="AB2362" s="5" t="s">
        <v>85</v>
      </c>
      <c r="AC2362" s="5">
        <v>1</v>
      </c>
    </row>
    <row r="2363" spans="1:29" x14ac:dyDescent="0.3">
      <c r="A2363" s="34">
        <v>46274</v>
      </c>
      <c r="B2363" s="34">
        <v>46274</v>
      </c>
      <c r="C2363" s="5" t="s">
        <v>78</v>
      </c>
      <c r="D2363" s="5" t="s">
        <v>79</v>
      </c>
      <c r="E2363" s="5" t="s">
        <v>80</v>
      </c>
      <c r="F2363" s="5">
        <v>926</v>
      </c>
      <c r="G2363" s="5" t="s">
        <v>7174</v>
      </c>
      <c r="H2363" s="5" t="s">
        <v>7175</v>
      </c>
      <c r="I2363" s="5" t="s">
        <v>212</v>
      </c>
      <c r="N2363" s="5" t="s">
        <v>7176</v>
      </c>
      <c r="O2363" s="5">
        <v>975.8</v>
      </c>
      <c r="P2363" s="5">
        <v>1035.0999999999999</v>
      </c>
      <c r="Q2363" s="5">
        <v>969.6</v>
      </c>
      <c r="R2363" s="5">
        <v>1024.8499999999999</v>
      </c>
      <c r="S2363" s="5">
        <v>1030</v>
      </c>
      <c r="T2363" s="5">
        <v>965.8</v>
      </c>
      <c r="V2363" s="5">
        <v>1024.56</v>
      </c>
      <c r="Y2363" s="5">
        <v>161851</v>
      </c>
      <c r="Z2363" s="5">
        <v>164086987.90000001</v>
      </c>
      <c r="AA2363" s="5">
        <v>8400</v>
      </c>
      <c r="AB2363" s="5" t="s">
        <v>85</v>
      </c>
      <c r="AC2363" s="5">
        <v>1</v>
      </c>
    </row>
    <row r="2364" spans="1:29" x14ac:dyDescent="0.3">
      <c r="A2364" s="34">
        <v>46274</v>
      </c>
      <c r="B2364" s="34">
        <v>46274</v>
      </c>
      <c r="C2364" s="5" t="s">
        <v>78</v>
      </c>
      <c r="D2364" s="5" t="s">
        <v>79</v>
      </c>
      <c r="E2364" s="5" t="s">
        <v>80</v>
      </c>
      <c r="F2364" s="5">
        <v>17882</v>
      </c>
      <c r="G2364" s="5" t="s">
        <v>7177</v>
      </c>
      <c r="H2364" s="5" t="s">
        <v>7178</v>
      </c>
      <c r="I2364" s="5" t="s">
        <v>313</v>
      </c>
      <c r="N2364" s="5" t="s">
        <v>7179</v>
      </c>
      <c r="O2364" s="5">
        <v>1225</v>
      </c>
      <c r="P2364" s="5">
        <v>1247</v>
      </c>
      <c r="Q2364" s="5">
        <v>1212</v>
      </c>
      <c r="R2364" s="5">
        <v>1233.4000000000001</v>
      </c>
      <c r="S2364" s="5">
        <v>1232</v>
      </c>
      <c r="T2364" s="5">
        <v>1217.6500000000001</v>
      </c>
      <c r="V2364" s="5">
        <v>1233.4000000000001</v>
      </c>
      <c r="Y2364" s="5">
        <v>36300</v>
      </c>
      <c r="Z2364" s="5">
        <v>44669340</v>
      </c>
      <c r="AA2364" s="5">
        <v>393</v>
      </c>
      <c r="AB2364" s="5" t="s">
        <v>85</v>
      </c>
      <c r="AC2364" s="5">
        <v>75</v>
      </c>
    </row>
    <row r="2365" spans="1:29" x14ac:dyDescent="0.3">
      <c r="A2365" s="34">
        <v>46274</v>
      </c>
      <c r="B2365" s="34">
        <v>46274</v>
      </c>
      <c r="C2365" s="5" t="s">
        <v>78</v>
      </c>
      <c r="D2365" s="5" t="s">
        <v>79</v>
      </c>
      <c r="E2365" s="5" t="s">
        <v>80</v>
      </c>
      <c r="F2365" s="5">
        <v>10159</v>
      </c>
      <c r="G2365" s="5" t="s">
        <v>7180</v>
      </c>
      <c r="H2365" s="5" t="s">
        <v>7181</v>
      </c>
      <c r="I2365" s="5" t="s">
        <v>212</v>
      </c>
      <c r="N2365" s="5" t="s">
        <v>7182</v>
      </c>
      <c r="O2365" s="5">
        <v>53.16</v>
      </c>
      <c r="P2365" s="5">
        <v>53.97</v>
      </c>
      <c r="Q2365" s="5">
        <v>51.88</v>
      </c>
      <c r="R2365" s="5">
        <v>52.08</v>
      </c>
      <c r="S2365" s="5">
        <v>52.7</v>
      </c>
      <c r="T2365" s="5">
        <v>53.16</v>
      </c>
      <c r="V2365" s="5">
        <v>52.09</v>
      </c>
      <c r="Y2365" s="5">
        <v>18760</v>
      </c>
      <c r="Z2365" s="5">
        <v>987135.18</v>
      </c>
      <c r="AA2365" s="5">
        <v>604</v>
      </c>
      <c r="AB2365" s="5" t="s">
        <v>85</v>
      </c>
      <c r="AC2365" s="5">
        <v>1</v>
      </c>
    </row>
    <row r="2366" spans="1:29" x14ac:dyDescent="0.3">
      <c r="A2366" s="34">
        <v>46274</v>
      </c>
      <c r="B2366" s="34">
        <v>46274</v>
      </c>
      <c r="C2366" s="5" t="s">
        <v>78</v>
      </c>
      <c r="D2366" s="5" t="s">
        <v>79</v>
      </c>
      <c r="E2366" s="5" t="s">
        <v>80</v>
      </c>
      <c r="F2366" s="5">
        <v>14278</v>
      </c>
      <c r="G2366" s="5" t="s">
        <v>7183</v>
      </c>
      <c r="H2366" s="5" t="s">
        <v>7184</v>
      </c>
      <c r="I2366" s="5" t="s">
        <v>212</v>
      </c>
      <c r="N2366" s="5" t="s">
        <v>7185</v>
      </c>
      <c r="O2366" s="5">
        <v>413.6</v>
      </c>
      <c r="P2366" s="5">
        <v>422.5</v>
      </c>
      <c r="Q2366" s="5">
        <v>395.8</v>
      </c>
      <c r="R2366" s="5">
        <v>420.1</v>
      </c>
      <c r="S2366" s="5">
        <v>419.9</v>
      </c>
      <c r="T2366" s="5">
        <v>410.3</v>
      </c>
      <c r="V2366" s="5">
        <v>420.06</v>
      </c>
      <c r="Y2366" s="5">
        <v>41864</v>
      </c>
      <c r="Z2366" s="5">
        <v>17152596.399999999</v>
      </c>
      <c r="AA2366" s="5">
        <v>1789</v>
      </c>
      <c r="AB2366" s="5" t="s">
        <v>85</v>
      </c>
      <c r="AC2366" s="5">
        <v>1</v>
      </c>
    </row>
    <row r="2367" spans="1:29" x14ac:dyDescent="0.3">
      <c r="A2367" s="34">
        <v>46274</v>
      </c>
      <c r="B2367" s="34">
        <v>46274</v>
      </c>
      <c r="C2367" s="5" t="s">
        <v>78</v>
      </c>
      <c r="D2367" s="5" t="s">
        <v>79</v>
      </c>
      <c r="E2367" s="5" t="s">
        <v>80</v>
      </c>
      <c r="F2367" s="5">
        <v>30089</v>
      </c>
      <c r="G2367" s="5" t="s">
        <v>7186</v>
      </c>
      <c r="H2367" s="5" t="s">
        <v>7187</v>
      </c>
      <c r="I2367" s="5" t="s">
        <v>212</v>
      </c>
      <c r="N2367" s="5" t="s">
        <v>7188</v>
      </c>
      <c r="O2367" s="5">
        <v>127.2</v>
      </c>
      <c r="P2367" s="5">
        <v>127.9</v>
      </c>
      <c r="Q2367" s="5">
        <v>125.72</v>
      </c>
      <c r="R2367" s="5">
        <v>126.28</v>
      </c>
      <c r="S2367" s="5">
        <v>126.25</v>
      </c>
      <c r="T2367" s="5">
        <v>126.42</v>
      </c>
      <c r="V2367" s="5">
        <v>126.28</v>
      </c>
      <c r="Y2367" s="5">
        <v>241975</v>
      </c>
      <c r="Z2367" s="5">
        <v>30647988.43</v>
      </c>
      <c r="AA2367" s="5">
        <v>1929</v>
      </c>
      <c r="AB2367" s="5" t="s">
        <v>85</v>
      </c>
      <c r="AC2367" s="5">
        <v>1</v>
      </c>
    </row>
    <row r="2368" spans="1:29" x14ac:dyDescent="0.3">
      <c r="A2368" s="34">
        <v>46274</v>
      </c>
      <c r="B2368" s="34">
        <v>46274</v>
      </c>
      <c r="C2368" s="5" t="s">
        <v>78</v>
      </c>
      <c r="D2368" s="5" t="s">
        <v>79</v>
      </c>
      <c r="E2368" s="5" t="s">
        <v>80</v>
      </c>
      <c r="F2368" s="5">
        <v>13111</v>
      </c>
      <c r="G2368" s="5" t="s">
        <v>7189</v>
      </c>
      <c r="H2368" s="5" t="s">
        <v>7190</v>
      </c>
      <c r="I2368" s="5" t="s">
        <v>212</v>
      </c>
      <c r="N2368" s="5" t="s">
        <v>7191</v>
      </c>
      <c r="O2368" s="5">
        <v>45.1</v>
      </c>
      <c r="P2368" s="5">
        <v>48.89</v>
      </c>
      <c r="Q2368" s="5">
        <v>44</v>
      </c>
      <c r="R2368" s="5">
        <v>47.3</v>
      </c>
      <c r="S2368" s="5">
        <v>47.21</v>
      </c>
      <c r="T2368" s="5">
        <v>45</v>
      </c>
      <c r="V2368" s="5">
        <v>47.32</v>
      </c>
      <c r="Y2368" s="5">
        <v>353849</v>
      </c>
      <c r="Z2368" s="5">
        <v>16609438</v>
      </c>
      <c r="AA2368" s="5">
        <v>5019</v>
      </c>
      <c r="AB2368" s="5" t="s">
        <v>85</v>
      </c>
      <c r="AC2368" s="5">
        <v>1</v>
      </c>
    </row>
    <row r="2369" spans="1:29" x14ac:dyDescent="0.3">
      <c r="A2369" s="34">
        <v>46274</v>
      </c>
      <c r="B2369" s="34">
        <v>46274</v>
      </c>
      <c r="C2369" s="5" t="s">
        <v>78</v>
      </c>
      <c r="D2369" s="5" t="s">
        <v>79</v>
      </c>
      <c r="E2369" s="5" t="s">
        <v>80</v>
      </c>
      <c r="F2369" s="5">
        <v>2972</v>
      </c>
      <c r="G2369" s="5" t="s">
        <v>7192</v>
      </c>
      <c r="H2369" s="5" t="s">
        <v>7193</v>
      </c>
      <c r="I2369" s="5" t="s">
        <v>212</v>
      </c>
      <c r="N2369" s="5" t="s">
        <v>7194</v>
      </c>
      <c r="O2369" s="5">
        <v>176</v>
      </c>
      <c r="P2369" s="5">
        <v>176.99</v>
      </c>
      <c r="Q2369" s="5">
        <v>171.2</v>
      </c>
      <c r="R2369" s="5">
        <v>175.11</v>
      </c>
      <c r="S2369" s="5">
        <v>175</v>
      </c>
      <c r="T2369" s="5">
        <v>175.54</v>
      </c>
      <c r="V2369" s="5">
        <v>175.11</v>
      </c>
      <c r="Y2369" s="5">
        <v>324397</v>
      </c>
      <c r="Z2369" s="5">
        <v>56262681.560000002</v>
      </c>
      <c r="AA2369" s="5">
        <v>11512</v>
      </c>
      <c r="AB2369" s="5" t="s">
        <v>85</v>
      </c>
      <c r="AC2369" s="5">
        <v>1</v>
      </c>
    </row>
    <row r="2370" spans="1:29" x14ac:dyDescent="0.3">
      <c r="A2370" s="34">
        <v>46274</v>
      </c>
      <c r="B2370" s="34">
        <v>46274</v>
      </c>
      <c r="C2370" s="5" t="s">
        <v>78</v>
      </c>
      <c r="D2370" s="5" t="s">
        <v>79</v>
      </c>
      <c r="E2370" s="5" t="s">
        <v>80</v>
      </c>
      <c r="F2370" s="5">
        <v>20110</v>
      </c>
      <c r="G2370" s="5" t="s">
        <v>7195</v>
      </c>
      <c r="H2370" s="5" t="s">
        <v>7196</v>
      </c>
      <c r="I2370" s="5" t="s">
        <v>212</v>
      </c>
      <c r="N2370" s="5" t="s">
        <v>7197</v>
      </c>
      <c r="O2370" s="5">
        <v>9.14</v>
      </c>
      <c r="P2370" s="5">
        <v>10.49</v>
      </c>
      <c r="Q2370" s="5">
        <v>9.06</v>
      </c>
      <c r="R2370" s="5">
        <v>9.5399999999999991</v>
      </c>
      <c r="S2370" s="5">
        <v>9.56</v>
      </c>
      <c r="T2370" s="5">
        <v>9.14</v>
      </c>
      <c r="V2370" s="5">
        <v>9.5399999999999991</v>
      </c>
      <c r="Y2370" s="5">
        <v>46749101</v>
      </c>
      <c r="Z2370" s="5">
        <v>464178849.38</v>
      </c>
      <c r="AA2370" s="5">
        <v>149456</v>
      </c>
      <c r="AB2370" s="5" t="s">
        <v>85</v>
      </c>
      <c r="AC2370" s="5">
        <v>1</v>
      </c>
    </row>
    <row r="2371" spans="1:29" x14ac:dyDescent="0.3">
      <c r="A2371" s="34">
        <v>46274</v>
      </c>
      <c r="B2371" s="34">
        <v>46274</v>
      </c>
      <c r="C2371" s="5" t="s">
        <v>78</v>
      </c>
      <c r="D2371" s="5" t="s">
        <v>79</v>
      </c>
      <c r="E2371" s="5" t="s">
        <v>80</v>
      </c>
      <c r="F2371" s="5">
        <v>2493</v>
      </c>
      <c r="G2371" s="5" t="s">
        <v>7198</v>
      </c>
      <c r="H2371" s="5" t="s">
        <v>7199</v>
      </c>
      <c r="I2371" s="5" t="s">
        <v>212</v>
      </c>
      <c r="N2371" s="5" t="s">
        <v>7200</v>
      </c>
      <c r="O2371" s="5">
        <v>140.54</v>
      </c>
      <c r="P2371" s="5">
        <v>140.82</v>
      </c>
      <c r="Q2371" s="5">
        <v>139.27000000000001</v>
      </c>
      <c r="R2371" s="5">
        <v>139.97999999999999</v>
      </c>
      <c r="S2371" s="5">
        <v>140.38</v>
      </c>
      <c r="T2371" s="5">
        <v>140.54</v>
      </c>
      <c r="V2371" s="5">
        <v>139.97999999999999</v>
      </c>
      <c r="Y2371" s="5">
        <v>724013</v>
      </c>
      <c r="Z2371" s="5">
        <v>101490212.54000001</v>
      </c>
      <c r="AA2371" s="5">
        <v>3216</v>
      </c>
      <c r="AB2371" s="5" t="s">
        <v>85</v>
      </c>
      <c r="AC2371" s="5">
        <v>1</v>
      </c>
    </row>
    <row r="2372" spans="1:29" x14ac:dyDescent="0.3">
      <c r="A2372" s="34">
        <v>46274</v>
      </c>
      <c r="B2372" s="34">
        <v>46274</v>
      </c>
      <c r="C2372" s="5" t="s">
        <v>78</v>
      </c>
      <c r="D2372" s="5" t="s">
        <v>79</v>
      </c>
      <c r="E2372" s="5" t="s">
        <v>80</v>
      </c>
      <c r="F2372" s="5">
        <v>2496</v>
      </c>
      <c r="G2372" s="5" t="s">
        <v>7201</v>
      </c>
      <c r="H2372" s="5" t="s">
        <v>7202</v>
      </c>
      <c r="I2372" s="5" t="s">
        <v>212</v>
      </c>
      <c r="N2372" s="5" t="s">
        <v>7203</v>
      </c>
      <c r="O2372" s="5">
        <v>18.29</v>
      </c>
      <c r="P2372" s="5">
        <v>18.420000000000002</v>
      </c>
      <c r="Q2372" s="5">
        <v>17.809999999999999</v>
      </c>
      <c r="R2372" s="5">
        <v>17.93</v>
      </c>
      <c r="S2372" s="5">
        <v>17.809999999999999</v>
      </c>
      <c r="T2372" s="5">
        <v>18.29</v>
      </c>
      <c r="V2372" s="5">
        <v>17.93</v>
      </c>
      <c r="Y2372" s="5">
        <v>288440</v>
      </c>
      <c r="Z2372" s="5">
        <v>5176082.96</v>
      </c>
      <c r="AA2372" s="5">
        <v>794</v>
      </c>
      <c r="AB2372" s="5" t="s">
        <v>85</v>
      </c>
      <c r="AC2372" s="5">
        <v>1</v>
      </c>
    </row>
    <row r="2373" spans="1:29" x14ac:dyDescent="0.3">
      <c r="A2373" s="34">
        <v>46274</v>
      </c>
      <c r="B2373" s="34">
        <v>46274</v>
      </c>
      <c r="C2373" s="5" t="s">
        <v>78</v>
      </c>
      <c r="D2373" s="5" t="s">
        <v>79</v>
      </c>
      <c r="E2373" s="5" t="s">
        <v>80</v>
      </c>
      <c r="F2373" s="5">
        <v>18211</v>
      </c>
      <c r="G2373" s="5" t="s">
        <v>7204</v>
      </c>
      <c r="H2373" s="5" t="s">
        <v>7205</v>
      </c>
      <c r="I2373" s="5" t="s">
        <v>234</v>
      </c>
      <c r="N2373" s="5" t="s">
        <v>7206</v>
      </c>
      <c r="O2373" s="5">
        <v>80.5</v>
      </c>
      <c r="P2373" s="5">
        <v>82.5</v>
      </c>
      <c r="Q2373" s="5">
        <v>80.5</v>
      </c>
      <c r="R2373" s="5">
        <v>81.86</v>
      </c>
      <c r="S2373" s="5">
        <v>80.599999999999994</v>
      </c>
      <c r="T2373" s="5">
        <v>82.5</v>
      </c>
      <c r="V2373" s="5">
        <v>81.86</v>
      </c>
      <c r="Y2373" s="5">
        <v>3456</v>
      </c>
      <c r="Z2373" s="5">
        <v>282411.3</v>
      </c>
      <c r="AA2373" s="5">
        <v>11</v>
      </c>
      <c r="AB2373" s="5" t="s">
        <v>85</v>
      </c>
      <c r="AC2373" s="5">
        <v>1</v>
      </c>
    </row>
    <row r="2374" spans="1:29" x14ac:dyDescent="0.3">
      <c r="A2374" s="34">
        <v>46274</v>
      </c>
      <c r="B2374" s="34">
        <v>46274</v>
      </c>
      <c r="C2374" s="5" t="s">
        <v>78</v>
      </c>
      <c r="D2374" s="5" t="s">
        <v>79</v>
      </c>
      <c r="E2374" s="5" t="s">
        <v>80</v>
      </c>
      <c r="F2374" s="5">
        <v>24961</v>
      </c>
      <c r="G2374" s="5" t="s">
        <v>7207</v>
      </c>
      <c r="H2374" s="5" t="s">
        <v>7208</v>
      </c>
      <c r="I2374" s="5" t="s">
        <v>212</v>
      </c>
      <c r="N2374" s="5" t="s">
        <v>7209</v>
      </c>
      <c r="O2374" s="5">
        <v>233.43</v>
      </c>
      <c r="P2374" s="5">
        <v>233.52</v>
      </c>
      <c r="Q2374" s="5">
        <v>229</v>
      </c>
      <c r="R2374" s="5">
        <v>229.65</v>
      </c>
      <c r="S2374" s="5">
        <v>231</v>
      </c>
      <c r="T2374" s="5">
        <v>233.43</v>
      </c>
      <c r="V2374" s="5">
        <v>229.64</v>
      </c>
      <c r="Y2374" s="5">
        <v>89252</v>
      </c>
      <c r="Z2374" s="5">
        <v>20534040.77</v>
      </c>
      <c r="AA2374" s="5">
        <v>2841</v>
      </c>
      <c r="AB2374" s="5" t="s">
        <v>85</v>
      </c>
      <c r="AC2374" s="5">
        <v>1</v>
      </c>
    </row>
    <row r="2375" spans="1:29" x14ac:dyDescent="0.3">
      <c r="A2375" s="34">
        <v>46274</v>
      </c>
      <c r="B2375" s="34">
        <v>46274</v>
      </c>
      <c r="C2375" s="5" t="s">
        <v>78</v>
      </c>
      <c r="D2375" s="5" t="s">
        <v>79</v>
      </c>
      <c r="E2375" s="5" t="s">
        <v>80</v>
      </c>
      <c r="F2375" s="5">
        <v>10768</v>
      </c>
      <c r="G2375" s="5" t="s">
        <v>7210</v>
      </c>
      <c r="H2375" s="5" t="s">
        <v>7211</v>
      </c>
      <c r="I2375" s="5" t="s">
        <v>212</v>
      </c>
      <c r="N2375" s="5" t="s">
        <v>7212</v>
      </c>
      <c r="O2375" s="5">
        <v>531</v>
      </c>
      <c r="P2375" s="5">
        <v>553</v>
      </c>
      <c r="Q2375" s="5">
        <v>522.20000000000005</v>
      </c>
      <c r="R2375" s="5">
        <v>540.29999999999995</v>
      </c>
      <c r="S2375" s="5">
        <v>538.75</v>
      </c>
      <c r="T2375" s="5">
        <v>530.95000000000005</v>
      </c>
      <c r="V2375" s="5">
        <v>540.32000000000005</v>
      </c>
      <c r="Y2375" s="5">
        <v>79289</v>
      </c>
      <c r="Z2375" s="5">
        <v>43103575.850000001</v>
      </c>
      <c r="AA2375" s="5">
        <v>2868</v>
      </c>
      <c r="AB2375" s="5" t="s">
        <v>85</v>
      </c>
      <c r="AC2375" s="5">
        <v>1</v>
      </c>
    </row>
    <row r="2376" spans="1:29" x14ac:dyDescent="0.3">
      <c r="A2376" s="34">
        <v>46274</v>
      </c>
      <c r="B2376" s="34">
        <v>46274</v>
      </c>
      <c r="C2376" s="5" t="s">
        <v>78</v>
      </c>
      <c r="D2376" s="5" t="s">
        <v>79</v>
      </c>
      <c r="E2376" s="5" t="s">
        <v>80</v>
      </c>
      <c r="F2376" s="5">
        <v>764818</v>
      </c>
      <c r="G2376" s="5" t="s">
        <v>7213</v>
      </c>
      <c r="H2376" s="5" t="s">
        <v>7214</v>
      </c>
      <c r="I2376" s="5" t="s">
        <v>212</v>
      </c>
      <c r="N2376" s="5" t="s">
        <v>7215</v>
      </c>
      <c r="O2376" s="5">
        <v>127.75</v>
      </c>
      <c r="P2376" s="5">
        <v>129.29</v>
      </c>
      <c r="Q2376" s="5">
        <v>125.94</v>
      </c>
      <c r="R2376" s="5">
        <v>126.65</v>
      </c>
      <c r="S2376" s="5">
        <v>126</v>
      </c>
      <c r="T2376" s="5">
        <v>128.38</v>
      </c>
      <c r="V2376" s="5">
        <v>126.63</v>
      </c>
      <c r="Y2376" s="5">
        <v>59102</v>
      </c>
      <c r="Z2376" s="5">
        <v>7533413.3300000001</v>
      </c>
      <c r="AA2376" s="5">
        <v>1110</v>
      </c>
      <c r="AB2376" s="5" t="s">
        <v>85</v>
      </c>
      <c r="AC2376" s="5">
        <v>1</v>
      </c>
    </row>
    <row r="2377" spans="1:29" x14ac:dyDescent="0.3">
      <c r="A2377" s="34">
        <v>46274</v>
      </c>
      <c r="B2377" s="34">
        <v>46274</v>
      </c>
      <c r="C2377" s="5" t="s">
        <v>78</v>
      </c>
      <c r="D2377" s="5" t="s">
        <v>79</v>
      </c>
      <c r="E2377" s="5" t="s">
        <v>80</v>
      </c>
      <c r="F2377" s="5">
        <v>14346</v>
      </c>
      <c r="G2377" s="5" t="s">
        <v>7216</v>
      </c>
      <c r="H2377" s="5" t="s">
        <v>7217</v>
      </c>
      <c r="I2377" s="5" t="s">
        <v>212</v>
      </c>
      <c r="N2377" s="5" t="s">
        <v>7218</v>
      </c>
      <c r="O2377" s="5">
        <v>5.09</v>
      </c>
      <c r="P2377" s="5">
        <v>5.17</v>
      </c>
      <c r="Q2377" s="5">
        <v>5.0199999999999996</v>
      </c>
      <c r="R2377" s="5">
        <v>5.12</v>
      </c>
      <c r="S2377" s="5">
        <v>5.17</v>
      </c>
      <c r="T2377" s="5">
        <v>5.1100000000000003</v>
      </c>
      <c r="V2377" s="5">
        <v>5.13</v>
      </c>
      <c r="Y2377" s="5">
        <v>107809</v>
      </c>
      <c r="Z2377" s="5">
        <v>549378.1</v>
      </c>
      <c r="AA2377" s="5">
        <v>491</v>
      </c>
      <c r="AB2377" s="5" t="s">
        <v>85</v>
      </c>
      <c r="AC2377" s="5">
        <v>1</v>
      </c>
    </row>
    <row r="2378" spans="1:29" x14ac:dyDescent="0.3">
      <c r="A2378" s="34">
        <v>46274</v>
      </c>
      <c r="B2378" s="34">
        <v>46274</v>
      </c>
      <c r="C2378" s="5" t="s">
        <v>78</v>
      </c>
      <c r="D2378" s="5" t="s">
        <v>79</v>
      </c>
      <c r="E2378" s="5" t="s">
        <v>80</v>
      </c>
      <c r="F2378" s="5">
        <v>19931</v>
      </c>
      <c r="G2378" s="5" t="s">
        <v>7219</v>
      </c>
      <c r="H2378" s="5" t="s">
        <v>7220</v>
      </c>
      <c r="I2378" s="5" t="s">
        <v>212</v>
      </c>
      <c r="N2378" s="5" t="s">
        <v>7221</v>
      </c>
      <c r="O2378" s="5">
        <v>4191.1000000000004</v>
      </c>
      <c r="P2378" s="5">
        <v>4201.3999999999996</v>
      </c>
      <c r="Q2378" s="5">
        <v>4141.5</v>
      </c>
      <c r="R2378" s="5">
        <v>4153.5</v>
      </c>
      <c r="S2378" s="5">
        <v>4158.2</v>
      </c>
      <c r="T2378" s="5">
        <v>4198.7</v>
      </c>
      <c r="V2378" s="5">
        <v>4153.3599999999997</v>
      </c>
      <c r="Y2378" s="5">
        <v>4202</v>
      </c>
      <c r="Z2378" s="5">
        <v>17502244.399999999</v>
      </c>
      <c r="AA2378" s="5">
        <v>1198</v>
      </c>
      <c r="AB2378" s="5" t="s">
        <v>85</v>
      </c>
      <c r="AC2378" s="5">
        <v>1</v>
      </c>
    </row>
    <row r="2379" spans="1:29" x14ac:dyDescent="0.3">
      <c r="A2379" s="34">
        <v>46274</v>
      </c>
      <c r="B2379" s="34">
        <v>46274</v>
      </c>
      <c r="C2379" s="5" t="s">
        <v>78</v>
      </c>
      <c r="D2379" s="5" t="s">
        <v>79</v>
      </c>
      <c r="E2379" s="5" t="s">
        <v>80</v>
      </c>
      <c r="F2379" s="5">
        <v>759569</v>
      </c>
      <c r="G2379" s="5" t="s">
        <v>7222</v>
      </c>
      <c r="H2379" s="5" t="s">
        <v>7223</v>
      </c>
      <c r="I2379" s="5" t="s">
        <v>212</v>
      </c>
      <c r="N2379" s="5" t="s">
        <v>7224</v>
      </c>
      <c r="O2379" s="5">
        <v>590</v>
      </c>
      <c r="P2379" s="5">
        <v>593.85</v>
      </c>
      <c r="Q2379" s="5">
        <v>582.20000000000005</v>
      </c>
      <c r="R2379" s="5">
        <v>586.29999999999995</v>
      </c>
      <c r="S2379" s="5">
        <v>585</v>
      </c>
      <c r="T2379" s="5">
        <v>589.85</v>
      </c>
      <c r="V2379" s="5">
        <v>586.48</v>
      </c>
      <c r="Y2379" s="5">
        <v>44801</v>
      </c>
      <c r="Z2379" s="5">
        <v>26420942.449999999</v>
      </c>
      <c r="AA2379" s="5">
        <v>3436</v>
      </c>
      <c r="AB2379" s="5" t="s">
        <v>85</v>
      </c>
      <c r="AC2379" s="5">
        <v>1</v>
      </c>
    </row>
    <row r="2380" spans="1:29" x14ac:dyDescent="0.3">
      <c r="A2380" s="34">
        <v>46274</v>
      </c>
      <c r="B2380" s="34">
        <v>46274</v>
      </c>
      <c r="C2380" s="5" t="s">
        <v>78</v>
      </c>
      <c r="D2380" s="5" t="s">
        <v>79</v>
      </c>
      <c r="E2380" s="5" t="s">
        <v>80</v>
      </c>
      <c r="F2380" s="5">
        <v>2979</v>
      </c>
      <c r="G2380" s="5" t="s">
        <v>7225</v>
      </c>
      <c r="H2380" s="5" t="s">
        <v>7226</v>
      </c>
      <c r="I2380" s="5" t="s">
        <v>212</v>
      </c>
      <c r="N2380" s="5" t="s">
        <v>7227</v>
      </c>
      <c r="O2380" s="5">
        <v>15.54</v>
      </c>
      <c r="P2380" s="5">
        <v>16.29</v>
      </c>
      <c r="Q2380" s="5">
        <v>15.53</v>
      </c>
      <c r="R2380" s="5">
        <v>15.53</v>
      </c>
      <c r="S2380" s="5">
        <v>15.53</v>
      </c>
      <c r="T2380" s="5">
        <v>15.93</v>
      </c>
      <c r="V2380" s="5">
        <v>15.53</v>
      </c>
      <c r="Y2380" s="5">
        <v>2934</v>
      </c>
      <c r="Z2380" s="5">
        <v>46084.95</v>
      </c>
      <c r="AA2380" s="5">
        <v>49</v>
      </c>
      <c r="AB2380" s="5" t="s">
        <v>85</v>
      </c>
      <c r="AC2380" s="5">
        <v>1</v>
      </c>
    </row>
    <row r="2381" spans="1:29" x14ac:dyDescent="0.3">
      <c r="A2381" s="34">
        <v>46274</v>
      </c>
      <c r="B2381" s="34">
        <v>46274</v>
      </c>
      <c r="C2381" s="5" t="s">
        <v>78</v>
      </c>
      <c r="D2381" s="5" t="s">
        <v>79</v>
      </c>
      <c r="E2381" s="5" t="s">
        <v>80</v>
      </c>
      <c r="F2381" s="5">
        <v>25386</v>
      </c>
      <c r="G2381" s="5" t="s">
        <v>7228</v>
      </c>
      <c r="H2381" s="5" t="s">
        <v>7229</v>
      </c>
      <c r="I2381" s="5" t="s">
        <v>313</v>
      </c>
      <c r="N2381" s="5" t="s">
        <v>7230</v>
      </c>
      <c r="O2381" s="5">
        <v>367.05</v>
      </c>
      <c r="P2381" s="5">
        <v>375.05</v>
      </c>
      <c r="Q2381" s="5">
        <v>355.25</v>
      </c>
      <c r="R2381" s="5">
        <v>373.05</v>
      </c>
      <c r="S2381" s="5">
        <v>371</v>
      </c>
      <c r="T2381" s="5">
        <v>369.9</v>
      </c>
      <c r="V2381" s="5">
        <v>373.05</v>
      </c>
      <c r="Y2381" s="5">
        <v>28800</v>
      </c>
      <c r="Z2381" s="5">
        <v>10515410</v>
      </c>
      <c r="AA2381" s="5">
        <v>115</v>
      </c>
      <c r="AB2381" s="5" t="s">
        <v>85</v>
      </c>
      <c r="AC2381" s="5">
        <v>200</v>
      </c>
    </row>
    <row r="2382" spans="1:29" x14ac:dyDescent="0.3">
      <c r="A2382" s="34">
        <v>46274</v>
      </c>
      <c r="B2382" s="34">
        <v>46274</v>
      </c>
      <c r="C2382" s="5" t="s">
        <v>78</v>
      </c>
      <c r="D2382" s="5" t="s">
        <v>79</v>
      </c>
      <c r="E2382" s="5" t="s">
        <v>80</v>
      </c>
      <c r="F2382" s="5">
        <v>12643</v>
      </c>
      <c r="G2382" s="5" t="s">
        <v>7231</v>
      </c>
      <c r="H2382" s="5" t="s">
        <v>7232</v>
      </c>
      <c r="I2382" s="5" t="s">
        <v>234</v>
      </c>
      <c r="N2382" s="5" t="s">
        <v>7233</v>
      </c>
      <c r="O2382" s="5">
        <v>2.41</v>
      </c>
      <c r="P2382" s="5">
        <v>2.4900000000000002</v>
      </c>
      <c r="Q2382" s="5">
        <v>2.39</v>
      </c>
      <c r="R2382" s="5">
        <v>2.4500000000000002</v>
      </c>
      <c r="S2382" s="5">
        <v>2.4700000000000002</v>
      </c>
      <c r="T2382" s="5">
        <v>2.44</v>
      </c>
      <c r="V2382" s="5">
        <v>2.4500000000000002</v>
      </c>
      <c r="Y2382" s="5">
        <v>387005</v>
      </c>
      <c r="Z2382" s="5">
        <v>938056.87</v>
      </c>
      <c r="AA2382" s="5">
        <v>358</v>
      </c>
      <c r="AB2382" s="5" t="s">
        <v>85</v>
      </c>
      <c r="AC2382" s="5">
        <v>1</v>
      </c>
    </row>
    <row r="2383" spans="1:29" x14ac:dyDescent="0.3">
      <c r="A2383" s="34">
        <v>46274</v>
      </c>
      <c r="B2383" s="34">
        <v>46274</v>
      </c>
      <c r="C2383" s="5" t="s">
        <v>78</v>
      </c>
      <c r="D2383" s="5" t="s">
        <v>79</v>
      </c>
      <c r="E2383" s="5" t="s">
        <v>80</v>
      </c>
      <c r="F2383" s="5">
        <v>2514</v>
      </c>
      <c r="G2383" s="5" t="s">
        <v>7234</v>
      </c>
      <c r="H2383" s="5" t="s">
        <v>7235</v>
      </c>
      <c r="I2383" s="5" t="s">
        <v>212</v>
      </c>
      <c r="N2383" s="5" t="s">
        <v>7236</v>
      </c>
      <c r="O2383" s="5">
        <v>37.24</v>
      </c>
      <c r="P2383" s="5">
        <v>37.24</v>
      </c>
      <c r="Q2383" s="5">
        <v>35.1</v>
      </c>
      <c r="R2383" s="5">
        <v>35.83</v>
      </c>
      <c r="S2383" s="5">
        <v>35.6</v>
      </c>
      <c r="T2383" s="5">
        <v>36.21</v>
      </c>
      <c r="V2383" s="5">
        <v>35.79</v>
      </c>
      <c r="Y2383" s="5">
        <v>21502</v>
      </c>
      <c r="Z2383" s="5">
        <v>767999.24</v>
      </c>
      <c r="AA2383" s="5">
        <v>593</v>
      </c>
      <c r="AB2383" s="5" t="s">
        <v>85</v>
      </c>
      <c r="AC2383" s="5">
        <v>1</v>
      </c>
    </row>
    <row r="2384" spans="1:29" x14ac:dyDescent="0.3">
      <c r="A2384" s="34">
        <v>46274</v>
      </c>
      <c r="B2384" s="34">
        <v>46274</v>
      </c>
      <c r="C2384" s="5" t="s">
        <v>78</v>
      </c>
      <c r="D2384" s="5" t="s">
        <v>79</v>
      </c>
      <c r="E2384" s="5" t="s">
        <v>80</v>
      </c>
      <c r="F2384" s="5">
        <v>471</v>
      </c>
      <c r="G2384" s="5" t="s">
        <v>7237</v>
      </c>
      <c r="H2384" s="5" t="s">
        <v>7238</v>
      </c>
      <c r="I2384" s="5" t="s">
        <v>212</v>
      </c>
      <c r="N2384" s="5" t="s">
        <v>7239</v>
      </c>
      <c r="O2384" s="5">
        <v>20.11</v>
      </c>
      <c r="P2384" s="5">
        <v>20.34</v>
      </c>
      <c r="Q2384" s="5">
        <v>20.100000000000001</v>
      </c>
      <c r="R2384" s="5">
        <v>20.149999999999999</v>
      </c>
      <c r="S2384" s="5">
        <v>20.12</v>
      </c>
      <c r="T2384" s="5">
        <v>20.29</v>
      </c>
      <c r="V2384" s="5">
        <v>20.149999999999999</v>
      </c>
      <c r="Y2384" s="5">
        <v>77391</v>
      </c>
      <c r="Z2384" s="5">
        <v>1563443.3</v>
      </c>
      <c r="AA2384" s="5">
        <v>471</v>
      </c>
      <c r="AB2384" s="5" t="s">
        <v>85</v>
      </c>
      <c r="AC2384" s="5">
        <v>1</v>
      </c>
    </row>
    <row r="2385" spans="1:29" x14ac:dyDescent="0.3">
      <c r="A2385" s="34">
        <v>46274</v>
      </c>
      <c r="B2385" s="34">
        <v>46274</v>
      </c>
      <c r="C2385" s="5" t="s">
        <v>78</v>
      </c>
      <c r="D2385" s="5" t="s">
        <v>79</v>
      </c>
      <c r="E2385" s="5" t="s">
        <v>80</v>
      </c>
      <c r="F2385" s="5">
        <v>756802</v>
      </c>
      <c r="G2385" s="5" t="s">
        <v>7240</v>
      </c>
      <c r="H2385" s="5" t="s">
        <v>7241</v>
      </c>
      <c r="I2385" s="5" t="s">
        <v>212</v>
      </c>
      <c r="N2385" s="5" t="s">
        <v>7242</v>
      </c>
      <c r="O2385" s="5">
        <v>274.8</v>
      </c>
      <c r="P2385" s="5">
        <v>287.75</v>
      </c>
      <c r="Q2385" s="5">
        <v>273</v>
      </c>
      <c r="R2385" s="5">
        <v>282.75</v>
      </c>
      <c r="S2385" s="5">
        <v>281.75</v>
      </c>
      <c r="T2385" s="5">
        <v>274.8</v>
      </c>
      <c r="V2385" s="5">
        <v>282.73</v>
      </c>
      <c r="Y2385" s="5">
        <v>704387</v>
      </c>
      <c r="Z2385" s="5">
        <v>198041921</v>
      </c>
      <c r="AA2385" s="5">
        <v>13592</v>
      </c>
      <c r="AB2385" s="5" t="s">
        <v>85</v>
      </c>
      <c r="AC2385" s="5">
        <v>1</v>
      </c>
    </row>
    <row r="2386" spans="1:29" x14ac:dyDescent="0.3">
      <c r="A2386" s="34">
        <v>46274</v>
      </c>
      <c r="B2386" s="34">
        <v>46274</v>
      </c>
      <c r="C2386" s="5" t="s">
        <v>78</v>
      </c>
      <c r="D2386" s="5" t="s">
        <v>79</v>
      </c>
      <c r="E2386" s="5" t="s">
        <v>80</v>
      </c>
      <c r="F2386" s="5">
        <v>22914</v>
      </c>
      <c r="G2386" s="5" t="s">
        <v>7243</v>
      </c>
      <c r="H2386" s="5" t="s">
        <v>7244</v>
      </c>
      <c r="I2386" s="5" t="s">
        <v>392</v>
      </c>
      <c r="N2386" s="5" t="s">
        <v>7245</v>
      </c>
      <c r="O2386" s="5">
        <v>77.95</v>
      </c>
      <c r="P2386" s="5">
        <v>79.400000000000006</v>
      </c>
      <c r="Q2386" s="5">
        <v>77.95</v>
      </c>
      <c r="R2386" s="5">
        <v>79.2</v>
      </c>
      <c r="S2386" s="5">
        <v>77.95</v>
      </c>
      <c r="T2386" s="5">
        <v>79.5</v>
      </c>
      <c r="V2386" s="5">
        <v>79.2</v>
      </c>
      <c r="Y2386" s="5">
        <v>13100</v>
      </c>
      <c r="Z2386" s="5">
        <v>1023400</v>
      </c>
      <c r="AA2386" s="5">
        <v>38</v>
      </c>
      <c r="AB2386" s="5" t="s">
        <v>85</v>
      </c>
      <c r="AC2386" s="5">
        <v>100</v>
      </c>
    </row>
    <row r="2387" spans="1:29" x14ac:dyDescent="0.3">
      <c r="A2387" s="34">
        <v>46274</v>
      </c>
      <c r="B2387" s="34">
        <v>46274</v>
      </c>
      <c r="C2387" s="5" t="s">
        <v>78</v>
      </c>
      <c r="D2387" s="5" t="s">
        <v>79</v>
      </c>
      <c r="E2387" s="5" t="s">
        <v>80</v>
      </c>
      <c r="F2387" s="5">
        <v>765145</v>
      </c>
      <c r="G2387" s="5" t="s">
        <v>7246</v>
      </c>
      <c r="H2387" s="5" t="s">
        <v>7247</v>
      </c>
      <c r="I2387" s="5" t="s">
        <v>212</v>
      </c>
      <c r="N2387" s="5" t="s">
        <v>7248</v>
      </c>
      <c r="O2387" s="5">
        <v>60</v>
      </c>
      <c r="P2387" s="5">
        <v>61</v>
      </c>
      <c r="Q2387" s="5">
        <v>59.51</v>
      </c>
      <c r="R2387" s="5">
        <v>60.86</v>
      </c>
      <c r="S2387" s="5">
        <v>61</v>
      </c>
      <c r="T2387" s="5">
        <v>61</v>
      </c>
      <c r="V2387" s="5">
        <v>60.8</v>
      </c>
      <c r="Y2387" s="5">
        <v>478</v>
      </c>
      <c r="Z2387" s="5">
        <v>28967.18</v>
      </c>
      <c r="AA2387" s="5">
        <v>22</v>
      </c>
      <c r="AB2387" s="5" t="s">
        <v>85</v>
      </c>
      <c r="AC2387" s="5">
        <v>1</v>
      </c>
    </row>
    <row r="2388" spans="1:29" x14ac:dyDescent="0.3">
      <c r="A2388" s="34">
        <v>46274</v>
      </c>
      <c r="B2388" s="34">
        <v>46274</v>
      </c>
      <c r="C2388" s="5" t="s">
        <v>78</v>
      </c>
      <c r="D2388" s="5" t="s">
        <v>79</v>
      </c>
      <c r="E2388" s="5" t="s">
        <v>80</v>
      </c>
      <c r="F2388" s="5">
        <v>25312</v>
      </c>
      <c r="G2388" s="5" t="s">
        <v>7249</v>
      </c>
      <c r="H2388" s="5" t="s">
        <v>7250</v>
      </c>
      <c r="I2388" s="5" t="s">
        <v>212</v>
      </c>
      <c r="N2388" s="5" t="s">
        <v>7251</v>
      </c>
      <c r="O2388" s="5">
        <v>628</v>
      </c>
      <c r="P2388" s="5">
        <v>628.85</v>
      </c>
      <c r="Q2388" s="5">
        <v>609.29999999999995</v>
      </c>
      <c r="R2388" s="5">
        <v>611.45000000000005</v>
      </c>
      <c r="S2388" s="5">
        <v>610.45000000000005</v>
      </c>
      <c r="T2388" s="5">
        <v>627.45000000000005</v>
      </c>
      <c r="V2388" s="5">
        <v>611.38</v>
      </c>
      <c r="Y2388" s="5">
        <v>402965</v>
      </c>
      <c r="Z2388" s="5">
        <v>247236489</v>
      </c>
      <c r="AA2388" s="5">
        <v>21176</v>
      </c>
      <c r="AB2388" s="5" t="s">
        <v>85</v>
      </c>
      <c r="AC2388" s="5">
        <v>1</v>
      </c>
    </row>
    <row r="2389" spans="1:29" x14ac:dyDescent="0.3">
      <c r="A2389" s="34">
        <v>46274</v>
      </c>
      <c r="B2389" s="34">
        <v>46274</v>
      </c>
      <c r="C2389" s="5" t="s">
        <v>78</v>
      </c>
      <c r="D2389" s="5" t="s">
        <v>79</v>
      </c>
      <c r="E2389" s="5" t="s">
        <v>80</v>
      </c>
      <c r="F2389" s="5">
        <v>764845</v>
      </c>
      <c r="G2389" s="5" t="s">
        <v>7252</v>
      </c>
      <c r="H2389" s="5" t="s">
        <v>7253</v>
      </c>
      <c r="I2389" s="5" t="s">
        <v>212</v>
      </c>
      <c r="N2389" s="5" t="s">
        <v>7254</v>
      </c>
      <c r="O2389" s="5">
        <v>144.99</v>
      </c>
      <c r="P2389" s="5">
        <v>145.97</v>
      </c>
      <c r="Q2389" s="5">
        <v>142.21</v>
      </c>
      <c r="R2389" s="5">
        <v>143.02000000000001</v>
      </c>
      <c r="S2389" s="5">
        <v>142.55000000000001</v>
      </c>
      <c r="T2389" s="5">
        <v>144.12</v>
      </c>
      <c r="V2389" s="5">
        <v>143.16</v>
      </c>
      <c r="Y2389" s="5">
        <v>24202</v>
      </c>
      <c r="Z2389" s="5">
        <v>3470108.24</v>
      </c>
      <c r="AA2389" s="5">
        <v>805</v>
      </c>
      <c r="AB2389" s="5" t="s">
        <v>85</v>
      </c>
      <c r="AC2389" s="5">
        <v>1</v>
      </c>
    </row>
    <row r="2390" spans="1:29" x14ac:dyDescent="0.3">
      <c r="A2390" s="34">
        <v>46274</v>
      </c>
      <c r="B2390" s="34">
        <v>46274</v>
      </c>
      <c r="C2390" s="5" t="s">
        <v>78</v>
      </c>
      <c r="D2390" s="5" t="s">
        <v>79</v>
      </c>
      <c r="E2390" s="5" t="s">
        <v>80</v>
      </c>
      <c r="F2390" s="5">
        <v>29665</v>
      </c>
      <c r="G2390" s="5" t="s">
        <v>7255</v>
      </c>
      <c r="H2390" s="5" t="s">
        <v>7256</v>
      </c>
      <c r="I2390" s="5" t="s">
        <v>392</v>
      </c>
      <c r="N2390" s="5" t="s">
        <v>7257</v>
      </c>
      <c r="O2390" s="5">
        <v>86</v>
      </c>
      <c r="P2390" s="5">
        <v>91.25</v>
      </c>
      <c r="Q2390" s="5">
        <v>86</v>
      </c>
      <c r="R2390" s="5">
        <v>91.25</v>
      </c>
      <c r="S2390" s="5">
        <v>91.25</v>
      </c>
      <c r="T2390" s="5">
        <v>86.95</v>
      </c>
      <c r="V2390" s="5">
        <v>91.25</v>
      </c>
      <c r="Y2390" s="5">
        <v>80000</v>
      </c>
      <c r="Z2390" s="5">
        <v>7011750</v>
      </c>
      <c r="AA2390" s="5">
        <v>28</v>
      </c>
      <c r="AB2390" s="5" t="s">
        <v>85</v>
      </c>
      <c r="AC2390" s="5">
        <v>2500</v>
      </c>
    </row>
    <row r="2391" spans="1:29" x14ac:dyDescent="0.3">
      <c r="A2391" s="34">
        <v>46274</v>
      </c>
      <c r="B2391" s="34">
        <v>46274</v>
      </c>
      <c r="C2391" s="5" t="s">
        <v>78</v>
      </c>
      <c r="D2391" s="5" t="s">
        <v>79</v>
      </c>
      <c r="E2391" s="5" t="s">
        <v>80</v>
      </c>
      <c r="F2391" s="5">
        <v>2535</v>
      </c>
      <c r="G2391" s="5" t="s">
        <v>7258</v>
      </c>
      <c r="H2391" s="5" t="s">
        <v>7259</v>
      </c>
      <c r="I2391" s="5" t="s">
        <v>212</v>
      </c>
      <c r="N2391" s="5" t="s">
        <v>7260</v>
      </c>
      <c r="O2391" s="5">
        <v>7730</v>
      </c>
      <c r="P2391" s="5">
        <v>7768.5</v>
      </c>
      <c r="Q2391" s="5">
        <v>7600</v>
      </c>
      <c r="R2391" s="5">
        <v>7615</v>
      </c>
      <c r="S2391" s="5">
        <v>7639.5</v>
      </c>
      <c r="T2391" s="5">
        <v>7736</v>
      </c>
      <c r="V2391" s="5">
        <v>7615.65</v>
      </c>
      <c r="Y2391" s="5">
        <v>8659</v>
      </c>
      <c r="Z2391" s="5">
        <v>66276675.5</v>
      </c>
      <c r="AA2391" s="5">
        <v>2707</v>
      </c>
      <c r="AB2391" s="5" t="s">
        <v>85</v>
      </c>
      <c r="AC2391" s="5">
        <v>1</v>
      </c>
    </row>
    <row r="2392" spans="1:29" x14ac:dyDescent="0.3">
      <c r="A2392" s="34">
        <v>46274</v>
      </c>
      <c r="B2392" s="34">
        <v>46274</v>
      </c>
      <c r="C2392" s="5" t="s">
        <v>78</v>
      </c>
      <c r="D2392" s="5" t="s">
        <v>79</v>
      </c>
      <c r="E2392" s="5" t="s">
        <v>80</v>
      </c>
      <c r="F2392" s="5">
        <v>8735</v>
      </c>
      <c r="G2392" s="5" t="s">
        <v>7261</v>
      </c>
      <c r="H2392" s="5" t="s">
        <v>7262</v>
      </c>
      <c r="I2392" s="5" t="s">
        <v>313</v>
      </c>
      <c r="N2392" s="5" t="s">
        <v>7263</v>
      </c>
      <c r="O2392" s="5">
        <v>220</v>
      </c>
      <c r="P2392" s="5">
        <v>221</v>
      </c>
      <c r="Q2392" s="5">
        <v>220</v>
      </c>
      <c r="R2392" s="5">
        <v>220.5</v>
      </c>
      <c r="S2392" s="5">
        <v>221</v>
      </c>
      <c r="T2392" s="5">
        <v>225</v>
      </c>
      <c r="V2392" s="5">
        <v>220.5</v>
      </c>
      <c r="Y2392" s="5">
        <v>1200</v>
      </c>
      <c r="Z2392" s="5">
        <v>264600</v>
      </c>
      <c r="AA2392" s="5">
        <v>2</v>
      </c>
      <c r="AB2392" s="5" t="s">
        <v>85</v>
      </c>
      <c r="AC2392" s="5">
        <v>600</v>
      </c>
    </row>
    <row r="2393" spans="1:29" x14ac:dyDescent="0.3">
      <c r="A2393" s="34">
        <v>46274</v>
      </c>
      <c r="B2393" s="34">
        <v>46274</v>
      </c>
      <c r="C2393" s="5" t="s">
        <v>78</v>
      </c>
      <c r="D2393" s="5" t="s">
        <v>79</v>
      </c>
      <c r="E2393" s="5" t="s">
        <v>80</v>
      </c>
      <c r="F2393" s="5">
        <v>759342</v>
      </c>
      <c r="G2393" s="5" t="s">
        <v>7264</v>
      </c>
      <c r="H2393" s="5" t="s">
        <v>7265</v>
      </c>
      <c r="I2393" s="5" t="s">
        <v>212</v>
      </c>
      <c r="N2393" s="5" t="s">
        <v>7266</v>
      </c>
      <c r="O2393" s="5">
        <v>159.69999999999999</v>
      </c>
      <c r="P2393" s="5">
        <v>163.5</v>
      </c>
      <c r="Q2393" s="5">
        <v>158.80000000000001</v>
      </c>
      <c r="R2393" s="5">
        <v>160.68</v>
      </c>
      <c r="S2393" s="5">
        <v>161</v>
      </c>
      <c r="T2393" s="5">
        <v>160.31</v>
      </c>
      <c r="V2393" s="5">
        <v>160.72999999999999</v>
      </c>
      <c r="Y2393" s="5">
        <v>802379</v>
      </c>
      <c r="Z2393" s="5">
        <v>129248767.2</v>
      </c>
      <c r="AA2393" s="5">
        <v>9241</v>
      </c>
      <c r="AB2393" s="5" t="s">
        <v>85</v>
      </c>
      <c r="AC2393" s="5">
        <v>1</v>
      </c>
    </row>
    <row r="2394" spans="1:29" x14ac:dyDescent="0.3">
      <c r="A2394" s="34">
        <v>46274</v>
      </c>
      <c r="B2394" s="34">
        <v>46274</v>
      </c>
      <c r="C2394" s="5" t="s">
        <v>78</v>
      </c>
      <c r="D2394" s="5" t="s">
        <v>79</v>
      </c>
      <c r="E2394" s="5" t="s">
        <v>80</v>
      </c>
      <c r="F2394" s="5">
        <v>764823</v>
      </c>
      <c r="G2394" s="5" t="s">
        <v>7267</v>
      </c>
      <c r="H2394" s="5" t="s">
        <v>7268</v>
      </c>
      <c r="I2394" s="5" t="s">
        <v>212</v>
      </c>
      <c r="N2394" s="5" t="s">
        <v>7269</v>
      </c>
      <c r="O2394" s="5">
        <v>141</v>
      </c>
      <c r="P2394" s="5">
        <v>142</v>
      </c>
      <c r="Q2394" s="5">
        <v>134</v>
      </c>
      <c r="R2394" s="5">
        <v>141.79</v>
      </c>
      <c r="S2394" s="5">
        <v>142</v>
      </c>
      <c r="T2394" s="5">
        <v>140</v>
      </c>
      <c r="V2394" s="5">
        <v>141.79</v>
      </c>
      <c r="Y2394" s="5">
        <v>313</v>
      </c>
      <c r="Z2394" s="5">
        <v>43785.440000000002</v>
      </c>
      <c r="AA2394" s="5">
        <v>24</v>
      </c>
      <c r="AB2394" s="5" t="s">
        <v>85</v>
      </c>
      <c r="AC2394" s="5">
        <v>1</v>
      </c>
    </row>
    <row r="2395" spans="1:29" x14ac:dyDescent="0.3">
      <c r="A2395" s="34">
        <v>46274</v>
      </c>
      <c r="B2395" s="34">
        <v>46274</v>
      </c>
      <c r="C2395" s="5" t="s">
        <v>78</v>
      </c>
      <c r="D2395" s="5" t="s">
        <v>79</v>
      </c>
      <c r="E2395" s="5" t="s">
        <v>80</v>
      </c>
      <c r="F2395" s="5">
        <v>14413</v>
      </c>
      <c r="G2395" s="5" t="s">
        <v>7270</v>
      </c>
      <c r="H2395" s="5" t="s">
        <v>7271</v>
      </c>
      <c r="I2395" s="5" t="s">
        <v>212</v>
      </c>
      <c r="N2395" s="5" t="s">
        <v>7272</v>
      </c>
      <c r="O2395" s="5">
        <v>35825</v>
      </c>
      <c r="P2395" s="5">
        <v>35825</v>
      </c>
      <c r="Q2395" s="5">
        <v>35200</v>
      </c>
      <c r="R2395" s="5">
        <v>35395</v>
      </c>
      <c r="S2395" s="5">
        <v>35395</v>
      </c>
      <c r="T2395" s="5">
        <v>35915</v>
      </c>
      <c r="V2395" s="5">
        <v>35394.04</v>
      </c>
      <c r="Y2395" s="5">
        <v>15250</v>
      </c>
      <c r="Z2395" s="5">
        <v>539985920</v>
      </c>
      <c r="AA2395" s="5">
        <v>7557</v>
      </c>
      <c r="AB2395" s="5" t="s">
        <v>85</v>
      </c>
      <c r="AC2395" s="5">
        <v>1</v>
      </c>
    </row>
    <row r="2396" spans="1:29" x14ac:dyDescent="0.3">
      <c r="A2396" s="34">
        <v>46274</v>
      </c>
      <c r="B2396" s="34">
        <v>46274</v>
      </c>
      <c r="C2396" s="5" t="s">
        <v>78</v>
      </c>
      <c r="D2396" s="5" t="s">
        <v>79</v>
      </c>
      <c r="E2396" s="5" t="s">
        <v>80</v>
      </c>
      <c r="F2396" s="5">
        <v>25468</v>
      </c>
      <c r="G2396" s="5" t="s">
        <v>7273</v>
      </c>
      <c r="H2396" s="5" t="s">
        <v>7274</v>
      </c>
      <c r="I2396" s="5" t="s">
        <v>212</v>
      </c>
      <c r="N2396" s="5" t="s">
        <v>7275</v>
      </c>
      <c r="O2396" s="5">
        <v>77.760000000000005</v>
      </c>
      <c r="P2396" s="5">
        <v>80.5</v>
      </c>
      <c r="Q2396" s="5">
        <v>77.11</v>
      </c>
      <c r="R2396" s="5">
        <v>79.92</v>
      </c>
      <c r="S2396" s="5">
        <v>79.98</v>
      </c>
      <c r="T2396" s="5">
        <v>77.72</v>
      </c>
      <c r="V2396" s="5">
        <v>79.92</v>
      </c>
      <c r="Y2396" s="5">
        <v>21010428</v>
      </c>
      <c r="Z2396" s="5">
        <v>1669316045.3</v>
      </c>
      <c r="AA2396" s="5">
        <v>44721</v>
      </c>
      <c r="AB2396" s="5" t="s">
        <v>85</v>
      </c>
      <c r="AC2396" s="5">
        <v>1</v>
      </c>
    </row>
    <row r="2397" spans="1:29" x14ac:dyDescent="0.3">
      <c r="A2397" s="34">
        <v>46274</v>
      </c>
      <c r="B2397" s="34">
        <v>46274</v>
      </c>
      <c r="C2397" s="5" t="s">
        <v>78</v>
      </c>
      <c r="D2397" s="5" t="s">
        <v>79</v>
      </c>
      <c r="E2397" s="5" t="s">
        <v>80</v>
      </c>
      <c r="F2397" s="5">
        <v>17197</v>
      </c>
      <c r="G2397" s="5" t="s">
        <v>7276</v>
      </c>
      <c r="H2397" s="5" t="s">
        <v>7277</v>
      </c>
      <c r="I2397" s="5" t="s">
        <v>212</v>
      </c>
      <c r="N2397" s="5" t="s">
        <v>7278</v>
      </c>
      <c r="O2397" s="5">
        <v>78.989999999999995</v>
      </c>
      <c r="P2397" s="5">
        <v>81</v>
      </c>
      <c r="Q2397" s="5">
        <v>76.7</v>
      </c>
      <c r="R2397" s="5">
        <v>78.13</v>
      </c>
      <c r="S2397" s="5">
        <v>78.010000000000005</v>
      </c>
      <c r="T2397" s="5">
        <v>78.540000000000006</v>
      </c>
      <c r="V2397" s="5">
        <v>78.09</v>
      </c>
      <c r="Y2397" s="5">
        <v>152118</v>
      </c>
      <c r="Z2397" s="5">
        <v>11981992.359999999</v>
      </c>
      <c r="AA2397" s="5">
        <v>3565</v>
      </c>
      <c r="AB2397" s="5" t="s">
        <v>85</v>
      </c>
      <c r="AC2397" s="5">
        <v>1</v>
      </c>
    </row>
    <row r="2398" spans="1:29" x14ac:dyDescent="0.3">
      <c r="A2398" s="34">
        <v>46274</v>
      </c>
      <c r="B2398" s="34">
        <v>46274</v>
      </c>
      <c r="C2398" s="5" t="s">
        <v>78</v>
      </c>
      <c r="D2398" s="5" t="s">
        <v>79</v>
      </c>
      <c r="E2398" s="5" t="s">
        <v>80</v>
      </c>
      <c r="F2398" s="5">
        <v>21383</v>
      </c>
      <c r="G2398" s="5" t="s">
        <v>7279</v>
      </c>
      <c r="H2398" s="5" t="s">
        <v>7280</v>
      </c>
      <c r="I2398" s="5" t="s">
        <v>212</v>
      </c>
      <c r="N2398" s="5" t="s">
        <v>7281</v>
      </c>
      <c r="O2398" s="5">
        <v>88.11</v>
      </c>
      <c r="P2398" s="5">
        <v>89.9</v>
      </c>
      <c r="Q2398" s="5">
        <v>87.99</v>
      </c>
      <c r="R2398" s="5">
        <v>88.86</v>
      </c>
      <c r="S2398" s="5">
        <v>87.99</v>
      </c>
      <c r="T2398" s="5">
        <v>88.14</v>
      </c>
      <c r="V2398" s="5">
        <v>88.85</v>
      </c>
      <c r="Y2398" s="5">
        <v>1181</v>
      </c>
      <c r="Z2398" s="5">
        <v>104466.79</v>
      </c>
      <c r="AA2398" s="5">
        <v>21</v>
      </c>
      <c r="AB2398" s="5" t="s">
        <v>85</v>
      </c>
      <c r="AC2398" s="5">
        <v>1</v>
      </c>
    </row>
    <row r="2399" spans="1:29" x14ac:dyDescent="0.3">
      <c r="A2399" s="34">
        <v>46274</v>
      </c>
      <c r="B2399" s="34">
        <v>46274</v>
      </c>
      <c r="C2399" s="5" t="s">
        <v>78</v>
      </c>
      <c r="D2399" s="5" t="s">
        <v>79</v>
      </c>
      <c r="E2399" s="5" t="s">
        <v>80</v>
      </c>
      <c r="F2399" s="5">
        <v>17062</v>
      </c>
      <c r="G2399" s="5" t="s">
        <v>7282</v>
      </c>
      <c r="H2399" s="5" t="s">
        <v>7283</v>
      </c>
      <c r="I2399" s="5" t="s">
        <v>212</v>
      </c>
      <c r="N2399" s="5" t="s">
        <v>7284</v>
      </c>
      <c r="O2399" s="5">
        <v>53.75</v>
      </c>
      <c r="P2399" s="5">
        <v>53.75</v>
      </c>
      <c r="Q2399" s="5">
        <v>50.66</v>
      </c>
      <c r="R2399" s="5">
        <v>50.75</v>
      </c>
      <c r="S2399" s="5">
        <v>50.75</v>
      </c>
      <c r="T2399" s="5">
        <v>53.32</v>
      </c>
      <c r="V2399" s="5">
        <v>50.44</v>
      </c>
      <c r="Y2399" s="5">
        <v>1209</v>
      </c>
      <c r="Z2399" s="5">
        <v>61449.17</v>
      </c>
      <c r="AA2399" s="5">
        <v>35</v>
      </c>
      <c r="AB2399" s="5" t="s">
        <v>85</v>
      </c>
      <c r="AC2399" s="5">
        <v>1</v>
      </c>
    </row>
    <row r="2400" spans="1:29" x14ac:dyDescent="0.3">
      <c r="A2400" s="34">
        <v>46274</v>
      </c>
      <c r="B2400" s="34">
        <v>46274</v>
      </c>
      <c r="C2400" s="5" t="s">
        <v>78</v>
      </c>
      <c r="D2400" s="5" t="s">
        <v>79</v>
      </c>
      <c r="E2400" s="5" t="s">
        <v>80</v>
      </c>
      <c r="F2400" s="5">
        <v>4055</v>
      </c>
      <c r="G2400" s="5" t="s">
        <v>7285</v>
      </c>
      <c r="H2400" s="5" t="s">
        <v>7286</v>
      </c>
      <c r="I2400" s="5" t="s">
        <v>212</v>
      </c>
      <c r="N2400" s="5" t="s">
        <v>7287</v>
      </c>
      <c r="O2400" s="5">
        <v>394.8</v>
      </c>
      <c r="P2400" s="5">
        <v>400</v>
      </c>
      <c r="Q2400" s="5">
        <v>388.1</v>
      </c>
      <c r="R2400" s="5">
        <v>393.8</v>
      </c>
      <c r="S2400" s="5">
        <v>393.9</v>
      </c>
      <c r="T2400" s="5">
        <v>391.85</v>
      </c>
      <c r="V2400" s="5">
        <v>393.8</v>
      </c>
      <c r="Y2400" s="5">
        <v>143042</v>
      </c>
      <c r="Z2400" s="5">
        <v>56622681.200000003</v>
      </c>
      <c r="AA2400" s="5">
        <v>3910</v>
      </c>
      <c r="AB2400" s="5" t="s">
        <v>85</v>
      </c>
      <c r="AC2400" s="5">
        <v>1</v>
      </c>
    </row>
    <row r="2401" spans="1:29" x14ac:dyDescent="0.3">
      <c r="A2401" s="34">
        <v>46274</v>
      </c>
      <c r="B2401" s="34">
        <v>46274</v>
      </c>
      <c r="C2401" s="5" t="s">
        <v>78</v>
      </c>
      <c r="D2401" s="5" t="s">
        <v>79</v>
      </c>
      <c r="E2401" s="5" t="s">
        <v>80</v>
      </c>
      <c r="F2401" s="5">
        <v>16355</v>
      </c>
      <c r="G2401" s="5" t="s">
        <v>7288</v>
      </c>
      <c r="H2401" s="5" t="s">
        <v>7289</v>
      </c>
      <c r="I2401" s="5" t="s">
        <v>234</v>
      </c>
      <c r="N2401" s="5" t="s">
        <v>7290</v>
      </c>
      <c r="O2401" s="5">
        <v>510.1</v>
      </c>
      <c r="P2401" s="5">
        <v>525</v>
      </c>
      <c r="Q2401" s="5">
        <v>510</v>
      </c>
      <c r="R2401" s="5">
        <v>525</v>
      </c>
      <c r="S2401" s="5">
        <v>525</v>
      </c>
      <c r="T2401" s="5">
        <v>515.6</v>
      </c>
      <c r="V2401" s="5">
        <v>525</v>
      </c>
      <c r="Y2401" s="5">
        <v>5506</v>
      </c>
      <c r="Z2401" s="5">
        <v>2843714.2</v>
      </c>
      <c r="AA2401" s="5">
        <v>48</v>
      </c>
      <c r="AB2401" s="5" t="s">
        <v>85</v>
      </c>
      <c r="AC2401" s="5">
        <v>1</v>
      </c>
    </row>
    <row r="2402" spans="1:29" x14ac:dyDescent="0.3">
      <c r="A2402" s="34">
        <v>46274</v>
      </c>
      <c r="B2402" s="34">
        <v>46274</v>
      </c>
      <c r="C2402" s="5" t="s">
        <v>78</v>
      </c>
      <c r="D2402" s="5" t="s">
        <v>79</v>
      </c>
      <c r="E2402" s="5" t="s">
        <v>80</v>
      </c>
      <c r="F2402" s="5">
        <v>25392</v>
      </c>
      <c r="G2402" s="5" t="s">
        <v>7291</v>
      </c>
      <c r="H2402" s="5" t="s">
        <v>7292</v>
      </c>
      <c r="I2402" s="5" t="s">
        <v>212</v>
      </c>
      <c r="N2402" s="5" t="s">
        <v>7293</v>
      </c>
      <c r="O2402" s="5">
        <v>484.8</v>
      </c>
      <c r="P2402" s="5">
        <v>505</v>
      </c>
      <c r="Q2402" s="5">
        <v>481.1</v>
      </c>
      <c r="R2402" s="5">
        <v>498.4</v>
      </c>
      <c r="S2402" s="5">
        <v>498.5</v>
      </c>
      <c r="T2402" s="5">
        <v>483.15</v>
      </c>
      <c r="V2402" s="5">
        <v>498.37</v>
      </c>
      <c r="Y2402" s="5">
        <v>791161</v>
      </c>
      <c r="Z2402" s="5">
        <v>393224994.64999998</v>
      </c>
      <c r="AA2402" s="5">
        <v>20038</v>
      </c>
      <c r="AB2402" s="5" t="s">
        <v>85</v>
      </c>
      <c r="AC2402" s="5">
        <v>1</v>
      </c>
    </row>
    <row r="2403" spans="1:29" x14ac:dyDescent="0.3">
      <c r="A2403" s="34">
        <v>46274</v>
      </c>
      <c r="B2403" s="34">
        <v>46274</v>
      </c>
      <c r="C2403" s="5" t="s">
        <v>78</v>
      </c>
      <c r="D2403" s="5" t="s">
        <v>79</v>
      </c>
      <c r="E2403" s="5" t="s">
        <v>80</v>
      </c>
      <c r="F2403" s="5">
        <v>764828</v>
      </c>
      <c r="G2403" s="5" t="s">
        <v>7294</v>
      </c>
      <c r="H2403" s="5" t="s">
        <v>7295</v>
      </c>
      <c r="I2403" s="5" t="s">
        <v>212</v>
      </c>
      <c r="N2403" s="5" t="s">
        <v>7296</v>
      </c>
      <c r="O2403" s="5">
        <v>290</v>
      </c>
      <c r="P2403" s="5">
        <v>290</v>
      </c>
      <c r="Q2403" s="5">
        <v>290</v>
      </c>
      <c r="R2403" s="5">
        <v>290</v>
      </c>
      <c r="S2403" s="5">
        <v>290</v>
      </c>
      <c r="T2403" s="5">
        <v>290</v>
      </c>
      <c r="V2403" s="5">
        <v>295.70999999999998</v>
      </c>
      <c r="Y2403" s="5">
        <v>62</v>
      </c>
      <c r="Z2403" s="5">
        <v>17980</v>
      </c>
      <c r="AA2403" s="5">
        <v>6</v>
      </c>
      <c r="AB2403" s="5" t="s">
        <v>85</v>
      </c>
      <c r="AC2403" s="5">
        <v>1</v>
      </c>
    </row>
    <row r="2404" spans="1:29" x14ac:dyDescent="0.3">
      <c r="A2404" s="34">
        <v>46274</v>
      </c>
      <c r="B2404" s="34">
        <v>46274</v>
      </c>
      <c r="C2404" s="5" t="s">
        <v>78</v>
      </c>
      <c r="D2404" s="5" t="s">
        <v>79</v>
      </c>
      <c r="E2404" s="5" t="s">
        <v>80</v>
      </c>
      <c r="F2404" s="5">
        <v>765140</v>
      </c>
      <c r="G2404" s="5" t="s">
        <v>7297</v>
      </c>
      <c r="H2404" s="5" t="s">
        <v>7298</v>
      </c>
      <c r="I2404" s="5" t="s">
        <v>212</v>
      </c>
      <c r="N2404" s="5" t="s">
        <v>7299</v>
      </c>
      <c r="O2404" s="5">
        <v>48.2</v>
      </c>
      <c r="P2404" s="5">
        <v>49.32</v>
      </c>
      <c r="Q2404" s="5">
        <v>45.5</v>
      </c>
      <c r="R2404" s="5">
        <v>47.56</v>
      </c>
      <c r="S2404" s="5">
        <v>46</v>
      </c>
      <c r="T2404" s="5">
        <v>48.38</v>
      </c>
      <c r="V2404" s="5">
        <v>47.56</v>
      </c>
      <c r="Y2404" s="5">
        <v>198297</v>
      </c>
      <c r="Z2404" s="5">
        <v>9589653.1199999992</v>
      </c>
      <c r="AA2404" s="5">
        <v>2002</v>
      </c>
      <c r="AB2404" s="5" t="s">
        <v>85</v>
      </c>
      <c r="AC2404" s="5">
        <v>1</v>
      </c>
    </row>
    <row r="2405" spans="1:29" x14ac:dyDescent="0.3">
      <c r="A2405" s="34">
        <v>46274</v>
      </c>
      <c r="B2405" s="34">
        <v>46274</v>
      </c>
      <c r="C2405" s="5" t="s">
        <v>78</v>
      </c>
      <c r="D2405" s="5" t="s">
        <v>79</v>
      </c>
      <c r="E2405" s="5" t="s">
        <v>80</v>
      </c>
      <c r="F2405" s="5">
        <v>6141</v>
      </c>
      <c r="G2405" s="5" t="s">
        <v>7300</v>
      </c>
      <c r="H2405" s="5" t="s">
        <v>7301</v>
      </c>
      <c r="I2405" s="5" t="s">
        <v>212</v>
      </c>
      <c r="N2405" s="5" t="s">
        <v>7302</v>
      </c>
      <c r="O2405" s="5">
        <v>287.55</v>
      </c>
      <c r="P2405" s="5">
        <v>303.10000000000002</v>
      </c>
      <c r="Q2405" s="5">
        <v>280</v>
      </c>
      <c r="R2405" s="5">
        <v>281.2</v>
      </c>
      <c r="S2405" s="5">
        <v>284</v>
      </c>
      <c r="T2405" s="5">
        <v>290.8</v>
      </c>
      <c r="V2405" s="5">
        <v>281.2</v>
      </c>
      <c r="Y2405" s="5">
        <v>909</v>
      </c>
      <c r="Z2405" s="5">
        <v>258985.3</v>
      </c>
      <c r="AA2405" s="5">
        <v>46</v>
      </c>
      <c r="AB2405" s="5" t="s">
        <v>85</v>
      </c>
      <c r="AC2405" s="5">
        <v>1</v>
      </c>
    </row>
    <row r="2406" spans="1:29" x14ac:dyDescent="0.3">
      <c r="A2406" s="34">
        <v>46274</v>
      </c>
      <c r="B2406" s="34">
        <v>46274</v>
      </c>
      <c r="C2406" s="5" t="s">
        <v>78</v>
      </c>
      <c r="D2406" s="5" t="s">
        <v>79</v>
      </c>
      <c r="E2406" s="5" t="s">
        <v>80</v>
      </c>
      <c r="F2406" s="5">
        <v>5637</v>
      </c>
      <c r="G2406" s="5" t="s">
        <v>7303</v>
      </c>
      <c r="H2406" s="5" t="s">
        <v>7304</v>
      </c>
      <c r="I2406" s="5" t="s">
        <v>234</v>
      </c>
      <c r="N2406" s="5" t="s">
        <v>7305</v>
      </c>
      <c r="O2406" s="5">
        <v>134.37</v>
      </c>
      <c r="P2406" s="5">
        <v>134.37</v>
      </c>
      <c r="Q2406" s="5">
        <v>134.37</v>
      </c>
      <c r="R2406" s="5">
        <v>134.37</v>
      </c>
      <c r="S2406" s="5">
        <v>134.37</v>
      </c>
      <c r="T2406" s="5">
        <v>141.44</v>
      </c>
      <c r="V2406" s="5">
        <v>134.37</v>
      </c>
      <c r="Y2406" s="5">
        <v>18033</v>
      </c>
      <c r="Z2406" s="5">
        <v>2423094.21</v>
      </c>
      <c r="AA2406" s="5">
        <v>169</v>
      </c>
      <c r="AB2406" s="5" t="s">
        <v>85</v>
      </c>
      <c r="AC2406" s="5">
        <v>1</v>
      </c>
    </row>
    <row r="2407" spans="1:29" x14ac:dyDescent="0.3">
      <c r="A2407" s="34">
        <v>46274</v>
      </c>
      <c r="B2407" s="34">
        <v>46274</v>
      </c>
      <c r="C2407" s="5" t="s">
        <v>78</v>
      </c>
      <c r="D2407" s="5" t="s">
        <v>79</v>
      </c>
      <c r="E2407" s="5" t="s">
        <v>80</v>
      </c>
      <c r="F2407" s="5">
        <v>9741</v>
      </c>
      <c r="G2407" s="5" t="s">
        <v>7306</v>
      </c>
      <c r="H2407" s="5" t="s">
        <v>7307</v>
      </c>
      <c r="I2407" s="5" t="s">
        <v>212</v>
      </c>
      <c r="N2407" s="5" t="s">
        <v>7308</v>
      </c>
      <c r="O2407" s="5">
        <v>159.51</v>
      </c>
      <c r="P2407" s="5">
        <v>160.65</v>
      </c>
      <c r="Q2407" s="5">
        <v>157.5</v>
      </c>
      <c r="R2407" s="5">
        <v>157.91999999999999</v>
      </c>
      <c r="S2407" s="5">
        <v>157.80000000000001</v>
      </c>
      <c r="T2407" s="5">
        <v>159.79</v>
      </c>
      <c r="V2407" s="5">
        <v>157.93</v>
      </c>
      <c r="Y2407" s="5">
        <v>1680376</v>
      </c>
      <c r="Z2407" s="5">
        <v>266248917.12</v>
      </c>
      <c r="AA2407" s="5">
        <v>15923</v>
      </c>
      <c r="AB2407" s="5" t="s">
        <v>85</v>
      </c>
      <c r="AC2407" s="5">
        <v>1</v>
      </c>
    </row>
    <row r="2408" spans="1:29" x14ac:dyDescent="0.3">
      <c r="A2408" s="34">
        <v>46274</v>
      </c>
      <c r="B2408" s="34">
        <v>46274</v>
      </c>
      <c r="C2408" s="5" t="s">
        <v>78</v>
      </c>
      <c r="D2408" s="5" t="s">
        <v>79</v>
      </c>
      <c r="E2408" s="5" t="s">
        <v>80</v>
      </c>
      <c r="F2408" s="5">
        <v>17130</v>
      </c>
      <c r="G2408" s="5" t="s">
        <v>7309</v>
      </c>
      <c r="H2408" s="5" t="s">
        <v>7310</v>
      </c>
      <c r="I2408" s="5" t="s">
        <v>212</v>
      </c>
      <c r="N2408" s="5" t="s">
        <v>7311</v>
      </c>
      <c r="O2408" s="5">
        <v>254.9</v>
      </c>
      <c r="P2408" s="5">
        <v>256</v>
      </c>
      <c r="Q2408" s="5">
        <v>252.3</v>
      </c>
      <c r="R2408" s="5">
        <v>253.6</v>
      </c>
      <c r="S2408" s="5">
        <v>254.15</v>
      </c>
      <c r="T2408" s="5">
        <v>254.4</v>
      </c>
      <c r="V2408" s="5">
        <v>253.59</v>
      </c>
      <c r="Y2408" s="5">
        <v>521490</v>
      </c>
      <c r="Z2408" s="5">
        <v>132510533</v>
      </c>
      <c r="AA2408" s="5">
        <v>8744</v>
      </c>
      <c r="AB2408" s="5" t="s">
        <v>85</v>
      </c>
      <c r="AC2408" s="5">
        <v>1</v>
      </c>
    </row>
    <row r="2409" spans="1:29" x14ac:dyDescent="0.3">
      <c r="A2409" s="34">
        <v>46274</v>
      </c>
      <c r="B2409" s="34">
        <v>46274</v>
      </c>
      <c r="C2409" s="5" t="s">
        <v>78</v>
      </c>
      <c r="D2409" s="5" t="s">
        <v>79</v>
      </c>
      <c r="E2409" s="5" t="s">
        <v>80</v>
      </c>
      <c r="F2409" s="5">
        <v>19779</v>
      </c>
      <c r="G2409" s="5" t="s">
        <v>7312</v>
      </c>
      <c r="H2409" s="5" t="s">
        <v>7313</v>
      </c>
      <c r="I2409" s="5" t="s">
        <v>313</v>
      </c>
      <c r="N2409" s="5" t="s">
        <v>7314</v>
      </c>
      <c r="O2409" s="5">
        <v>60.3</v>
      </c>
      <c r="P2409" s="5">
        <v>60.3</v>
      </c>
      <c r="Q2409" s="5">
        <v>56.55</v>
      </c>
      <c r="R2409" s="5">
        <v>58.1</v>
      </c>
      <c r="S2409" s="5">
        <v>58.1</v>
      </c>
      <c r="T2409" s="5">
        <v>61.45</v>
      </c>
      <c r="V2409" s="5">
        <v>58.1</v>
      </c>
      <c r="Y2409" s="5">
        <v>14400</v>
      </c>
      <c r="Z2409" s="5">
        <v>850740</v>
      </c>
      <c r="AA2409" s="5">
        <v>12</v>
      </c>
      <c r="AB2409" s="5" t="s">
        <v>85</v>
      </c>
      <c r="AC2409" s="5">
        <v>1200</v>
      </c>
    </row>
    <row r="2410" spans="1:29" x14ac:dyDescent="0.3">
      <c r="A2410" s="34">
        <v>46274</v>
      </c>
      <c r="B2410" s="34">
        <v>46274</v>
      </c>
      <c r="C2410" s="5" t="s">
        <v>78</v>
      </c>
      <c r="D2410" s="5" t="s">
        <v>79</v>
      </c>
      <c r="E2410" s="5" t="s">
        <v>80</v>
      </c>
      <c r="F2410" s="5">
        <v>25069</v>
      </c>
      <c r="G2410" s="5" t="s">
        <v>7315</v>
      </c>
      <c r="H2410" s="5" t="s">
        <v>7316</v>
      </c>
      <c r="I2410" s="5" t="s">
        <v>313</v>
      </c>
      <c r="N2410" s="5" t="s">
        <v>7317</v>
      </c>
      <c r="O2410" s="5">
        <v>60</v>
      </c>
      <c r="P2410" s="5">
        <v>60</v>
      </c>
      <c r="Q2410" s="5">
        <v>59</v>
      </c>
      <c r="R2410" s="5">
        <v>59</v>
      </c>
      <c r="S2410" s="5">
        <v>59</v>
      </c>
      <c r="T2410" s="5">
        <v>60.35</v>
      </c>
      <c r="V2410" s="5">
        <v>59</v>
      </c>
      <c r="Y2410" s="5">
        <v>2400</v>
      </c>
      <c r="Z2410" s="5">
        <v>142800</v>
      </c>
      <c r="AA2410" s="5">
        <v>2</v>
      </c>
      <c r="AB2410" s="5" t="s">
        <v>85</v>
      </c>
      <c r="AC2410" s="5">
        <v>1200</v>
      </c>
    </row>
    <row r="2411" spans="1:29" x14ac:dyDescent="0.3">
      <c r="A2411" s="34">
        <v>46274</v>
      </c>
      <c r="B2411" s="34">
        <v>46274</v>
      </c>
      <c r="C2411" s="5" t="s">
        <v>78</v>
      </c>
      <c r="D2411" s="5" t="s">
        <v>79</v>
      </c>
      <c r="E2411" s="5" t="s">
        <v>80</v>
      </c>
      <c r="F2411" s="5">
        <v>13951</v>
      </c>
      <c r="G2411" s="5" t="s">
        <v>7318</v>
      </c>
      <c r="H2411" s="5" t="s">
        <v>7319</v>
      </c>
      <c r="I2411" s="5" t="s">
        <v>212</v>
      </c>
      <c r="N2411" s="5" t="s">
        <v>7320</v>
      </c>
      <c r="O2411" s="5">
        <v>69.739999999999995</v>
      </c>
      <c r="P2411" s="5">
        <v>70.900000000000006</v>
      </c>
      <c r="Q2411" s="5">
        <v>66.05</v>
      </c>
      <c r="R2411" s="5">
        <v>66.45</v>
      </c>
      <c r="S2411" s="5">
        <v>66.45</v>
      </c>
      <c r="T2411" s="5">
        <v>69.05</v>
      </c>
      <c r="V2411" s="5">
        <v>66.45</v>
      </c>
      <c r="Y2411" s="5">
        <v>3622562</v>
      </c>
      <c r="Z2411" s="5">
        <v>247164460.99000001</v>
      </c>
      <c r="AA2411" s="5">
        <v>17821</v>
      </c>
      <c r="AB2411" s="5" t="s">
        <v>85</v>
      </c>
      <c r="AC2411" s="5">
        <v>1</v>
      </c>
    </row>
    <row r="2412" spans="1:29" x14ac:dyDescent="0.3">
      <c r="A2412" s="34">
        <v>46274</v>
      </c>
      <c r="B2412" s="34">
        <v>46274</v>
      </c>
      <c r="C2412" s="5" t="s">
        <v>78</v>
      </c>
      <c r="D2412" s="5" t="s">
        <v>79</v>
      </c>
      <c r="E2412" s="5" t="s">
        <v>80</v>
      </c>
      <c r="F2412" s="5">
        <v>25716</v>
      </c>
      <c r="G2412" s="5" t="s">
        <v>7321</v>
      </c>
      <c r="H2412" s="5" t="s">
        <v>7322</v>
      </c>
      <c r="I2412" s="5" t="s">
        <v>313</v>
      </c>
      <c r="N2412" s="5" t="s">
        <v>7323</v>
      </c>
      <c r="O2412" s="5">
        <v>42.55</v>
      </c>
      <c r="P2412" s="5">
        <v>42.55</v>
      </c>
      <c r="Q2412" s="5">
        <v>42.55</v>
      </c>
      <c r="R2412" s="5">
        <v>42.55</v>
      </c>
      <c r="S2412" s="5">
        <v>42.55</v>
      </c>
      <c r="T2412" s="5">
        <v>40.549999999999997</v>
      </c>
      <c r="V2412" s="5">
        <v>42.55</v>
      </c>
      <c r="Y2412" s="5">
        <v>3600</v>
      </c>
      <c r="Z2412" s="5">
        <v>153180</v>
      </c>
      <c r="AA2412" s="5">
        <v>3</v>
      </c>
      <c r="AB2412" s="5" t="s">
        <v>85</v>
      </c>
      <c r="AC2412" s="5">
        <v>1200</v>
      </c>
    </row>
    <row r="2413" spans="1:29" x14ac:dyDescent="0.3">
      <c r="A2413" s="34">
        <v>46274</v>
      </c>
      <c r="B2413" s="34">
        <v>46274</v>
      </c>
      <c r="C2413" s="5" t="s">
        <v>78</v>
      </c>
      <c r="D2413" s="5" t="s">
        <v>79</v>
      </c>
      <c r="E2413" s="5" t="s">
        <v>80</v>
      </c>
      <c r="F2413" s="5">
        <v>5911</v>
      </c>
      <c r="G2413" s="5" t="s">
        <v>7324</v>
      </c>
      <c r="H2413" s="5" t="s">
        <v>7325</v>
      </c>
      <c r="I2413" s="5" t="s">
        <v>212</v>
      </c>
      <c r="N2413" s="5" t="s">
        <v>7326</v>
      </c>
      <c r="O2413" s="5">
        <v>1510.8</v>
      </c>
      <c r="P2413" s="5">
        <v>1547.4</v>
      </c>
      <c r="Q2413" s="5">
        <v>1459</v>
      </c>
      <c r="R2413" s="5">
        <v>1470</v>
      </c>
      <c r="S2413" s="5">
        <v>1471</v>
      </c>
      <c r="T2413" s="5">
        <v>1504</v>
      </c>
      <c r="V2413" s="5">
        <v>1470.04</v>
      </c>
      <c r="Y2413" s="5">
        <v>1212712</v>
      </c>
      <c r="Z2413" s="5">
        <v>1803887788</v>
      </c>
      <c r="AA2413" s="5">
        <v>51005</v>
      </c>
      <c r="AB2413" s="5" t="s">
        <v>85</v>
      </c>
      <c r="AC2413" s="5">
        <v>1</v>
      </c>
    </row>
    <row r="2414" spans="1:29" x14ac:dyDescent="0.3">
      <c r="A2414" s="34">
        <v>46274</v>
      </c>
      <c r="B2414" s="34">
        <v>46274</v>
      </c>
      <c r="C2414" s="5" t="s">
        <v>78</v>
      </c>
      <c r="D2414" s="5" t="s">
        <v>79</v>
      </c>
      <c r="E2414" s="5" t="s">
        <v>80</v>
      </c>
      <c r="F2414" s="5">
        <v>3972</v>
      </c>
      <c r="G2414" s="5" t="s">
        <v>7327</v>
      </c>
      <c r="H2414" s="5" t="s">
        <v>7328</v>
      </c>
      <c r="I2414" s="5" t="s">
        <v>212</v>
      </c>
      <c r="N2414" s="5" t="s">
        <v>7329</v>
      </c>
      <c r="O2414" s="5">
        <v>2.13</v>
      </c>
      <c r="P2414" s="5">
        <v>2.23</v>
      </c>
      <c r="Q2414" s="5">
        <v>2.13</v>
      </c>
      <c r="R2414" s="5">
        <v>2.1800000000000002</v>
      </c>
      <c r="S2414" s="5">
        <v>2.23</v>
      </c>
      <c r="T2414" s="5">
        <v>2.13</v>
      </c>
      <c r="V2414" s="5">
        <v>2.1800000000000002</v>
      </c>
      <c r="Y2414" s="5">
        <v>135723</v>
      </c>
      <c r="Z2414" s="5">
        <v>295156.34999999998</v>
      </c>
      <c r="AA2414" s="5">
        <v>231</v>
      </c>
      <c r="AB2414" s="5" t="s">
        <v>85</v>
      </c>
      <c r="AC2414" s="5">
        <v>1</v>
      </c>
    </row>
    <row r="2415" spans="1:29" x14ac:dyDescent="0.3">
      <c r="A2415" s="34">
        <v>46274</v>
      </c>
      <c r="B2415" s="34">
        <v>46274</v>
      </c>
      <c r="C2415" s="5" t="s">
        <v>78</v>
      </c>
      <c r="D2415" s="5" t="s">
        <v>79</v>
      </c>
      <c r="E2415" s="5" t="s">
        <v>80</v>
      </c>
      <c r="F2415" s="5">
        <v>5460</v>
      </c>
      <c r="G2415" s="5" t="s">
        <v>7330</v>
      </c>
      <c r="H2415" s="5" t="s">
        <v>7331</v>
      </c>
      <c r="I2415" s="5" t="s">
        <v>313</v>
      </c>
      <c r="N2415" s="5" t="s">
        <v>7332</v>
      </c>
      <c r="O2415" s="5">
        <v>700</v>
      </c>
      <c r="P2415" s="5">
        <v>730</v>
      </c>
      <c r="Q2415" s="5">
        <v>700</v>
      </c>
      <c r="R2415" s="5">
        <v>720</v>
      </c>
      <c r="S2415" s="5">
        <v>720</v>
      </c>
      <c r="T2415" s="5">
        <v>705.3</v>
      </c>
      <c r="V2415" s="5">
        <v>720</v>
      </c>
      <c r="Y2415" s="5">
        <v>3750</v>
      </c>
      <c r="Z2415" s="5">
        <v>2677650</v>
      </c>
      <c r="AA2415" s="5">
        <v>13</v>
      </c>
      <c r="AB2415" s="5" t="s">
        <v>85</v>
      </c>
      <c r="AC2415" s="5">
        <v>250</v>
      </c>
    </row>
    <row r="2416" spans="1:29" x14ac:dyDescent="0.3">
      <c r="A2416" s="34">
        <v>46274</v>
      </c>
      <c r="B2416" s="34">
        <v>46274</v>
      </c>
      <c r="C2416" s="5" t="s">
        <v>78</v>
      </c>
      <c r="D2416" s="5" t="s">
        <v>79</v>
      </c>
      <c r="E2416" s="5" t="s">
        <v>80</v>
      </c>
      <c r="F2416" s="5">
        <v>760351</v>
      </c>
      <c r="G2416" s="5" t="s">
        <v>7333</v>
      </c>
      <c r="H2416" s="5" t="s">
        <v>7334</v>
      </c>
      <c r="I2416" s="5" t="s">
        <v>212</v>
      </c>
      <c r="N2416" s="5" t="s">
        <v>7335</v>
      </c>
      <c r="O2416" s="5">
        <v>282.39999999999998</v>
      </c>
      <c r="P2416" s="5">
        <v>285.64999999999998</v>
      </c>
      <c r="Q2416" s="5">
        <v>281.14999999999998</v>
      </c>
      <c r="R2416" s="5">
        <v>281.85000000000002</v>
      </c>
      <c r="S2416" s="5">
        <v>282.55</v>
      </c>
      <c r="T2416" s="5">
        <v>282.25</v>
      </c>
      <c r="V2416" s="5">
        <v>281.83999999999997</v>
      </c>
      <c r="Y2416" s="5">
        <v>209305</v>
      </c>
      <c r="Z2416" s="5">
        <v>59150087.350000001</v>
      </c>
      <c r="AA2416" s="5">
        <v>4431</v>
      </c>
      <c r="AB2416" s="5" t="s">
        <v>85</v>
      </c>
      <c r="AC2416" s="5">
        <v>1</v>
      </c>
    </row>
    <row r="2417" spans="1:29" x14ac:dyDescent="0.3">
      <c r="A2417" s="34">
        <v>46274</v>
      </c>
      <c r="B2417" s="34">
        <v>46274</v>
      </c>
      <c r="C2417" s="5" t="s">
        <v>78</v>
      </c>
      <c r="D2417" s="5" t="s">
        <v>79</v>
      </c>
      <c r="E2417" s="5" t="s">
        <v>80</v>
      </c>
      <c r="F2417" s="5">
        <v>22649</v>
      </c>
      <c r="G2417" s="5" t="s">
        <v>7336</v>
      </c>
      <c r="H2417" s="5" t="s">
        <v>7337</v>
      </c>
      <c r="I2417" s="5" t="s">
        <v>212</v>
      </c>
      <c r="N2417" s="5" t="s">
        <v>7337</v>
      </c>
      <c r="O2417" s="5">
        <v>113.28</v>
      </c>
      <c r="P2417" s="5">
        <v>113.28</v>
      </c>
      <c r="Q2417" s="5">
        <v>110.97</v>
      </c>
      <c r="R2417" s="5">
        <v>111.64</v>
      </c>
      <c r="S2417" s="5">
        <v>112.5</v>
      </c>
      <c r="T2417" s="5">
        <v>113.11</v>
      </c>
      <c r="V2417" s="5">
        <v>111.64</v>
      </c>
      <c r="Y2417" s="5">
        <v>62584</v>
      </c>
      <c r="Z2417" s="5">
        <v>6997084.8899999997</v>
      </c>
      <c r="AA2417" s="5">
        <v>1303</v>
      </c>
      <c r="AB2417" s="5" t="s">
        <v>85</v>
      </c>
      <c r="AC2417" s="5">
        <v>1</v>
      </c>
    </row>
    <row r="2418" spans="1:29" x14ac:dyDescent="0.3">
      <c r="A2418" s="34">
        <v>46274</v>
      </c>
      <c r="B2418" s="34">
        <v>46274</v>
      </c>
      <c r="C2418" s="5" t="s">
        <v>78</v>
      </c>
      <c r="D2418" s="5" t="s">
        <v>79</v>
      </c>
      <c r="E2418" s="5" t="s">
        <v>80</v>
      </c>
      <c r="F2418" s="5">
        <v>764833</v>
      </c>
      <c r="G2418" s="5" t="s">
        <v>7338</v>
      </c>
      <c r="H2418" s="5" t="s">
        <v>7339</v>
      </c>
      <c r="I2418" s="5" t="s">
        <v>212</v>
      </c>
      <c r="N2418" s="5" t="s">
        <v>7340</v>
      </c>
      <c r="O2418" s="5">
        <v>116</v>
      </c>
      <c r="P2418" s="5">
        <v>134.94999999999999</v>
      </c>
      <c r="Q2418" s="5">
        <v>116</v>
      </c>
      <c r="R2418" s="5">
        <v>130</v>
      </c>
      <c r="S2418" s="5">
        <v>130</v>
      </c>
      <c r="T2418" s="5">
        <v>125.9</v>
      </c>
      <c r="V2418" s="5">
        <v>131.74</v>
      </c>
      <c r="Y2418" s="5">
        <v>1921</v>
      </c>
      <c r="Z2418" s="5">
        <v>252785.74</v>
      </c>
      <c r="AA2418" s="5">
        <v>38</v>
      </c>
      <c r="AB2418" s="5" t="s">
        <v>85</v>
      </c>
      <c r="AC2418" s="5">
        <v>1</v>
      </c>
    </row>
    <row r="2419" spans="1:29" x14ac:dyDescent="0.3">
      <c r="A2419" s="34">
        <v>46274</v>
      </c>
      <c r="B2419" s="34">
        <v>46274</v>
      </c>
      <c r="C2419" s="5" t="s">
        <v>78</v>
      </c>
      <c r="D2419" s="5" t="s">
        <v>79</v>
      </c>
      <c r="E2419" s="5" t="s">
        <v>80</v>
      </c>
      <c r="F2419" s="5">
        <v>13795</v>
      </c>
      <c r="G2419" s="5" t="s">
        <v>7341</v>
      </c>
      <c r="H2419" s="5" t="s">
        <v>7342</v>
      </c>
      <c r="I2419" s="5" t="s">
        <v>234</v>
      </c>
      <c r="N2419" s="5" t="s">
        <v>7343</v>
      </c>
      <c r="O2419" s="5">
        <v>1.66</v>
      </c>
      <c r="P2419" s="5">
        <v>1.66</v>
      </c>
      <c r="Q2419" s="5">
        <v>1.66</v>
      </c>
      <c r="R2419" s="5">
        <v>1.66</v>
      </c>
      <c r="S2419" s="5">
        <v>1.66</v>
      </c>
      <c r="T2419" s="5">
        <v>1.63</v>
      </c>
      <c r="V2419" s="5">
        <v>1.66</v>
      </c>
      <c r="Y2419" s="5">
        <v>131882</v>
      </c>
      <c r="Z2419" s="5">
        <v>218924.12</v>
      </c>
      <c r="AA2419" s="5">
        <v>54</v>
      </c>
      <c r="AB2419" s="5" t="s">
        <v>85</v>
      </c>
      <c r="AC2419" s="5">
        <v>1</v>
      </c>
    </row>
    <row r="2420" spans="1:29" x14ac:dyDescent="0.3">
      <c r="A2420" s="34">
        <v>46274</v>
      </c>
      <c r="B2420" s="34">
        <v>46274</v>
      </c>
      <c r="C2420" s="5" t="s">
        <v>78</v>
      </c>
      <c r="D2420" s="5" t="s">
        <v>79</v>
      </c>
      <c r="E2420" s="5" t="s">
        <v>80</v>
      </c>
      <c r="F2420" s="5">
        <v>758217</v>
      </c>
      <c r="G2420" s="5" t="s">
        <v>7344</v>
      </c>
      <c r="H2420" s="5" t="s">
        <v>7345</v>
      </c>
      <c r="I2420" s="5" t="s">
        <v>313</v>
      </c>
      <c r="N2420" s="5" t="s">
        <v>7346</v>
      </c>
      <c r="O2420" s="5">
        <v>540</v>
      </c>
      <c r="P2420" s="5">
        <v>559</v>
      </c>
      <c r="Q2420" s="5">
        <v>540</v>
      </c>
      <c r="R2420" s="5">
        <v>549.35</v>
      </c>
      <c r="S2420" s="5">
        <v>549</v>
      </c>
      <c r="T2420" s="5">
        <v>545</v>
      </c>
      <c r="V2420" s="5">
        <v>549.35</v>
      </c>
      <c r="Y2420" s="5">
        <v>13200</v>
      </c>
      <c r="Z2420" s="5">
        <v>7269200</v>
      </c>
      <c r="AA2420" s="5">
        <v>31</v>
      </c>
      <c r="AB2420" s="5" t="s">
        <v>85</v>
      </c>
      <c r="AC2420" s="5">
        <v>400</v>
      </c>
    </row>
    <row r="2421" spans="1:29" x14ac:dyDescent="0.3">
      <c r="A2421" s="34">
        <v>46274</v>
      </c>
      <c r="B2421" s="34">
        <v>46274</v>
      </c>
      <c r="C2421" s="5" t="s">
        <v>78</v>
      </c>
      <c r="D2421" s="5" t="s">
        <v>79</v>
      </c>
      <c r="E2421" s="5" t="s">
        <v>80</v>
      </c>
      <c r="F2421" s="5">
        <v>2599</v>
      </c>
      <c r="G2421" s="5" t="s">
        <v>7347</v>
      </c>
      <c r="H2421" s="5" t="s">
        <v>7348</v>
      </c>
      <c r="I2421" s="5" t="s">
        <v>313</v>
      </c>
      <c r="N2421" s="5" t="s">
        <v>7349</v>
      </c>
      <c r="O2421" s="5">
        <v>89.35</v>
      </c>
      <c r="P2421" s="5">
        <v>90</v>
      </c>
      <c r="Q2421" s="5">
        <v>89.35</v>
      </c>
      <c r="R2421" s="5">
        <v>90</v>
      </c>
      <c r="S2421" s="5">
        <v>90</v>
      </c>
      <c r="T2421" s="5">
        <v>86</v>
      </c>
      <c r="V2421" s="5">
        <v>90</v>
      </c>
      <c r="Y2421" s="5">
        <v>3000</v>
      </c>
      <c r="Z2421" s="5">
        <v>268850</v>
      </c>
      <c r="AA2421" s="5">
        <v>3</v>
      </c>
      <c r="AB2421" s="5" t="s">
        <v>85</v>
      </c>
      <c r="AC2421" s="5">
        <v>1000</v>
      </c>
    </row>
    <row r="2422" spans="1:29" x14ac:dyDescent="0.3">
      <c r="A2422" s="34">
        <v>46274</v>
      </c>
      <c r="B2422" s="34">
        <v>46274</v>
      </c>
      <c r="C2422" s="5" t="s">
        <v>78</v>
      </c>
      <c r="D2422" s="5" t="s">
        <v>79</v>
      </c>
      <c r="E2422" s="5" t="s">
        <v>80</v>
      </c>
      <c r="F2422" s="5">
        <v>757955</v>
      </c>
      <c r="G2422" s="5" t="s">
        <v>7350</v>
      </c>
      <c r="H2422" s="5" t="s">
        <v>7351</v>
      </c>
      <c r="I2422" s="5" t="s">
        <v>212</v>
      </c>
      <c r="N2422" s="5" t="s">
        <v>7352</v>
      </c>
      <c r="O2422" s="5">
        <v>82.7</v>
      </c>
      <c r="P2422" s="5">
        <v>82.7</v>
      </c>
      <c r="Q2422" s="5">
        <v>80</v>
      </c>
      <c r="R2422" s="5">
        <v>81</v>
      </c>
      <c r="S2422" s="5">
        <v>81</v>
      </c>
      <c r="T2422" s="5">
        <v>81.02</v>
      </c>
      <c r="V2422" s="5">
        <v>80.84</v>
      </c>
      <c r="Y2422" s="5">
        <v>41925</v>
      </c>
      <c r="Z2422" s="5">
        <v>3401787.38</v>
      </c>
      <c r="AA2422" s="5">
        <v>1346</v>
      </c>
      <c r="AB2422" s="5" t="s">
        <v>85</v>
      </c>
      <c r="AC2422" s="5">
        <v>1</v>
      </c>
    </row>
    <row r="2423" spans="1:29" x14ac:dyDescent="0.3">
      <c r="A2423" s="34">
        <v>46274</v>
      </c>
      <c r="B2423" s="34">
        <v>46274</v>
      </c>
      <c r="C2423" s="5" t="s">
        <v>78</v>
      </c>
      <c r="D2423" s="5" t="s">
        <v>79</v>
      </c>
      <c r="E2423" s="5" t="s">
        <v>80</v>
      </c>
      <c r="F2423" s="5">
        <v>6048</v>
      </c>
      <c r="G2423" s="5" t="s">
        <v>7353</v>
      </c>
      <c r="H2423" s="5" t="s">
        <v>7354</v>
      </c>
      <c r="I2423" s="5" t="s">
        <v>234</v>
      </c>
      <c r="N2423" s="5" t="s">
        <v>7355</v>
      </c>
      <c r="O2423" s="5">
        <v>66.790000000000006</v>
      </c>
      <c r="P2423" s="5">
        <v>69.099999999999994</v>
      </c>
      <c r="Q2423" s="5">
        <v>66.16</v>
      </c>
      <c r="R2423" s="5">
        <v>67.91</v>
      </c>
      <c r="S2423" s="5">
        <v>67.599999999999994</v>
      </c>
      <c r="T2423" s="5">
        <v>67.12</v>
      </c>
      <c r="V2423" s="5">
        <v>67.92</v>
      </c>
      <c r="Y2423" s="5">
        <v>68933</v>
      </c>
      <c r="Z2423" s="5">
        <v>4687442.7</v>
      </c>
      <c r="AA2423" s="5">
        <v>406</v>
      </c>
      <c r="AB2423" s="5" t="s">
        <v>85</v>
      </c>
      <c r="AC2423" s="5">
        <v>1</v>
      </c>
    </row>
    <row r="2424" spans="1:29" x14ac:dyDescent="0.3">
      <c r="A2424" s="34">
        <v>46274</v>
      </c>
      <c r="B2424" s="34">
        <v>46274</v>
      </c>
      <c r="C2424" s="5" t="s">
        <v>78</v>
      </c>
      <c r="D2424" s="5" t="s">
        <v>79</v>
      </c>
      <c r="E2424" s="5" t="s">
        <v>80</v>
      </c>
      <c r="F2424" s="5">
        <v>17029</v>
      </c>
      <c r="G2424" s="5" t="s">
        <v>7356</v>
      </c>
      <c r="H2424" s="5" t="s">
        <v>7357</v>
      </c>
      <c r="I2424" s="5" t="s">
        <v>212</v>
      </c>
      <c r="N2424" s="5" t="s">
        <v>7358</v>
      </c>
      <c r="O2424" s="5">
        <v>341.55</v>
      </c>
      <c r="P2424" s="5">
        <v>341.55</v>
      </c>
      <c r="Q2424" s="5">
        <v>338.7</v>
      </c>
      <c r="R2424" s="5">
        <v>341</v>
      </c>
      <c r="S2424" s="5">
        <v>341</v>
      </c>
      <c r="T2424" s="5">
        <v>342</v>
      </c>
      <c r="V2424" s="5">
        <v>341.02</v>
      </c>
      <c r="Y2424" s="5">
        <v>967972</v>
      </c>
      <c r="Z2424" s="5">
        <v>328661598.44999999</v>
      </c>
      <c r="AA2424" s="5">
        <v>7173</v>
      </c>
      <c r="AB2424" s="5" t="s">
        <v>85</v>
      </c>
      <c r="AC2424" s="5">
        <v>1</v>
      </c>
    </row>
    <row r="2425" spans="1:29" x14ac:dyDescent="0.3">
      <c r="A2425" s="34">
        <v>46274</v>
      </c>
      <c r="B2425" s="34">
        <v>46274</v>
      </c>
      <c r="C2425" s="5" t="s">
        <v>78</v>
      </c>
      <c r="D2425" s="5" t="s">
        <v>79</v>
      </c>
      <c r="E2425" s="5" t="s">
        <v>80</v>
      </c>
      <c r="F2425" s="5">
        <v>11699</v>
      </c>
      <c r="G2425" s="5" t="s">
        <v>7359</v>
      </c>
      <c r="H2425" s="5" t="s">
        <v>7360</v>
      </c>
      <c r="I2425" s="5" t="s">
        <v>212</v>
      </c>
      <c r="N2425" s="5" t="s">
        <v>7361</v>
      </c>
      <c r="O2425" s="5">
        <v>26.91</v>
      </c>
      <c r="P2425" s="5">
        <v>27.22</v>
      </c>
      <c r="Q2425" s="5">
        <v>26.75</v>
      </c>
      <c r="R2425" s="5">
        <v>27.1</v>
      </c>
      <c r="S2425" s="5">
        <v>27.1</v>
      </c>
      <c r="T2425" s="5">
        <v>26.93</v>
      </c>
      <c r="V2425" s="5">
        <v>27.1</v>
      </c>
      <c r="Y2425" s="5">
        <v>1587356</v>
      </c>
      <c r="Z2425" s="5">
        <v>42786155.509999998</v>
      </c>
      <c r="AA2425" s="5">
        <v>5565</v>
      </c>
      <c r="AB2425" s="5" t="s">
        <v>85</v>
      </c>
      <c r="AC2425" s="5">
        <v>1</v>
      </c>
    </row>
    <row r="2426" spans="1:29" x14ac:dyDescent="0.3">
      <c r="A2426" s="34">
        <v>46274</v>
      </c>
      <c r="B2426" s="34">
        <v>46274</v>
      </c>
      <c r="C2426" s="5" t="s">
        <v>78</v>
      </c>
      <c r="D2426" s="5" t="s">
        <v>79</v>
      </c>
      <c r="E2426" s="5" t="s">
        <v>80</v>
      </c>
      <c r="F2426" s="5">
        <v>15223</v>
      </c>
      <c r="G2426" s="5" t="s">
        <v>7362</v>
      </c>
      <c r="H2426" s="5" t="s">
        <v>7363</v>
      </c>
      <c r="I2426" s="5" t="s">
        <v>234</v>
      </c>
      <c r="N2426" s="5" t="s">
        <v>7364</v>
      </c>
      <c r="O2426" s="5">
        <v>13.44</v>
      </c>
      <c r="P2426" s="5">
        <v>13.44</v>
      </c>
      <c r="Q2426" s="5">
        <v>13.02</v>
      </c>
      <c r="R2426" s="5">
        <v>13.15</v>
      </c>
      <c r="S2426" s="5">
        <v>13.2</v>
      </c>
      <c r="T2426" s="5">
        <v>13.3</v>
      </c>
      <c r="V2426" s="5">
        <v>13.19</v>
      </c>
      <c r="Y2426" s="5">
        <v>17082</v>
      </c>
      <c r="Z2426" s="5">
        <v>223956.47</v>
      </c>
      <c r="AA2426" s="5">
        <v>92</v>
      </c>
      <c r="AB2426" s="5" t="s">
        <v>85</v>
      </c>
      <c r="AC2426" s="5">
        <v>1</v>
      </c>
    </row>
    <row r="2427" spans="1:29" x14ac:dyDescent="0.3">
      <c r="A2427" s="34">
        <v>46274</v>
      </c>
      <c r="B2427" s="34">
        <v>46274</v>
      </c>
      <c r="C2427" s="5" t="s">
        <v>78</v>
      </c>
      <c r="D2427" s="5" t="s">
        <v>79</v>
      </c>
      <c r="E2427" s="5" t="s">
        <v>80</v>
      </c>
      <c r="F2427" s="5">
        <v>759439</v>
      </c>
      <c r="G2427" s="5" t="s">
        <v>7365</v>
      </c>
      <c r="H2427" s="5" t="s">
        <v>7366</v>
      </c>
      <c r="I2427" s="5" t="s">
        <v>212</v>
      </c>
      <c r="N2427" s="5" t="s">
        <v>7367</v>
      </c>
      <c r="O2427" s="5">
        <v>215.6</v>
      </c>
      <c r="P2427" s="5">
        <v>216.95</v>
      </c>
      <c r="Q2427" s="5">
        <v>213.35</v>
      </c>
      <c r="R2427" s="5">
        <v>214.93</v>
      </c>
      <c r="S2427" s="5">
        <v>214</v>
      </c>
      <c r="T2427" s="5">
        <v>215.2</v>
      </c>
      <c r="V2427" s="5">
        <v>214.92</v>
      </c>
      <c r="Y2427" s="5">
        <v>67218</v>
      </c>
      <c r="Z2427" s="5">
        <v>14482609.949999999</v>
      </c>
      <c r="AA2427" s="5">
        <v>1033</v>
      </c>
      <c r="AB2427" s="5" t="s">
        <v>85</v>
      </c>
      <c r="AC2427" s="5">
        <v>1</v>
      </c>
    </row>
    <row r="2428" spans="1:29" x14ac:dyDescent="0.3">
      <c r="A2428" s="34">
        <v>46274</v>
      </c>
      <c r="B2428" s="34">
        <v>46274</v>
      </c>
      <c r="C2428" s="5" t="s">
        <v>78</v>
      </c>
      <c r="D2428" s="5" t="s">
        <v>79</v>
      </c>
      <c r="E2428" s="5" t="s">
        <v>80</v>
      </c>
      <c r="F2428" s="5">
        <v>756963</v>
      </c>
      <c r="G2428" s="5" t="s">
        <v>7368</v>
      </c>
      <c r="H2428" s="5" t="s">
        <v>7369</v>
      </c>
      <c r="I2428" s="5" t="s">
        <v>313</v>
      </c>
      <c r="N2428" s="5" t="s">
        <v>7370</v>
      </c>
      <c r="O2428" s="5">
        <v>305</v>
      </c>
      <c r="P2428" s="5">
        <v>322</v>
      </c>
      <c r="Q2428" s="5">
        <v>302.8</v>
      </c>
      <c r="R2428" s="5">
        <v>314.5</v>
      </c>
      <c r="S2428" s="5">
        <v>316.95</v>
      </c>
      <c r="T2428" s="5">
        <v>301.85000000000002</v>
      </c>
      <c r="V2428" s="5">
        <v>314.5</v>
      </c>
      <c r="Y2428" s="5">
        <v>222000</v>
      </c>
      <c r="Z2428" s="5">
        <v>69603360</v>
      </c>
      <c r="AA2428" s="5">
        <v>353</v>
      </c>
      <c r="AB2428" s="5" t="s">
        <v>85</v>
      </c>
      <c r="AC2428" s="5">
        <v>600</v>
      </c>
    </row>
    <row r="2429" spans="1:29" x14ac:dyDescent="0.3">
      <c r="A2429" s="34">
        <v>46274</v>
      </c>
      <c r="B2429" s="34">
        <v>46274</v>
      </c>
      <c r="C2429" s="5" t="s">
        <v>78</v>
      </c>
      <c r="D2429" s="5" t="s">
        <v>79</v>
      </c>
      <c r="E2429" s="5" t="s">
        <v>80</v>
      </c>
      <c r="F2429" s="5">
        <v>762834</v>
      </c>
      <c r="G2429" s="5" t="s">
        <v>7371</v>
      </c>
      <c r="H2429" s="5" t="s">
        <v>7372</v>
      </c>
      <c r="I2429" s="5" t="s">
        <v>212</v>
      </c>
      <c r="N2429" s="5" t="s">
        <v>7373</v>
      </c>
      <c r="O2429" s="5">
        <v>483</v>
      </c>
      <c r="P2429" s="5">
        <v>502</v>
      </c>
      <c r="Q2429" s="5">
        <v>480.3</v>
      </c>
      <c r="R2429" s="5">
        <v>487.95</v>
      </c>
      <c r="S2429" s="5">
        <v>499.95</v>
      </c>
      <c r="T2429" s="5">
        <v>482.15</v>
      </c>
      <c r="V2429" s="5">
        <v>487.95</v>
      </c>
      <c r="Y2429" s="5">
        <v>433</v>
      </c>
      <c r="Z2429" s="5">
        <v>214089.15</v>
      </c>
      <c r="AA2429" s="5">
        <v>29</v>
      </c>
      <c r="AB2429" s="5" t="s">
        <v>85</v>
      </c>
      <c r="AC2429" s="5">
        <v>1</v>
      </c>
    </row>
    <row r="2430" spans="1:29" x14ac:dyDescent="0.3">
      <c r="A2430" s="34">
        <v>46274</v>
      </c>
      <c r="B2430" s="34">
        <v>46274</v>
      </c>
      <c r="C2430" s="5" t="s">
        <v>78</v>
      </c>
      <c r="D2430" s="5" t="s">
        <v>79</v>
      </c>
      <c r="E2430" s="5" t="s">
        <v>80</v>
      </c>
      <c r="F2430" s="5">
        <v>759969</v>
      </c>
      <c r="G2430" s="5" t="s">
        <v>7374</v>
      </c>
      <c r="H2430" s="5" t="s">
        <v>7375</v>
      </c>
      <c r="I2430" s="5" t="s">
        <v>212</v>
      </c>
      <c r="N2430" s="5" t="s">
        <v>7376</v>
      </c>
      <c r="O2430" s="5">
        <v>775.75</v>
      </c>
      <c r="P2430" s="5">
        <v>780</v>
      </c>
      <c r="Q2430" s="5">
        <v>741.6</v>
      </c>
      <c r="R2430" s="5">
        <v>754.3</v>
      </c>
      <c r="S2430" s="5">
        <v>751.1</v>
      </c>
      <c r="T2430" s="5">
        <v>770.7</v>
      </c>
      <c r="V2430" s="5">
        <v>754.08</v>
      </c>
      <c r="Y2430" s="5">
        <v>32142</v>
      </c>
      <c r="Z2430" s="5">
        <v>24245580.199999999</v>
      </c>
      <c r="AA2430" s="5">
        <v>2333</v>
      </c>
      <c r="AB2430" s="5" t="s">
        <v>85</v>
      </c>
      <c r="AC2430" s="5">
        <v>1</v>
      </c>
    </row>
    <row r="2431" spans="1:29" x14ac:dyDescent="0.3">
      <c r="A2431" s="34">
        <v>46274</v>
      </c>
      <c r="B2431" s="34">
        <v>46274</v>
      </c>
      <c r="C2431" s="5" t="s">
        <v>78</v>
      </c>
      <c r="D2431" s="5" t="s">
        <v>79</v>
      </c>
      <c r="E2431" s="5" t="s">
        <v>80</v>
      </c>
      <c r="F2431" s="5">
        <v>16192</v>
      </c>
      <c r="G2431" s="5" t="s">
        <v>7377</v>
      </c>
      <c r="H2431" s="5" t="s">
        <v>7378</v>
      </c>
      <c r="I2431" s="5" t="s">
        <v>212</v>
      </c>
      <c r="N2431" s="5" t="s">
        <v>7379</v>
      </c>
      <c r="O2431" s="5">
        <v>16.18</v>
      </c>
      <c r="P2431" s="5">
        <v>16.489999999999998</v>
      </c>
      <c r="Q2431" s="5">
        <v>14.66</v>
      </c>
      <c r="R2431" s="5">
        <v>15.17</v>
      </c>
      <c r="S2431" s="5">
        <v>15.28</v>
      </c>
      <c r="T2431" s="5">
        <v>16.18</v>
      </c>
      <c r="V2431" s="5">
        <v>15.2</v>
      </c>
      <c r="Y2431" s="5">
        <v>297906</v>
      </c>
      <c r="Z2431" s="5">
        <v>4547328.07</v>
      </c>
      <c r="AA2431" s="5">
        <v>1351</v>
      </c>
      <c r="AB2431" s="5" t="s">
        <v>85</v>
      </c>
      <c r="AC2431" s="5">
        <v>1</v>
      </c>
    </row>
    <row r="2432" spans="1:29" x14ac:dyDescent="0.3">
      <c r="A2432" s="34">
        <v>46274</v>
      </c>
      <c r="B2432" s="34">
        <v>46274</v>
      </c>
      <c r="C2432" s="5" t="s">
        <v>78</v>
      </c>
      <c r="D2432" s="5" t="s">
        <v>79</v>
      </c>
      <c r="E2432" s="5" t="s">
        <v>80</v>
      </c>
      <c r="F2432" s="5">
        <v>6656</v>
      </c>
      <c r="G2432" s="5" t="s">
        <v>7380</v>
      </c>
      <c r="H2432" s="5" t="s">
        <v>7381</v>
      </c>
      <c r="I2432" s="5" t="s">
        <v>212</v>
      </c>
      <c r="N2432" s="5" t="s">
        <v>7382</v>
      </c>
      <c r="O2432" s="5">
        <v>1800</v>
      </c>
      <c r="P2432" s="5">
        <v>1814.7</v>
      </c>
      <c r="Q2432" s="5">
        <v>1787.5</v>
      </c>
      <c r="R2432" s="5">
        <v>1800</v>
      </c>
      <c r="S2432" s="5">
        <v>1800</v>
      </c>
      <c r="T2432" s="5">
        <v>1826</v>
      </c>
      <c r="V2432" s="5">
        <v>1799.99</v>
      </c>
      <c r="Y2432" s="5">
        <v>1177932</v>
      </c>
      <c r="Z2432" s="5">
        <v>2125494184.4000001</v>
      </c>
      <c r="AA2432" s="5">
        <v>35019</v>
      </c>
      <c r="AB2432" s="5" t="s">
        <v>85</v>
      </c>
      <c r="AC2432" s="5">
        <v>1</v>
      </c>
    </row>
    <row r="2433" spans="1:29" x14ac:dyDescent="0.3">
      <c r="A2433" s="34">
        <v>46274</v>
      </c>
      <c r="B2433" s="34">
        <v>46274</v>
      </c>
      <c r="C2433" s="5" t="s">
        <v>78</v>
      </c>
      <c r="D2433" s="5" t="s">
        <v>79</v>
      </c>
      <c r="E2433" s="5" t="s">
        <v>80</v>
      </c>
      <c r="F2433" s="5">
        <v>29124</v>
      </c>
      <c r="G2433" s="5" t="s">
        <v>7383</v>
      </c>
      <c r="H2433" s="5" t="s">
        <v>7384</v>
      </c>
      <c r="I2433" s="5" t="s">
        <v>212</v>
      </c>
      <c r="N2433" s="5" t="s">
        <v>7385</v>
      </c>
      <c r="O2433" s="5">
        <v>13.6</v>
      </c>
      <c r="P2433" s="5">
        <v>14.08</v>
      </c>
      <c r="Q2433" s="5">
        <v>13.45</v>
      </c>
      <c r="R2433" s="5">
        <v>13.87</v>
      </c>
      <c r="S2433" s="5">
        <v>13.92</v>
      </c>
      <c r="T2433" s="5">
        <v>13.52</v>
      </c>
      <c r="V2433" s="5">
        <v>13.87</v>
      </c>
      <c r="Y2433" s="5">
        <v>697754870</v>
      </c>
      <c r="Z2433" s="5">
        <v>9637351126.7600002</v>
      </c>
      <c r="AA2433" s="5">
        <v>234912</v>
      </c>
      <c r="AB2433" s="5" t="s">
        <v>85</v>
      </c>
      <c r="AC2433" s="5">
        <v>1</v>
      </c>
    </row>
    <row r="2434" spans="1:29" x14ac:dyDescent="0.3">
      <c r="A2434" s="34">
        <v>46274</v>
      </c>
      <c r="B2434" s="34">
        <v>46274</v>
      </c>
      <c r="C2434" s="5" t="s">
        <v>78</v>
      </c>
      <c r="D2434" s="5" t="s">
        <v>79</v>
      </c>
      <c r="E2434" s="5" t="s">
        <v>80</v>
      </c>
      <c r="F2434" s="5">
        <v>2649</v>
      </c>
      <c r="G2434" s="5" t="s">
        <v>7386</v>
      </c>
      <c r="H2434" s="5" t="s">
        <v>7387</v>
      </c>
      <c r="I2434" s="5" t="s">
        <v>212</v>
      </c>
      <c r="N2434" s="5" t="s">
        <v>7388</v>
      </c>
      <c r="O2434" s="5">
        <v>330.9</v>
      </c>
      <c r="P2434" s="5">
        <v>341.5</v>
      </c>
      <c r="Q2434" s="5">
        <v>326.14999999999998</v>
      </c>
      <c r="R2434" s="5">
        <v>334.95</v>
      </c>
      <c r="S2434" s="5">
        <v>334.9</v>
      </c>
      <c r="T2434" s="5">
        <v>328.8</v>
      </c>
      <c r="V2434" s="5">
        <v>334.95</v>
      </c>
      <c r="Y2434" s="5">
        <v>6364541</v>
      </c>
      <c r="Z2434" s="5">
        <v>2137824453.55</v>
      </c>
      <c r="AA2434" s="5">
        <v>92762</v>
      </c>
      <c r="AB2434" s="5" t="s">
        <v>85</v>
      </c>
      <c r="AC2434" s="5">
        <v>1</v>
      </c>
    </row>
    <row r="2435" spans="1:29" x14ac:dyDescent="0.3">
      <c r="A2435" s="34">
        <v>46274</v>
      </c>
      <c r="B2435" s="34">
        <v>46274</v>
      </c>
      <c r="C2435" s="5" t="s">
        <v>78</v>
      </c>
      <c r="D2435" s="5" t="s">
        <v>79</v>
      </c>
      <c r="E2435" s="5" t="s">
        <v>80</v>
      </c>
      <c r="F2435" s="5">
        <v>5264</v>
      </c>
      <c r="G2435" s="5" t="s">
        <v>7389</v>
      </c>
      <c r="H2435" s="5" t="s">
        <v>7390</v>
      </c>
      <c r="I2435" s="5" t="s">
        <v>212</v>
      </c>
      <c r="N2435" s="5" t="s">
        <v>7391</v>
      </c>
      <c r="O2435" s="5">
        <v>344</v>
      </c>
      <c r="P2435" s="5">
        <v>354.05</v>
      </c>
      <c r="Q2435" s="5">
        <v>341.95</v>
      </c>
      <c r="R2435" s="5">
        <v>345.7</v>
      </c>
      <c r="S2435" s="5">
        <v>345.65</v>
      </c>
      <c r="T2435" s="5">
        <v>346.2</v>
      </c>
      <c r="V2435" s="5">
        <v>345.7</v>
      </c>
      <c r="Y2435" s="5">
        <v>233662</v>
      </c>
      <c r="Z2435" s="5">
        <v>81053191.349999994</v>
      </c>
      <c r="AA2435" s="5">
        <v>3767</v>
      </c>
      <c r="AB2435" s="5" t="s">
        <v>85</v>
      </c>
      <c r="AC2435" s="5">
        <v>1</v>
      </c>
    </row>
    <row r="2436" spans="1:29" x14ac:dyDescent="0.3">
      <c r="A2436" s="34">
        <v>46274</v>
      </c>
      <c r="B2436" s="34">
        <v>46274</v>
      </c>
      <c r="C2436" s="5" t="s">
        <v>78</v>
      </c>
      <c r="D2436" s="5" t="s">
        <v>79</v>
      </c>
      <c r="E2436" s="5" t="s">
        <v>80</v>
      </c>
      <c r="F2436" s="5">
        <v>14260</v>
      </c>
      <c r="G2436" s="5" t="s">
        <v>7392</v>
      </c>
      <c r="H2436" s="5" t="s">
        <v>7393</v>
      </c>
      <c r="I2436" s="5" t="s">
        <v>212</v>
      </c>
      <c r="N2436" s="5" t="s">
        <v>7394</v>
      </c>
      <c r="O2436" s="5">
        <v>2369.1</v>
      </c>
      <c r="P2436" s="5">
        <v>2388.6999999999998</v>
      </c>
      <c r="Q2436" s="5">
        <v>2215.5</v>
      </c>
      <c r="R2436" s="5">
        <v>2277.9</v>
      </c>
      <c r="S2436" s="5">
        <v>2276.1</v>
      </c>
      <c r="T2436" s="5">
        <v>2366.8000000000002</v>
      </c>
      <c r="V2436" s="5">
        <v>2277.92</v>
      </c>
      <c r="Y2436" s="5">
        <v>97199</v>
      </c>
      <c r="Z2436" s="5">
        <v>222036913.30000001</v>
      </c>
      <c r="AA2436" s="5">
        <v>13265</v>
      </c>
      <c r="AB2436" s="5" t="s">
        <v>85</v>
      </c>
      <c r="AC2436" s="5">
        <v>1</v>
      </c>
    </row>
    <row r="2437" spans="1:29" x14ac:dyDescent="0.3">
      <c r="A2437" s="34">
        <v>46274</v>
      </c>
      <c r="B2437" s="34">
        <v>46274</v>
      </c>
      <c r="C2437" s="5" t="s">
        <v>78</v>
      </c>
      <c r="D2437" s="5" t="s">
        <v>79</v>
      </c>
      <c r="E2437" s="5" t="s">
        <v>80</v>
      </c>
      <c r="F2437" s="5">
        <v>2610</v>
      </c>
      <c r="G2437" s="5" t="s">
        <v>7395</v>
      </c>
      <c r="H2437" s="5" t="s">
        <v>7396</v>
      </c>
      <c r="I2437" s="5" t="s">
        <v>212</v>
      </c>
      <c r="N2437" s="5" t="s">
        <v>7397</v>
      </c>
      <c r="O2437" s="5">
        <v>16</v>
      </c>
      <c r="P2437" s="5">
        <v>16</v>
      </c>
      <c r="Q2437" s="5">
        <v>15.57</v>
      </c>
      <c r="R2437" s="5">
        <v>15.61</v>
      </c>
      <c r="S2437" s="5">
        <v>15.6</v>
      </c>
      <c r="T2437" s="5">
        <v>15.64</v>
      </c>
      <c r="V2437" s="5">
        <v>15.61</v>
      </c>
      <c r="Y2437" s="5">
        <v>5371</v>
      </c>
      <c r="Z2437" s="5">
        <v>84155.74</v>
      </c>
      <c r="AA2437" s="5">
        <v>60</v>
      </c>
      <c r="AB2437" s="5" t="s">
        <v>85</v>
      </c>
      <c r="AC2437" s="5">
        <v>1</v>
      </c>
    </row>
    <row r="2438" spans="1:29" x14ac:dyDescent="0.3">
      <c r="A2438" s="34">
        <v>46274</v>
      </c>
      <c r="B2438" s="34">
        <v>46274</v>
      </c>
      <c r="C2438" s="5" t="s">
        <v>78</v>
      </c>
      <c r="D2438" s="5" t="s">
        <v>79</v>
      </c>
      <c r="E2438" s="5" t="s">
        <v>80</v>
      </c>
      <c r="F2438" s="5">
        <v>25408</v>
      </c>
      <c r="G2438" s="5" t="s">
        <v>7398</v>
      </c>
      <c r="H2438" s="5" t="s">
        <v>7399</v>
      </c>
      <c r="I2438" s="5" t="s">
        <v>313</v>
      </c>
      <c r="N2438" s="5" t="s">
        <v>7400</v>
      </c>
      <c r="O2438" s="5">
        <v>380</v>
      </c>
      <c r="P2438" s="5">
        <v>398.75</v>
      </c>
      <c r="Q2438" s="5">
        <v>380</v>
      </c>
      <c r="R2438" s="5">
        <v>389</v>
      </c>
      <c r="S2438" s="5">
        <v>389</v>
      </c>
      <c r="T2438" s="5">
        <v>390.2</v>
      </c>
      <c r="V2438" s="5">
        <v>389</v>
      </c>
      <c r="Y2438" s="5">
        <v>11700</v>
      </c>
      <c r="Z2438" s="5">
        <v>4570110</v>
      </c>
      <c r="AA2438" s="5">
        <v>32</v>
      </c>
      <c r="AB2438" s="5" t="s">
        <v>85</v>
      </c>
      <c r="AC2438" s="5">
        <v>300</v>
      </c>
    </row>
    <row r="2439" spans="1:29" x14ac:dyDescent="0.3">
      <c r="A2439" s="34">
        <v>46274</v>
      </c>
      <c r="B2439" s="34">
        <v>46274</v>
      </c>
      <c r="C2439" s="5" t="s">
        <v>78</v>
      </c>
      <c r="D2439" s="5" t="s">
        <v>79</v>
      </c>
      <c r="E2439" s="5" t="s">
        <v>80</v>
      </c>
      <c r="F2439" s="5">
        <v>2256</v>
      </c>
      <c r="G2439" s="5" t="s">
        <v>7401</v>
      </c>
      <c r="H2439" s="5" t="s">
        <v>7402</v>
      </c>
      <c r="I2439" s="5" t="s">
        <v>212</v>
      </c>
      <c r="N2439" s="5" t="s">
        <v>7403</v>
      </c>
      <c r="O2439" s="5">
        <v>16.23</v>
      </c>
      <c r="P2439" s="5">
        <v>16.23</v>
      </c>
      <c r="Q2439" s="5">
        <v>15.3</v>
      </c>
      <c r="R2439" s="5">
        <v>15.56</v>
      </c>
      <c r="S2439" s="5">
        <v>15.41</v>
      </c>
      <c r="T2439" s="5">
        <v>15.67</v>
      </c>
      <c r="V2439" s="5">
        <v>15.54</v>
      </c>
      <c r="Y2439" s="5">
        <v>70378</v>
      </c>
      <c r="Z2439" s="5">
        <v>1096227.05</v>
      </c>
      <c r="AA2439" s="5">
        <v>294</v>
      </c>
      <c r="AB2439" s="5" t="s">
        <v>85</v>
      </c>
      <c r="AC2439" s="5">
        <v>1</v>
      </c>
    </row>
    <row r="2440" spans="1:29" x14ac:dyDescent="0.3">
      <c r="A2440" s="34">
        <v>46274</v>
      </c>
      <c r="B2440" s="34">
        <v>46274</v>
      </c>
      <c r="C2440" s="5" t="s">
        <v>78</v>
      </c>
      <c r="D2440" s="5" t="s">
        <v>79</v>
      </c>
      <c r="E2440" s="5" t="s">
        <v>80</v>
      </c>
      <c r="F2440" s="5">
        <v>20621</v>
      </c>
      <c r="G2440" s="5" t="s">
        <v>7404</v>
      </c>
      <c r="H2440" s="5" t="s">
        <v>7405</v>
      </c>
      <c r="I2440" s="5" t="s">
        <v>212</v>
      </c>
      <c r="N2440" s="5" t="s">
        <v>7406</v>
      </c>
      <c r="O2440" s="5">
        <v>180.62</v>
      </c>
      <c r="P2440" s="5">
        <v>181.42</v>
      </c>
      <c r="Q2440" s="5">
        <v>176.21</v>
      </c>
      <c r="R2440" s="5">
        <v>178.08</v>
      </c>
      <c r="S2440" s="5">
        <v>177.74</v>
      </c>
      <c r="T2440" s="5">
        <v>180.62</v>
      </c>
      <c r="V2440" s="5">
        <v>178.08</v>
      </c>
      <c r="Y2440" s="5">
        <v>603270</v>
      </c>
      <c r="Z2440" s="5">
        <v>107745872.40000001</v>
      </c>
      <c r="AA2440" s="5">
        <v>8005</v>
      </c>
      <c r="AB2440" s="5" t="s">
        <v>85</v>
      </c>
      <c r="AC2440" s="5">
        <v>1</v>
      </c>
    </row>
    <row r="2441" spans="1:29" x14ac:dyDescent="0.3">
      <c r="A2441" s="34">
        <v>46274</v>
      </c>
      <c r="B2441" s="34">
        <v>46274</v>
      </c>
      <c r="C2441" s="5" t="s">
        <v>78</v>
      </c>
      <c r="D2441" s="5" t="s">
        <v>79</v>
      </c>
      <c r="E2441" s="5" t="s">
        <v>80</v>
      </c>
      <c r="F2441" s="5">
        <v>17132</v>
      </c>
      <c r="G2441" s="5" t="s">
        <v>7407</v>
      </c>
      <c r="H2441" s="5" t="s">
        <v>7408</v>
      </c>
      <c r="I2441" s="5" t="s">
        <v>313</v>
      </c>
      <c r="N2441" s="5" t="s">
        <v>7409</v>
      </c>
      <c r="O2441" s="5">
        <v>100.1</v>
      </c>
      <c r="P2441" s="5">
        <v>100.1</v>
      </c>
      <c r="Q2441" s="5">
        <v>91.55</v>
      </c>
      <c r="R2441" s="5">
        <v>97.8</v>
      </c>
      <c r="S2441" s="5">
        <v>99</v>
      </c>
      <c r="T2441" s="5">
        <v>96</v>
      </c>
      <c r="V2441" s="5">
        <v>97.8</v>
      </c>
      <c r="Y2441" s="5">
        <v>56000</v>
      </c>
      <c r="Z2441" s="5">
        <v>5373600</v>
      </c>
      <c r="AA2441" s="5">
        <v>47</v>
      </c>
      <c r="AB2441" s="5" t="s">
        <v>85</v>
      </c>
      <c r="AC2441" s="5">
        <v>1000</v>
      </c>
    </row>
    <row r="2442" spans="1:29" x14ac:dyDescent="0.3">
      <c r="A2442" s="34">
        <v>46274</v>
      </c>
      <c r="B2442" s="34">
        <v>46274</v>
      </c>
      <c r="C2442" s="5" t="s">
        <v>78</v>
      </c>
      <c r="D2442" s="5" t="s">
        <v>79</v>
      </c>
      <c r="E2442" s="5" t="s">
        <v>80</v>
      </c>
      <c r="F2442" s="5">
        <v>758121</v>
      </c>
      <c r="G2442" s="5" t="s">
        <v>7410</v>
      </c>
      <c r="H2442" s="5" t="s">
        <v>7411</v>
      </c>
      <c r="I2442" s="5" t="s">
        <v>7412</v>
      </c>
      <c r="N2442" s="5" t="s">
        <v>7413</v>
      </c>
      <c r="O2442" s="5">
        <v>1.8</v>
      </c>
      <c r="P2442" s="5">
        <v>1.8</v>
      </c>
      <c r="Q2442" s="5">
        <v>1.8</v>
      </c>
      <c r="R2442" s="5">
        <v>1.8</v>
      </c>
      <c r="S2442" s="5">
        <v>1.8</v>
      </c>
      <c r="T2442" s="5">
        <v>1.85</v>
      </c>
      <c r="V2442" s="5">
        <v>1.8</v>
      </c>
      <c r="Y2442" s="5">
        <v>6000</v>
      </c>
      <c r="Z2442" s="5">
        <v>10800</v>
      </c>
      <c r="AA2442" s="5">
        <v>1</v>
      </c>
      <c r="AB2442" s="5" t="s">
        <v>85</v>
      </c>
      <c r="AC2442" s="5">
        <v>3000</v>
      </c>
    </row>
    <row r="2443" spans="1:29" x14ac:dyDescent="0.3">
      <c r="A2443" s="34">
        <v>46274</v>
      </c>
      <c r="B2443" s="34">
        <v>46274</v>
      </c>
      <c r="C2443" s="5" t="s">
        <v>78</v>
      </c>
      <c r="D2443" s="5" t="s">
        <v>79</v>
      </c>
      <c r="E2443" s="5" t="s">
        <v>80</v>
      </c>
      <c r="F2443" s="5">
        <v>764838</v>
      </c>
      <c r="G2443" s="5" t="s">
        <v>7414</v>
      </c>
      <c r="H2443" s="5" t="s">
        <v>7415</v>
      </c>
      <c r="I2443" s="5" t="s">
        <v>212</v>
      </c>
      <c r="N2443" s="5" t="s">
        <v>7416</v>
      </c>
      <c r="O2443" s="5">
        <v>864.8</v>
      </c>
      <c r="P2443" s="5">
        <v>864.8</v>
      </c>
      <c r="Q2443" s="5">
        <v>838.05</v>
      </c>
      <c r="R2443" s="5">
        <v>843.3</v>
      </c>
      <c r="S2443" s="5">
        <v>844</v>
      </c>
      <c r="T2443" s="5">
        <v>863.1</v>
      </c>
      <c r="V2443" s="5">
        <v>843.9</v>
      </c>
      <c r="Y2443" s="5">
        <v>5717</v>
      </c>
      <c r="Z2443" s="5">
        <v>4854490.25</v>
      </c>
      <c r="AA2443" s="5">
        <v>491</v>
      </c>
      <c r="AB2443" s="5" t="s">
        <v>85</v>
      </c>
      <c r="AC2443" s="5">
        <v>1</v>
      </c>
    </row>
    <row r="2444" spans="1:29" x14ac:dyDescent="0.3">
      <c r="A2444" s="34">
        <v>46274</v>
      </c>
      <c r="B2444" s="34">
        <v>46274</v>
      </c>
      <c r="C2444" s="5" t="s">
        <v>78</v>
      </c>
      <c r="D2444" s="5" t="s">
        <v>79</v>
      </c>
      <c r="E2444" s="5" t="s">
        <v>80</v>
      </c>
      <c r="F2444" s="5">
        <v>18365</v>
      </c>
      <c r="G2444" s="5" t="s">
        <v>7417</v>
      </c>
      <c r="H2444" s="5" t="s">
        <v>7418</v>
      </c>
      <c r="I2444" s="5" t="s">
        <v>212</v>
      </c>
      <c r="N2444" s="5" t="s">
        <v>7419</v>
      </c>
      <c r="O2444" s="5">
        <v>5490</v>
      </c>
      <c r="P2444" s="5">
        <v>5490</v>
      </c>
      <c r="Q2444" s="5">
        <v>5372.5</v>
      </c>
      <c r="R2444" s="5">
        <v>5419</v>
      </c>
      <c r="S2444" s="5">
        <v>5419</v>
      </c>
      <c r="T2444" s="5">
        <v>5560</v>
      </c>
      <c r="V2444" s="5">
        <v>5418.76</v>
      </c>
      <c r="Y2444" s="5">
        <v>599190</v>
      </c>
      <c r="Z2444" s="5">
        <v>3253918819.5</v>
      </c>
      <c r="AA2444" s="5">
        <v>44417</v>
      </c>
      <c r="AB2444" s="5" t="s">
        <v>85</v>
      </c>
      <c r="AC2444" s="5">
        <v>1</v>
      </c>
    </row>
    <row r="2445" spans="1:29" x14ac:dyDescent="0.3">
      <c r="A2445" s="34">
        <v>46274</v>
      </c>
      <c r="B2445" s="34">
        <v>46274</v>
      </c>
      <c r="C2445" s="5" t="s">
        <v>78</v>
      </c>
      <c r="D2445" s="5" t="s">
        <v>79</v>
      </c>
      <c r="E2445" s="5" t="s">
        <v>80</v>
      </c>
      <c r="F2445" s="5">
        <v>24290</v>
      </c>
      <c r="G2445" s="5" t="s">
        <v>7420</v>
      </c>
      <c r="H2445" s="5" t="s">
        <v>7421</v>
      </c>
      <c r="I2445" s="5" t="s">
        <v>313</v>
      </c>
      <c r="N2445" s="5" t="s">
        <v>7422</v>
      </c>
      <c r="O2445" s="5">
        <v>427.2</v>
      </c>
      <c r="P2445" s="5">
        <v>444</v>
      </c>
      <c r="Q2445" s="5">
        <v>427.2</v>
      </c>
      <c r="R2445" s="5">
        <v>436.95</v>
      </c>
      <c r="S2445" s="5">
        <v>444</v>
      </c>
      <c r="T2445" s="5">
        <v>427.2</v>
      </c>
      <c r="V2445" s="5">
        <v>436.95</v>
      </c>
      <c r="Y2445" s="5">
        <v>32400</v>
      </c>
      <c r="Z2445" s="5">
        <v>14088300</v>
      </c>
      <c r="AA2445" s="5">
        <v>46</v>
      </c>
      <c r="AB2445" s="5" t="s">
        <v>85</v>
      </c>
      <c r="AC2445" s="5">
        <v>400</v>
      </c>
    </row>
    <row r="2446" spans="1:29" x14ac:dyDescent="0.3">
      <c r="A2446" s="34">
        <v>46274</v>
      </c>
      <c r="B2446" s="34">
        <v>46274</v>
      </c>
      <c r="C2446" s="5" t="s">
        <v>78</v>
      </c>
      <c r="D2446" s="5" t="s">
        <v>79</v>
      </c>
      <c r="E2446" s="5" t="s">
        <v>80</v>
      </c>
      <c r="F2446" s="5">
        <v>11351</v>
      </c>
      <c r="G2446" s="5" t="s">
        <v>7423</v>
      </c>
      <c r="H2446" s="5" t="s">
        <v>7424</v>
      </c>
      <c r="I2446" s="5" t="s">
        <v>212</v>
      </c>
      <c r="N2446" s="5" t="s">
        <v>7425</v>
      </c>
      <c r="O2446" s="5">
        <v>285.8</v>
      </c>
      <c r="P2446" s="5">
        <v>288.5</v>
      </c>
      <c r="Q2446" s="5">
        <v>284.14999999999998</v>
      </c>
      <c r="R2446" s="5">
        <v>285.89999999999998</v>
      </c>
      <c r="S2446" s="5">
        <v>285.89999999999998</v>
      </c>
      <c r="T2446" s="5">
        <v>285.8</v>
      </c>
      <c r="V2446" s="5">
        <v>285.89999999999998</v>
      </c>
      <c r="Y2446" s="5">
        <v>1133536</v>
      </c>
      <c r="Z2446" s="5">
        <v>325503812.85000002</v>
      </c>
      <c r="AA2446" s="5">
        <v>19582</v>
      </c>
      <c r="AB2446" s="5" t="s">
        <v>85</v>
      </c>
      <c r="AC2446" s="5">
        <v>1</v>
      </c>
    </row>
    <row r="2447" spans="1:29" x14ac:dyDescent="0.3">
      <c r="A2447" s="34">
        <v>46274</v>
      </c>
      <c r="B2447" s="34">
        <v>46274</v>
      </c>
      <c r="C2447" s="5" t="s">
        <v>78</v>
      </c>
      <c r="D2447" s="5" t="s">
        <v>79</v>
      </c>
      <c r="E2447" s="5" t="s">
        <v>80</v>
      </c>
      <c r="F2447" s="5">
        <v>760801</v>
      </c>
      <c r="G2447" s="5" t="s">
        <v>7426</v>
      </c>
      <c r="H2447" s="5" t="s">
        <v>7427</v>
      </c>
      <c r="I2447" s="5" t="s">
        <v>7428</v>
      </c>
      <c r="N2447" s="5" t="s">
        <v>7429</v>
      </c>
      <c r="O2447" s="5">
        <v>1000.05</v>
      </c>
      <c r="P2447" s="5">
        <v>1000.05</v>
      </c>
      <c r="Q2447" s="5">
        <v>1000.05</v>
      </c>
      <c r="R2447" s="5">
        <v>1000.05</v>
      </c>
      <c r="S2447" s="5">
        <v>1000.05</v>
      </c>
      <c r="T2447" s="5">
        <v>1000.01</v>
      </c>
      <c r="V2447" s="5">
        <v>1000.05</v>
      </c>
      <c r="Y2447" s="5">
        <v>4</v>
      </c>
      <c r="Z2447" s="5">
        <v>4000.2</v>
      </c>
      <c r="AA2447" s="5">
        <v>1</v>
      </c>
      <c r="AB2447" s="5" t="s">
        <v>85</v>
      </c>
      <c r="AC2447" s="5">
        <v>1</v>
      </c>
    </row>
    <row r="2448" spans="1:29" x14ac:dyDescent="0.3">
      <c r="A2448" s="34">
        <v>46274</v>
      </c>
      <c r="B2448" s="34">
        <v>46274</v>
      </c>
      <c r="C2448" s="5" t="s">
        <v>78</v>
      </c>
      <c r="D2448" s="5" t="s">
        <v>79</v>
      </c>
      <c r="E2448" s="5" t="s">
        <v>80</v>
      </c>
      <c r="F2448" s="5">
        <v>2643</v>
      </c>
      <c r="G2448" s="5" t="s">
        <v>7430</v>
      </c>
      <c r="H2448" s="5" t="s">
        <v>7431</v>
      </c>
      <c r="I2448" s="5" t="s">
        <v>212</v>
      </c>
      <c r="N2448" s="5" t="s">
        <v>7432</v>
      </c>
      <c r="O2448" s="5">
        <v>4310.7</v>
      </c>
      <c r="P2448" s="5">
        <v>4318</v>
      </c>
      <c r="Q2448" s="5">
        <v>4158.3999999999996</v>
      </c>
      <c r="R2448" s="5">
        <v>4171</v>
      </c>
      <c r="S2448" s="5">
        <v>4173.5</v>
      </c>
      <c r="T2448" s="5">
        <v>4310.7</v>
      </c>
      <c r="V2448" s="5">
        <v>4171.05</v>
      </c>
      <c r="Y2448" s="5">
        <v>125703</v>
      </c>
      <c r="Z2448" s="5">
        <v>528326070.39999998</v>
      </c>
      <c r="AA2448" s="5">
        <v>25184</v>
      </c>
      <c r="AB2448" s="5" t="s">
        <v>85</v>
      </c>
      <c r="AC2448" s="5">
        <v>1</v>
      </c>
    </row>
    <row r="2449" spans="1:29" x14ac:dyDescent="0.3">
      <c r="A2449" s="34">
        <v>46274</v>
      </c>
      <c r="B2449" s="34">
        <v>46274</v>
      </c>
      <c r="C2449" s="5" t="s">
        <v>78</v>
      </c>
      <c r="D2449" s="5" t="s">
        <v>79</v>
      </c>
      <c r="E2449" s="5" t="s">
        <v>80</v>
      </c>
      <c r="F2449" s="5">
        <v>25358</v>
      </c>
      <c r="G2449" s="5" t="s">
        <v>7433</v>
      </c>
      <c r="H2449" s="5" t="s">
        <v>7434</v>
      </c>
      <c r="I2449" s="5" t="s">
        <v>212</v>
      </c>
      <c r="N2449" s="5" t="s">
        <v>7435</v>
      </c>
      <c r="O2449" s="5">
        <v>553.5</v>
      </c>
      <c r="P2449" s="5">
        <v>557.15</v>
      </c>
      <c r="Q2449" s="5">
        <v>539.45000000000005</v>
      </c>
      <c r="R2449" s="5">
        <v>542.5</v>
      </c>
      <c r="S2449" s="5">
        <v>542.5</v>
      </c>
      <c r="T2449" s="5">
        <v>553.70000000000005</v>
      </c>
      <c r="V2449" s="5">
        <v>542.51</v>
      </c>
      <c r="Y2449" s="5">
        <v>1621300</v>
      </c>
      <c r="Z2449" s="5">
        <v>884088874.85000002</v>
      </c>
      <c r="AA2449" s="5">
        <v>28276</v>
      </c>
      <c r="AB2449" s="5" t="s">
        <v>85</v>
      </c>
      <c r="AC2449" s="5">
        <v>1</v>
      </c>
    </row>
    <row r="2450" spans="1:29" x14ac:dyDescent="0.3">
      <c r="A2450" s="34">
        <v>46274</v>
      </c>
      <c r="B2450" s="34">
        <v>46274</v>
      </c>
      <c r="C2450" s="5" t="s">
        <v>78</v>
      </c>
      <c r="D2450" s="5" t="s">
        <v>79</v>
      </c>
      <c r="E2450" s="5" t="s">
        <v>80</v>
      </c>
      <c r="F2450" s="5">
        <v>11612</v>
      </c>
      <c r="G2450" s="5" t="s">
        <v>7436</v>
      </c>
      <c r="H2450" s="5" t="s">
        <v>7437</v>
      </c>
      <c r="I2450" s="5" t="s">
        <v>313</v>
      </c>
      <c r="N2450" s="5" t="s">
        <v>7438</v>
      </c>
      <c r="O2450" s="5">
        <v>113</v>
      </c>
      <c r="P2450" s="5">
        <v>118.4</v>
      </c>
      <c r="Q2450" s="5">
        <v>112</v>
      </c>
      <c r="R2450" s="5">
        <v>115.2</v>
      </c>
      <c r="S2450" s="5">
        <v>115</v>
      </c>
      <c r="T2450" s="5">
        <v>115.95</v>
      </c>
      <c r="V2450" s="5">
        <v>115.2</v>
      </c>
      <c r="Y2450" s="5">
        <v>23400</v>
      </c>
      <c r="Z2450" s="5">
        <v>2697375</v>
      </c>
      <c r="AA2450" s="5">
        <v>65</v>
      </c>
      <c r="AB2450" s="5" t="s">
        <v>85</v>
      </c>
      <c r="AC2450" s="5">
        <v>300</v>
      </c>
    </row>
    <row r="2451" spans="1:29" x14ac:dyDescent="0.3">
      <c r="A2451" s="34">
        <v>46274</v>
      </c>
      <c r="B2451" s="34">
        <v>46274</v>
      </c>
      <c r="C2451" s="5" t="s">
        <v>78</v>
      </c>
      <c r="D2451" s="5" t="s">
        <v>79</v>
      </c>
      <c r="E2451" s="5" t="s">
        <v>80</v>
      </c>
      <c r="F2451" s="5">
        <v>2658</v>
      </c>
      <c r="G2451" s="5" t="s">
        <v>7439</v>
      </c>
      <c r="H2451" s="5" t="s">
        <v>7440</v>
      </c>
      <c r="I2451" s="5" t="s">
        <v>212</v>
      </c>
      <c r="N2451" s="5" t="s">
        <v>7441</v>
      </c>
      <c r="O2451" s="5">
        <v>29.6</v>
      </c>
      <c r="P2451" s="5">
        <v>30.2</v>
      </c>
      <c r="Q2451" s="5">
        <v>29.06</v>
      </c>
      <c r="R2451" s="5">
        <v>30.2</v>
      </c>
      <c r="S2451" s="5">
        <v>30.2</v>
      </c>
      <c r="T2451" s="5">
        <v>29.81</v>
      </c>
      <c r="V2451" s="5">
        <v>30.2</v>
      </c>
      <c r="Y2451" s="5">
        <v>2017</v>
      </c>
      <c r="Z2451" s="5">
        <v>60448.19</v>
      </c>
      <c r="AA2451" s="5">
        <v>34</v>
      </c>
      <c r="AB2451" s="5" t="s">
        <v>85</v>
      </c>
      <c r="AC2451" s="5">
        <v>1</v>
      </c>
    </row>
    <row r="2452" spans="1:29" x14ac:dyDescent="0.3">
      <c r="A2452" s="34">
        <v>46274</v>
      </c>
      <c r="B2452" s="34">
        <v>46274</v>
      </c>
      <c r="C2452" s="5" t="s">
        <v>78</v>
      </c>
      <c r="D2452" s="5" t="s">
        <v>79</v>
      </c>
      <c r="E2452" s="5" t="s">
        <v>80</v>
      </c>
      <c r="F2452" s="5">
        <v>25513</v>
      </c>
      <c r="G2452" s="5" t="s">
        <v>7442</v>
      </c>
      <c r="H2452" s="5" t="s">
        <v>7443</v>
      </c>
      <c r="I2452" s="5" t="s">
        <v>313</v>
      </c>
      <c r="N2452" s="5" t="s">
        <v>7444</v>
      </c>
      <c r="O2452" s="5">
        <v>13.35</v>
      </c>
      <c r="P2452" s="5">
        <v>14.2</v>
      </c>
      <c r="Q2452" s="5">
        <v>13.35</v>
      </c>
      <c r="R2452" s="5">
        <v>14.2</v>
      </c>
      <c r="S2452" s="5">
        <v>14.2</v>
      </c>
      <c r="T2452" s="5">
        <v>14.15</v>
      </c>
      <c r="V2452" s="5">
        <v>14.2</v>
      </c>
      <c r="Y2452" s="5">
        <v>10000</v>
      </c>
      <c r="Z2452" s="5">
        <v>137900</v>
      </c>
      <c r="AA2452" s="5">
        <v>5</v>
      </c>
      <c r="AB2452" s="5" t="s">
        <v>85</v>
      </c>
      <c r="AC2452" s="5">
        <v>2000</v>
      </c>
    </row>
    <row r="2453" spans="1:29" x14ac:dyDescent="0.3">
      <c r="A2453" s="34">
        <v>46274</v>
      </c>
      <c r="B2453" s="34">
        <v>46274</v>
      </c>
      <c r="C2453" s="5" t="s">
        <v>78</v>
      </c>
      <c r="D2453" s="5" t="s">
        <v>79</v>
      </c>
      <c r="E2453" s="5" t="s">
        <v>80</v>
      </c>
      <c r="F2453" s="5">
        <v>759723</v>
      </c>
      <c r="G2453" s="5" t="s">
        <v>7445</v>
      </c>
      <c r="H2453" s="5" t="s">
        <v>7446</v>
      </c>
      <c r="I2453" s="5" t="s">
        <v>212</v>
      </c>
      <c r="N2453" s="5" t="s">
        <v>7447</v>
      </c>
      <c r="O2453" s="5">
        <v>126</v>
      </c>
      <c r="P2453" s="5">
        <v>126.8</v>
      </c>
      <c r="Q2453" s="5">
        <v>123.57</v>
      </c>
      <c r="R2453" s="5">
        <v>125.37</v>
      </c>
      <c r="S2453" s="5">
        <v>125.31</v>
      </c>
      <c r="T2453" s="5">
        <v>126.63</v>
      </c>
      <c r="V2453" s="5">
        <v>125.37</v>
      </c>
      <c r="Y2453" s="5">
        <v>4582078</v>
      </c>
      <c r="Z2453" s="5">
        <v>574689324.13999999</v>
      </c>
      <c r="AA2453" s="5">
        <v>30300</v>
      </c>
      <c r="AB2453" s="5" t="s">
        <v>85</v>
      </c>
      <c r="AC2453" s="5">
        <v>1</v>
      </c>
    </row>
    <row r="2454" spans="1:29" x14ac:dyDescent="0.3">
      <c r="A2454" s="34">
        <v>46274</v>
      </c>
      <c r="B2454" s="34">
        <v>46274</v>
      </c>
      <c r="C2454" s="5" t="s">
        <v>78</v>
      </c>
      <c r="D2454" s="5" t="s">
        <v>79</v>
      </c>
      <c r="E2454" s="5" t="s">
        <v>80</v>
      </c>
      <c r="F2454" s="5">
        <v>24184</v>
      </c>
      <c r="G2454" s="5" t="s">
        <v>7448</v>
      </c>
      <c r="H2454" s="5" t="s">
        <v>7449</v>
      </c>
      <c r="I2454" s="5" t="s">
        <v>212</v>
      </c>
      <c r="N2454" s="5" t="s">
        <v>7450</v>
      </c>
      <c r="O2454" s="5">
        <v>2395</v>
      </c>
      <c r="P2454" s="5">
        <v>2402</v>
      </c>
      <c r="Q2454" s="5">
        <v>2367.6</v>
      </c>
      <c r="R2454" s="5">
        <v>2394</v>
      </c>
      <c r="S2454" s="5">
        <v>2394</v>
      </c>
      <c r="T2454" s="5">
        <v>2395</v>
      </c>
      <c r="V2454" s="5">
        <v>2394</v>
      </c>
      <c r="Y2454" s="5">
        <v>100714</v>
      </c>
      <c r="Z2454" s="5">
        <v>240183027.40000001</v>
      </c>
      <c r="AA2454" s="5">
        <v>11400</v>
      </c>
      <c r="AB2454" s="5" t="s">
        <v>85</v>
      </c>
      <c r="AC2454" s="5">
        <v>1</v>
      </c>
    </row>
    <row r="2455" spans="1:29" x14ac:dyDescent="0.3">
      <c r="A2455" s="34">
        <v>46274</v>
      </c>
      <c r="B2455" s="34">
        <v>46274</v>
      </c>
      <c r="C2455" s="5" t="s">
        <v>78</v>
      </c>
      <c r="D2455" s="5" t="s">
        <v>79</v>
      </c>
      <c r="E2455" s="5" t="s">
        <v>80</v>
      </c>
      <c r="F2455" s="5">
        <v>757754</v>
      </c>
      <c r="G2455" s="5" t="s">
        <v>7451</v>
      </c>
      <c r="H2455" s="5" t="s">
        <v>7452</v>
      </c>
      <c r="I2455" s="5" t="s">
        <v>212</v>
      </c>
      <c r="N2455" s="5" t="s">
        <v>7453</v>
      </c>
      <c r="O2455" s="5">
        <v>612.65</v>
      </c>
      <c r="P2455" s="5">
        <v>612.65</v>
      </c>
      <c r="Q2455" s="5">
        <v>595.6</v>
      </c>
      <c r="R2455" s="5">
        <v>599.79999999999995</v>
      </c>
      <c r="S2455" s="5">
        <v>598.1</v>
      </c>
      <c r="T2455" s="5">
        <v>608.29999999999995</v>
      </c>
      <c r="V2455" s="5">
        <v>599.79999999999995</v>
      </c>
      <c r="Y2455" s="5">
        <v>223548</v>
      </c>
      <c r="Z2455" s="5">
        <v>134219569.84999999</v>
      </c>
      <c r="AA2455" s="5">
        <v>10739</v>
      </c>
      <c r="AB2455" s="5" t="s">
        <v>85</v>
      </c>
      <c r="AC2455" s="5">
        <v>1</v>
      </c>
    </row>
    <row r="2456" spans="1:29" x14ac:dyDescent="0.3">
      <c r="A2456" s="34">
        <v>46274</v>
      </c>
      <c r="B2456" s="34">
        <v>46274</v>
      </c>
      <c r="C2456" s="5" t="s">
        <v>78</v>
      </c>
      <c r="D2456" s="5" t="s">
        <v>79</v>
      </c>
      <c r="E2456" s="5" t="s">
        <v>80</v>
      </c>
      <c r="F2456" s="5">
        <v>24785</v>
      </c>
      <c r="G2456" s="5" t="s">
        <v>7454</v>
      </c>
      <c r="H2456" s="5" t="s">
        <v>7455</v>
      </c>
      <c r="I2456" s="5" t="s">
        <v>313</v>
      </c>
      <c r="N2456" s="5" t="s">
        <v>7456</v>
      </c>
      <c r="O2456" s="5">
        <v>2.85</v>
      </c>
      <c r="P2456" s="5">
        <v>2.85</v>
      </c>
      <c r="Q2456" s="5">
        <v>2.8</v>
      </c>
      <c r="R2456" s="5">
        <v>2.85</v>
      </c>
      <c r="S2456" s="5">
        <v>2.85</v>
      </c>
      <c r="T2456" s="5">
        <v>2.85</v>
      </c>
      <c r="V2456" s="5">
        <v>2.85</v>
      </c>
      <c r="Y2456" s="5">
        <v>12000</v>
      </c>
      <c r="Z2456" s="5">
        <v>34050</v>
      </c>
      <c r="AA2456" s="5">
        <v>4</v>
      </c>
      <c r="AB2456" s="5" t="s">
        <v>85</v>
      </c>
      <c r="AC2456" s="5">
        <v>3000</v>
      </c>
    </row>
    <row r="2457" spans="1:29" x14ac:dyDescent="0.3">
      <c r="A2457" s="34">
        <v>46274</v>
      </c>
      <c r="B2457" s="34">
        <v>46274</v>
      </c>
      <c r="C2457" s="5" t="s">
        <v>78</v>
      </c>
      <c r="D2457" s="5" t="s">
        <v>79</v>
      </c>
      <c r="E2457" s="5" t="s">
        <v>80</v>
      </c>
      <c r="F2457" s="5">
        <v>2664</v>
      </c>
      <c r="G2457" s="5" t="s">
        <v>7457</v>
      </c>
      <c r="H2457" s="5" t="s">
        <v>7458</v>
      </c>
      <c r="I2457" s="5" t="s">
        <v>212</v>
      </c>
      <c r="N2457" s="5" t="s">
        <v>7459</v>
      </c>
      <c r="O2457" s="5">
        <v>1579</v>
      </c>
      <c r="P2457" s="5">
        <v>1585.6</v>
      </c>
      <c r="Q2457" s="5">
        <v>1566</v>
      </c>
      <c r="R2457" s="5">
        <v>1572</v>
      </c>
      <c r="S2457" s="5">
        <v>1572</v>
      </c>
      <c r="T2457" s="5">
        <v>1593</v>
      </c>
      <c r="V2457" s="5">
        <v>1572.01</v>
      </c>
      <c r="Y2457" s="5">
        <v>276995</v>
      </c>
      <c r="Z2457" s="5">
        <v>435434029.39999998</v>
      </c>
      <c r="AA2457" s="5">
        <v>21966</v>
      </c>
      <c r="AB2457" s="5" t="s">
        <v>85</v>
      </c>
      <c r="AC2457" s="5">
        <v>1</v>
      </c>
    </row>
    <row r="2458" spans="1:29" x14ac:dyDescent="0.3">
      <c r="A2458" s="34">
        <v>46274</v>
      </c>
      <c r="B2458" s="34">
        <v>46274</v>
      </c>
      <c r="C2458" s="5" t="s">
        <v>78</v>
      </c>
      <c r="D2458" s="5" t="s">
        <v>79</v>
      </c>
      <c r="E2458" s="5" t="s">
        <v>80</v>
      </c>
      <c r="F2458" s="5">
        <v>30835</v>
      </c>
      <c r="G2458" s="5" t="s">
        <v>7460</v>
      </c>
      <c r="H2458" s="5" t="s">
        <v>7461</v>
      </c>
      <c r="I2458" s="5" t="s">
        <v>212</v>
      </c>
      <c r="N2458" s="5" t="s">
        <v>7462</v>
      </c>
      <c r="O2458" s="5">
        <v>7.9</v>
      </c>
      <c r="P2458" s="5">
        <v>8.11</v>
      </c>
      <c r="Q2458" s="5">
        <v>7.48</v>
      </c>
      <c r="R2458" s="5">
        <v>7.85</v>
      </c>
      <c r="S2458" s="5">
        <v>7.95</v>
      </c>
      <c r="T2458" s="5">
        <v>7.75</v>
      </c>
      <c r="V2458" s="5">
        <v>7.85</v>
      </c>
      <c r="Y2458" s="5">
        <v>63380</v>
      </c>
      <c r="Z2458" s="5">
        <v>496526.6</v>
      </c>
      <c r="AA2458" s="5">
        <v>219</v>
      </c>
      <c r="AB2458" s="5" t="s">
        <v>85</v>
      </c>
      <c r="AC2458" s="5">
        <v>1</v>
      </c>
    </row>
    <row r="2459" spans="1:29" x14ac:dyDescent="0.3">
      <c r="A2459" s="34">
        <v>46274</v>
      </c>
      <c r="B2459" s="34">
        <v>46274</v>
      </c>
      <c r="C2459" s="5" t="s">
        <v>78</v>
      </c>
      <c r="D2459" s="5" t="s">
        <v>79</v>
      </c>
      <c r="E2459" s="5" t="s">
        <v>80</v>
      </c>
      <c r="F2459" s="5">
        <v>11445</v>
      </c>
      <c r="G2459" s="5" t="s">
        <v>7463</v>
      </c>
      <c r="H2459" s="5" t="s">
        <v>7464</v>
      </c>
      <c r="I2459" s="5" t="s">
        <v>212</v>
      </c>
      <c r="N2459" s="5" t="s">
        <v>7465</v>
      </c>
      <c r="O2459" s="5">
        <v>4261.7</v>
      </c>
      <c r="P2459" s="5">
        <v>4303.8999999999996</v>
      </c>
      <c r="Q2459" s="5">
        <v>4021.3</v>
      </c>
      <c r="R2459" s="5">
        <v>4109.8</v>
      </c>
      <c r="S2459" s="5">
        <v>4200</v>
      </c>
      <c r="T2459" s="5">
        <v>4261.7</v>
      </c>
      <c r="V2459" s="5">
        <v>4110.62</v>
      </c>
      <c r="Y2459" s="5">
        <v>18239</v>
      </c>
      <c r="Z2459" s="5">
        <v>74633471.900000006</v>
      </c>
      <c r="AA2459" s="5">
        <v>2110</v>
      </c>
      <c r="AB2459" s="5" t="s">
        <v>85</v>
      </c>
      <c r="AC2459" s="5">
        <v>1</v>
      </c>
    </row>
    <row r="2460" spans="1:29" x14ac:dyDescent="0.3">
      <c r="A2460" s="34">
        <v>46274</v>
      </c>
      <c r="B2460" s="34">
        <v>46274</v>
      </c>
      <c r="C2460" s="5" t="s">
        <v>78</v>
      </c>
      <c r="D2460" s="5" t="s">
        <v>79</v>
      </c>
      <c r="E2460" s="5" t="s">
        <v>80</v>
      </c>
      <c r="F2460" s="5">
        <v>759820</v>
      </c>
      <c r="G2460" s="5" t="s">
        <v>7466</v>
      </c>
      <c r="H2460" s="5" t="s">
        <v>7467</v>
      </c>
      <c r="I2460" s="5" t="s">
        <v>212</v>
      </c>
      <c r="N2460" s="5" t="s">
        <v>7468</v>
      </c>
      <c r="O2460" s="5">
        <v>170.4</v>
      </c>
      <c r="P2460" s="5">
        <v>176.7</v>
      </c>
      <c r="Q2460" s="5">
        <v>167.7</v>
      </c>
      <c r="R2460" s="5">
        <v>175.08</v>
      </c>
      <c r="S2460" s="5">
        <v>175.05</v>
      </c>
      <c r="T2460" s="5">
        <v>169.55</v>
      </c>
      <c r="V2460" s="5">
        <v>175.08</v>
      </c>
      <c r="Y2460" s="5">
        <v>40668170</v>
      </c>
      <c r="Z2460" s="5">
        <v>7071753326.5</v>
      </c>
      <c r="AA2460" s="5">
        <v>185311</v>
      </c>
      <c r="AB2460" s="5" t="s">
        <v>85</v>
      </c>
      <c r="AC2460" s="5">
        <v>1</v>
      </c>
    </row>
    <row r="2461" spans="1:29" x14ac:dyDescent="0.3">
      <c r="A2461" s="34">
        <v>46274</v>
      </c>
      <c r="B2461" s="34">
        <v>46274</v>
      </c>
      <c r="C2461" s="5" t="s">
        <v>78</v>
      </c>
      <c r="D2461" s="5" t="s">
        <v>79</v>
      </c>
      <c r="E2461" s="5" t="s">
        <v>80</v>
      </c>
      <c r="F2461" s="5">
        <v>13463</v>
      </c>
      <c r="G2461" s="5" t="s">
        <v>7469</v>
      </c>
      <c r="H2461" s="5" t="s">
        <v>7470</v>
      </c>
      <c r="I2461" s="5" t="s">
        <v>212</v>
      </c>
      <c r="N2461" s="5" t="s">
        <v>7471</v>
      </c>
      <c r="O2461" s="5">
        <v>21.51</v>
      </c>
      <c r="P2461" s="5">
        <v>21.51</v>
      </c>
      <c r="Q2461" s="5">
        <v>20.51</v>
      </c>
      <c r="R2461" s="5">
        <v>20.83</v>
      </c>
      <c r="S2461" s="5">
        <v>20.95</v>
      </c>
      <c r="T2461" s="5">
        <v>21.02</v>
      </c>
      <c r="V2461" s="5">
        <v>20.83</v>
      </c>
      <c r="Y2461" s="5">
        <v>11385</v>
      </c>
      <c r="Z2461" s="5">
        <v>238191.94</v>
      </c>
      <c r="AA2461" s="5">
        <v>70</v>
      </c>
      <c r="AB2461" s="5" t="s">
        <v>85</v>
      </c>
      <c r="AC2461" s="5">
        <v>1</v>
      </c>
    </row>
    <row r="2462" spans="1:29" x14ac:dyDescent="0.3">
      <c r="A2462" s="34">
        <v>46274</v>
      </c>
      <c r="B2462" s="34">
        <v>46274</v>
      </c>
      <c r="C2462" s="5" t="s">
        <v>78</v>
      </c>
      <c r="D2462" s="5" t="s">
        <v>79</v>
      </c>
      <c r="E2462" s="5" t="s">
        <v>80</v>
      </c>
      <c r="F2462" s="5">
        <v>762832</v>
      </c>
      <c r="G2462" s="5" t="s">
        <v>7472</v>
      </c>
      <c r="H2462" s="5" t="s">
        <v>7473</v>
      </c>
      <c r="I2462" s="5" t="s">
        <v>234</v>
      </c>
      <c r="N2462" s="5" t="s">
        <v>7474</v>
      </c>
      <c r="O2462" s="5">
        <v>88</v>
      </c>
      <c r="P2462" s="5">
        <v>88</v>
      </c>
      <c r="Q2462" s="5">
        <v>85.5</v>
      </c>
      <c r="R2462" s="5">
        <v>85.5</v>
      </c>
      <c r="S2462" s="5">
        <v>85.5</v>
      </c>
      <c r="T2462" s="5">
        <v>83.85</v>
      </c>
      <c r="V2462" s="5">
        <v>85.16</v>
      </c>
      <c r="Y2462" s="5">
        <v>7392</v>
      </c>
      <c r="Z2462" s="5">
        <v>649545.55000000005</v>
      </c>
      <c r="AA2462" s="5">
        <v>23</v>
      </c>
      <c r="AB2462" s="5" t="s">
        <v>85</v>
      </c>
      <c r="AC2462" s="5">
        <v>1</v>
      </c>
    </row>
    <row r="2463" spans="1:29" x14ac:dyDescent="0.3">
      <c r="A2463" s="34">
        <v>46274</v>
      </c>
      <c r="B2463" s="34">
        <v>46274</v>
      </c>
      <c r="C2463" s="5" t="s">
        <v>78</v>
      </c>
      <c r="D2463" s="5" t="s">
        <v>79</v>
      </c>
      <c r="E2463" s="5" t="s">
        <v>80</v>
      </c>
      <c r="F2463" s="5">
        <v>759551</v>
      </c>
      <c r="G2463" s="5" t="s">
        <v>7475</v>
      </c>
      <c r="H2463" s="5" t="s">
        <v>7476</v>
      </c>
      <c r="I2463" s="5" t="s">
        <v>212</v>
      </c>
      <c r="N2463" s="5" t="s">
        <v>7477</v>
      </c>
      <c r="O2463" s="5">
        <v>2319</v>
      </c>
      <c r="P2463" s="5">
        <v>2326.4</v>
      </c>
      <c r="Q2463" s="5">
        <v>2278.1</v>
      </c>
      <c r="R2463" s="5">
        <v>2310.5</v>
      </c>
      <c r="S2463" s="5">
        <v>2312.5</v>
      </c>
      <c r="T2463" s="5">
        <v>2298.5</v>
      </c>
      <c r="V2463" s="5">
        <v>2310.5100000000002</v>
      </c>
      <c r="Y2463" s="5">
        <v>220456</v>
      </c>
      <c r="Z2463" s="5">
        <v>509254925.30000001</v>
      </c>
      <c r="AA2463" s="5">
        <v>28417</v>
      </c>
      <c r="AB2463" s="5" t="s">
        <v>85</v>
      </c>
      <c r="AC2463" s="5">
        <v>1</v>
      </c>
    </row>
    <row r="2464" spans="1:29" x14ac:dyDescent="0.3">
      <c r="A2464" s="34">
        <v>46274</v>
      </c>
      <c r="B2464" s="34">
        <v>46274</v>
      </c>
      <c r="C2464" s="5" t="s">
        <v>78</v>
      </c>
      <c r="D2464" s="5" t="s">
        <v>79</v>
      </c>
      <c r="E2464" s="5" t="s">
        <v>80</v>
      </c>
      <c r="F2464" s="5">
        <v>11571</v>
      </c>
      <c r="G2464" s="5" t="s">
        <v>7478</v>
      </c>
      <c r="H2464" s="5" t="s">
        <v>7479</v>
      </c>
      <c r="I2464" s="5" t="s">
        <v>212</v>
      </c>
      <c r="N2464" s="5" t="s">
        <v>7480</v>
      </c>
      <c r="O2464" s="5">
        <v>227</v>
      </c>
      <c r="P2464" s="5">
        <v>227.75</v>
      </c>
      <c r="Q2464" s="5">
        <v>217.1</v>
      </c>
      <c r="R2464" s="5">
        <v>218</v>
      </c>
      <c r="S2464" s="5">
        <v>218.45</v>
      </c>
      <c r="T2464" s="5">
        <v>226.62</v>
      </c>
      <c r="V2464" s="5">
        <v>218</v>
      </c>
      <c r="Y2464" s="5">
        <v>3881596</v>
      </c>
      <c r="Z2464" s="5">
        <v>858299348.54999995</v>
      </c>
      <c r="AA2464" s="5">
        <v>44108</v>
      </c>
      <c r="AB2464" s="5" t="s">
        <v>85</v>
      </c>
      <c r="AC2464" s="5">
        <v>1</v>
      </c>
    </row>
    <row r="2465" spans="1:29" x14ac:dyDescent="0.3">
      <c r="A2465" s="34">
        <v>46274</v>
      </c>
      <c r="B2465" s="34">
        <v>46274</v>
      </c>
      <c r="C2465" s="5" t="s">
        <v>78</v>
      </c>
      <c r="D2465" s="5" t="s">
        <v>79</v>
      </c>
      <c r="E2465" s="5" t="s">
        <v>80</v>
      </c>
      <c r="F2465" s="5">
        <v>14134</v>
      </c>
      <c r="G2465" s="5" t="s">
        <v>7481</v>
      </c>
      <c r="H2465" s="5" t="s">
        <v>7482</v>
      </c>
      <c r="I2465" s="5" t="s">
        <v>212</v>
      </c>
      <c r="N2465" s="5" t="s">
        <v>7483</v>
      </c>
      <c r="O2465" s="5">
        <v>1175.3</v>
      </c>
      <c r="P2465" s="5">
        <v>1194.9000000000001</v>
      </c>
      <c r="Q2465" s="5">
        <v>1164.5</v>
      </c>
      <c r="R2465" s="5">
        <v>1171.5999999999999</v>
      </c>
      <c r="S2465" s="5">
        <v>1169.4000000000001</v>
      </c>
      <c r="T2465" s="5">
        <v>1171.3</v>
      </c>
      <c r="V2465" s="5">
        <v>1171.58</v>
      </c>
      <c r="Y2465" s="5">
        <v>132385</v>
      </c>
      <c r="Z2465" s="5">
        <v>156061693.19999999</v>
      </c>
      <c r="AA2465" s="5">
        <v>9446</v>
      </c>
      <c r="AB2465" s="5" t="s">
        <v>85</v>
      </c>
      <c r="AC2465" s="5">
        <v>1</v>
      </c>
    </row>
    <row r="2466" spans="1:29" x14ac:dyDescent="0.3">
      <c r="A2466" s="34">
        <v>46274</v>
      </c>
      <c r="B2466" s="34">
        <v>46274</v>
      </c>
      <c r="C2466" s="5" t="s">
        <v>78</v>
      </c>
      <c r="D2466" s="5" t="s">
        <v>79</v>
      </c>
      <c r="E2466" s="5" t="s">
        <v>80</v>
      </c>
      <c r="F2466" s="5">
        <v>9087</v>
      </c>
      <c r="G2466" s="5" t="s">
        <v>7484</v>
      </c>
      <c r="H2466" s="5" t="s">
        <v>7485</v>
      </c>
      <c r="I2466" s="5" t="s">
        <v>212</v>
      </c>
      <c r="N2466" s="5" t="s">
        <v>7486</v>
      </c>
      <c r="O2466" s="5">
        <v>1720</v>
      </c>
      <c r="P2466" s="5">
        <v>1761.9</v>
      </c>
      <c r="Q2466" s="5">
        <v>1715.5</v>
      </c>
      <c r="R2466" s="5">
        <v>1746.4</v>
      </c>
      <c r="S2466" s="5">
        <v>1732</v>
      </c>
      <c r="T2466" s="5">
        <v>1722</v>
      </c>
      <c r="V2466" s="5">
        <v>1746.43</v>
      </c>
      <c r="Y2466" s="5">
        <v>13287</v>
      </c>
      <c r="Z2466" s="5">
        <v>23116493.800000001</v>
      </c>
      <c r="AA2466" s="5">
        <v>2051</v>
      </c>
      <c r="AB2466" s="5" t="s">
        <v>85</v>
      </c>
      <c r="AC2466" s="5">
        <v>1</v>
      </c>
    </row>
    <row r="2467" spans="1:29" x14ac:dyDescent="0.3">
      <c r="A2467" s="34">
        <v>46274</v>
      </c>
      <c r="B2467" s="34">
        <v>46274</v>
      </c>
      <c r="C2467" s="5" t="s">
        <v>78</v>
      </c>
      <c r="D2467" s="5" t="s">
        <v>79</v>
      </c>
      <c r="E2467" s="5" t="s">
        <v>80</v>
      </c>
      <c r="F2467" s="5">
        <v>13920</v>
      </c>
      <c r="G2467" s="5" t="s">
        <v>7487</v>
      </c>
      <c r="H2467" s="5" t="s">
        <v>7488</v>
      </c>
      <c r="I2467" s="5" t="s">
        <v>212</v>
      </c>
      <c r="N2467" s="5" t="s">
        <v>7489</v>
      </c>
      <c r="O2467" s="5">
        <v>191.59</v>
      </c>
      <c r="P2467" s="5">
        <v>193.42</v>
      </c>
      <c r="Q2467" s="5">
        <v>187.2</v>
      </c>
      <c r="R2467" s="5">
        <v>189.3</v>
      </c>
      <c r="S2467" s="5">
        <v>187.5</v>
      </c>
      <c r="T2467" s="5">
        <v>191.23</v>
      </c>
      <c r="V2467" s="5">
        <v>189.33</v>
      </c>
      <c r="Y2467" s="5">
        <v>13063</v>
      </c>
      <c r="Z2467" s="5">
        <v>2497067.62</v>
      </c>
      <c r="AA2467" s="5">
        <v>357</v>
      </c>
      <c r="AB2467" s="5" t="s">
        <v>85</v>
      </c>
      <c r="AC2467" s="5">
        <v>1</v>
      </c>
    </row>
    <row r="2468" spans="1:29" x14ac:dyDescent="0.3">
      <c r="A2468" s="34">
        <v>46274</v>
      </c>
      <c r="B2468" s="34">
        <v>46274</v>
      </c>
      <c r="C2468" s="5" t="s">
        <v>78</v>
      </c>
      <c r="D2468" s="5" t="s">
        <v>79</v>
      </c>
      <c r="E2468" s="5" t="s">
        <v>80</v>
      </c>
      <c r="F2468" s="5">
        <v>22930</v>
      </c>
      <c r="G2468" s="5" t="s">
        <v>7490</v>
      </c>
      <c r="H2468" s="5" t="s">
        <v>7491</v>
      </c>
      <c r="I2468" s="5" t="s">
        <v>212</v>
      </c>
      <c r="N2468" s="5" t="s">
        <v>7492</v>
      </c>
      <c r="O2468" s="5">
        <v>230.47</v>
      </c>
      <c r="P2468" s="5">
        <v>232</v>
      </c>
      <c r="Q2468" s="5">
        <v>225</v>
      </c>
      <c r="R2468" s="5">
        <v>226.04</v>
      </c>
      <c r="S2468" s="5">
        <v>226.45</v>
      </c>
      <c r="T2468" s="5">
        <v>232.47</v>
      </c>
      <c r="V2468" s="5">
        <v>226.04</v>
      </c>
      <c r="Y2468" s="5">
        <v>88798</v>
      </c>
      <c r="Z2468" s="5">
        <v>20228179.760000002</v>
      </c>
      <c r="AA2468" s="5">
        <v>2430</v>
      </c>
      <c r="AB2468" s="5" t="s">
        <v>85</v>
      </c>
      <c r="AC2468" s="5">
        <v>1</v>
      </c>
    </row>
    <row r="2469" spans="1:29" x14ac:dyDescent="0.3">
      <c r="A2469" s="34">
        <v>46274</v>
      </c>
      <c r="B2469" s="34">
        <v>46274</v>
      </c>
      <c r="C2469" s="5" t="s">
        <v>78</v>
      </c>
      <c r="D2469" s="5" t="s">
        <v>79</v>
      </c>
      <c r="E2469" s="5" t="s">
        <v>80</v>
      </c>
      <c r="F2469" s="5">
        <v>19458</v>
      </c>
      <c r="G2469" s="5" t="s">
        <v>7493</v>
      </c>
      <c r="H2469" s="5" t="s">
        <v>7494</v>
      </c>
      <c r="I2469" s="5" t="s">
        <v>212</v>
      </c>
      <c r="N2469" s="5" t="s">
        <v>7495</v>
      </c>
      <c r="O2469" s="5">
        <v>55.61</v>
      </c>
      <c r="P2469" s="5">
        <v>59.68</v>
      </c>
      <c r="Q2469" s="5">
        <v>55.61</v>
      </c>
      <c r="R2469" s="5">
        <v>59.68</v>
      </c>
      <c r="S2469" s="5">
        <v>59.68</v>
      </c>
      <c r="T2469" s="5">
        <v>56.84</v>
      </c>
      <c r="V2469" s="5">
        <v>59.94</v>
      </c>
      <c r="Y2469" s="5">
        <v>110358</v>
      </c>
      <c r="Z2469" s="5">
        <v>6503176.4299999997</v>
      </c>
      <c r="AA2469" s="5">
        <v>997</v>
      </c>
      <c r="AB2469" s="5" t="s">
        <v>85</v>
      </c>
      <c r="AC2469" s="5">
        <v>1</v>
      </c>
    </row>
    <row r="2470" spans="1:29" x14ac:dyDescent="0.3">
      <c r="A2470" s="34">
        <v>46274</v>
      </c>
      <c r="B2470" s="34">
        <v>46274</v>
      </c>
      <c r="C2470" s="5" t="s">
        <v>78</v>
      </c>
      <c r="D2470" s="5" t="s">
        <v>79</v>
      </c>
      <c r="E2470" s="5" t="s">
        <v>80</v>
      </c>
      <c r="F2470" s="5">
        <v>8736</v>
      </c>
      <c r="G2470" s="5" t="s">
        <v>7496</v>
      </c>
      <c r="H2470" s="5" t="s">
        <v>7497</v>
      </c>
      <c r="I2470" s="5" t="s">
        <v>212</v>
      </c>
      <c r="N2470" s="5" t="s">
        <v>7498</v>
      </c>
      <c r="O2470" s="5">
        <v>81.25</v>
      </c>
      <c r="P2470" s="5">
        <v>81.33</v>
      </c>
      <c r="Q2470" s="5">
        <v>79</v>
      </c>
      <c r="R2470" s="5">
        <v>79.459999999999994</v>
      </c>
      <c r="S2470" s="5">
        <v>79.88</v>
      </c>
      <c r="T2470" s="5">
        <v>81.260000000000005</v>
      </c>
      <c r="V2470" s="5">
        <v>79.459999999999994</v>
      </c>
      <c r="Y2470" s="5">
        <v>283795</v>
      </c>
      <c r="Z2470" s="5">
        <v>22651714.48</v>
      </c>
      <c r="AA2470" s="5">
        <v>2377</v>
      </c>
      <c r="AB2470" s="5" t="s">
        <v>85</v>
      </c>
      <c r="AC2470" s="5">
        <v>1</v>
      </c>
    </row>
    <row r="2471" spans="1:29" x14ac:dyDescent="0.3">
      <c r="A2471" s="34">
        <v>46274</v>
      </c>
      <c r="B2471" s="34">
        <v>46274</v>
      </c>
      <c r="C2471" s="5" t="s">
        <v>78</v>
      </c>
      <c r="D2471" s="5" t="s">
        <v>79</v>
      </c>
      <c r="E2471" s="5" t="s">
        <v>80</v>
      </c>
      <c r="F2471" s="5">
        <v>18908</v>
      </c>
      <c r="G2471" s="5" t="s">
        <v>7499</v>
      </c>
      <c r="H2471" s="5" t="s">
        <v>7500</v>
      </c>
      <c r="I2471" s="5" t="s">
        <v>212</v>
      </c>
      <c r="N2471" s="5" t="s">
        <v>7501</v>
      </c>
      <c r="O2471" s="5">
        <v>1165.5</v>
      </c>
      <c r="P2471" s="5">
        <v>1169.2</v>
      </c>
      <c r="Q2471" s="5">
        <v>1138.2</v>
      </c>
      <c r="R2471" s="5">
        <v>1142</v>
      </c>
      <c r="S2471" s="5">
        <v>1142</v>
      </c>
      <c r="T2471" s="5">
        <v>1167.0999999999999</v>
      </c>
      <c r="V2471" s="5">
        <v>1142.22</v>
      </c>
      <c r="Y2471" s="5">
        <v>320435</v>
      </c>
      <c r="Z2471" s="5">
        <v>369876975.5</v>
      </c>
      <c r="AA2471" s="5">
        <v>20355</v>
      </c>
      <c r="AB2471" s="5" t="s">
        <v>85</v>
      </c>
      <c r="AC2471" s="5">
        <v>1</v>
      </c>
    </row>
    <row r="2472" spans="1:29" x14ac:dyDescent="0.3">
      <c r="A2472" s="34">
        <v>46274</v>
      </c>
      <c r="B2472" s="34">
        <v>46274</v>
      </c>
      <c r="C2472" s="5" t="s">
        <v>78</v>
      </c>
      <c r="D2472" s="5" t="s">
        <v>79</v>
      </c>
      <c r="E2472" s="5" t="s">
        <v>80</v>
      </c>
      <c r="F2472" s="5">
        <v>9385</v>
      </c>
      <c r="G2472" s="5" t="s">
        <v>7502</v>
      </c>
      <c r="H2472" s="5" t="s">
        <v>7503</v>
      </c>
      <c r="I2472" s="5" t="s">
        <v>212</v>
      </c>
      <c r="N2472" s="5" t="s">
        <v>7504</v>
      </c>
      <c r="O2472" s="5">
        <v>177</v>
      </c>
      <c r="P2472" s="5">
        <v>180.83</v>
      </c>
      <c r="Q2472" s="5">
        <v>176.42</v>
      </c>
      <c r="R2472" s="5">
        <v>179</v>
      </c>
      <c r="S2472" s="5">
        <v>179.2</v>
      </c>
      <c r="T2472" s="5">
        <v>177.06</v>
      </c>
      <c r="V2472" s="5">
        <v>179</v>
      </c>
      <c r="Y2472" s="5">
        <v>281660</v>
      </c>
      <c r="Z2472" s="5">
        <v>50303633.539999999</v>
      </c>
      <c r="AA2472" s="5">
        <v>6157</v>
      </c>
      <c r="AB2472" s="5" t="s">
        <v>85</v>
      </c>
      <c r="AC2472" s="5">
        <v>1</v>
      </c>
    </row>
    <row r="2473" spans="1:29" x14ac:dyDescent="0.3">
      <c r="A2473" s="34">
        <v>46274</v>
      </c>
      <c r="B2473" s="34">
        <v>46274</v>
      </c>
      <c r="C2473" s="5" t="s">
        <v>78</v>
      </c>
      <c r="D2473" s="5" t="s">
        <v>79</v>
      </c>
      <c r="E2473" s="5" t="s">
        <v>80</v>
      </c>
      <c r="F2473" s="5">
        <v>760242</v>
      </c>
      <c r="G2473" s="5" t="s">
        <v>7505</v>
      </c>
      <c r="H2473" s="5" t="s">
        <v>7506</v>
      </c>
      <c r="I2473" s="5" t="s">
        <v>212</v>
      </c>
      <c r="N2473" s="5" t="s">
        <v>7507</v>
      </c>
      <c r="O2473" s="5">
        <v>548.65</v>
      </c>
      <c r="P2473" s="5">
        <v>550.45000000000005</v>
      </c>
      <c r="Q2473" s="5">
        <v>513.25</v>
      </c>
      <c r="R2473" s="5">
        <v>519.70000000000005</v>
      </c>
      <c r="S2473" s="5">
        <v>524</v>
      </c>
      <c r="T2473" s="5">
        <v>546.54999999999995</v>
      </c>
      <c r="V2473" s="5">
        <v>519.66999999999996</v>
      </c>
      <c r="Y2473" s="5">
        <v>265641</v>
      </c>
      <c r="Z2473" s="5">
        <v>139362057.84999999</v>
      </c>
      <c r="AA2473" s="5">
        <v>10564</v>
      </c>
      <c r="AB2473" s="5" t="s">
        <v>85</v>
      </c>
      <c r="AC2473" s="5">
        <v>1</v>
      </c>
    </row>
    <row r="2474" spans="1:29" x14ac:dyDescent="0.3">
      <c r="A2474" s="34">
        <v>46274</v>
      </c>
      <c r="B2474" s="34">
        <v>46274</v>
      </c>
      <c r="C2474" s="5" t="s">
        <v>78</v>
      </c>
      <c r="D2474" s="5" t="s">
        <v>79</v>
      </c>
      <c r="E2474" s="5" t="s">
        <v>80</v>
      </c>
      <c r="F2474" s="5">
        <v>19036</v>
      </c>
      <c r="G2474" s="5" t="s">
        <v>7508</v>
      </c>
      <c r="H2474" s="5" t="s">
        <v>7509</v>
      </c>
      <c r="I2474" s="5" t="s">
        <v>212</v>
      </c>
      <c r="N2474" s="5" t="s">
        <v>7510</v>
      </c>
      <c r="O2474" s="5">
        <v>312.75</v>
      </c>
      <c r="P2474" s="5">
        <v>315</v>
      </c>
      <c r="Q2474" s="5">
        <v>294</v>
      </c>
      <c r="R2474" s="5">
        <v>295.85000000000002</v>
      </c>
      <c r="S2474" s="5">
        <v>295.10000000000002</v>
      </c>
      <c r="T2474" s="5">
        <v>311.45</v>
      </c>
      <c r="V2474" s="5">
        <v>295.85000000000002</v>
      </c>
      <c r="Y2474" s="5">
        <v>18372</v>
      </c>
      <c r="Z2474" s="5">
        <v>5537463</v>
      </c>
      <c r="AA2474" s="5">
        <v>675</v>
      </c>
      <c r="AB2474" s="5" t="s">
        <v>85</v>
      </c>
      <c r="AC2474" s="5">
        <v>1</v>
      </c>
    </row>
    <row r="2475" spans="1:29" x14ac:dyDescent="0.3">
      <c r="A2475" s="34">
        <v>46274</v>
      </c>
      <c r="B2475" s="34">
        <v>46274</v>
      </c>
      <c r="C2475" s="5" t="s">
        <v>78</v>
      </c>
      <c r="D2475" s="5" t="s">
        <v>79</v>
      </c>
      <c r="E2475" s="5" t="s">
        <v>80</v>
      </c>
      <c r="F2475" s="5">
        <v>17651</v>
      </c>
      <c r="G2475" s="5" t="s">
        <v>7511</v>
      </c>
      <c r="H2475" s="5" t="s">
        <v>7512</v>
      </c>
      <c r="I2475" s="5" t="s">
        <v>212</v>
      </c>
      <c r="N2475" s="5" t="s">
        <v>7513</v>
      </c>
      <c r="O2475" s="5">
        <v>785.9</v>
      </c>
      <c r="P2475" s="5">
        <v>786.65</v>
      </c>
      <c r="Q2475" s="5">
        <v>768.3</v>
      </c>
      <c r="R2475" s="5">
        <v>779.35</v>
      </c>
      <c r="S2475" s="5">
        <v>780</v>
      </c>
      <c r="T2475" s="5">
        <v>786.65</v>
      </c>
      <c r="V2475" s="5">
        <v>779.33</v>
      </c>
      <c r="Y2475" s="5">
        <v>84126</v>
      </c>
      <c r="Z2475" s="5">
        <v>65655597.799999997</v>
      </c>
      <c r="AA2475" s="5">
        <v>5167</v>
      </c>
      <c r="AB2475" s="5" t="s">
        <v>85</v>
      </c>
      <c r="AC2475" s="5">
        <v>1</v>
      </c>
    </row>
    <row r="2476" spans="1:29" x14ac:dyDescent="0.3">
      <c r="A2476" s="34">
        <v>46274</v>
      </c>
      <c r="B2476" s="34">
        <v>46274</v>
      </c>
      <c r="C2476" s="5" t="s">
        <v>78</v>
      </c>
      <c r="D2476" s="5" t="s">
        <v>79</v>
      </c>
      <c r="E2476" s="5" t="s">
        <v>80</v>
      </c>
      <c r="F2476" s="5">
        <v>25718</v>
      </c>
      <c r="G2476" s="5" t="s">
        <v>7514</v>
      </c>
      <c r="H2476" s="5" t="s">
        <v>7515</v>
      </c>
      <c r="I2476" s="5" t="s">
        <v>212</v>
      </c>
      <c r="N2476" s="5" t="s">
        <v>7516</v>
      </c>
      <c r="O2476" s="5">
        <v>1732.6</v>
      </c>
      <c r="P2476" s="5">
        <v>1750.4</v>
      </c>
      <c r="Q2476" s="5">
        <v>1720.1</v>
      </c>
      <c r="R2476" s="5">
        <v>1724</v>
      </c>
      <c r="S2476" s="5">
        <v>1720.5</v>
      </c>
      <c r="T2476" s="5">
        <v>1730.1</v>
      </c>
      <c r="V2476" s="5">
        <v>1723.98</v>
      </c>
      <c r="Y2476" s="5">
        <v>75116</v>
      </c>
      <c r="Z2476" s="5">
        <v>130653291.09999999</v>
      </c>
      <c r="AA2476" s="5">
        <v>10825</v>
      </c>
      <c r="AB2476" s="5" t="s">
        <v>85</v>
      </c>
      <c r="AC2476" s="5">
        <v>1</v>
      </c>
    </row>
    <row r="2477" spans="1:29" x14ac:dyDescent="0.3">
      <c r="A2477" s="34">
        <v>46274</v>
      </c>
      <c r="B2477" s="34">
        <v>46274</v>
      </c>
      <c r="C2477" s="5" t="s">
        <v>78</v>
      </c>
      <c r="D2477" s="5" t="s">
        <v>79</v>
      </c>
      <c r="E2477" s="5" t="s">
        <v>80</v>
      </c>
      <c r="F2477" s="5">
        <v>9590</v>
      </c>
      <c r="G2477" s="5" t="s">
        <v>7517</v>
      </c>
      <c r="H2477" s="5" t="s">
        <v>7518</v>
      </c>
      <c r="I2477" s="5" t="s">
        <v>212</v>
      </c>
      <c r="N2477" s="5" t="s">
        <v>7519</v>
      </c>
      <c r="O2477" s="5">
        <v>8373.5</v>
      </c>
      <c r="P2477" s="5">
        <v>8407</v>
      </c>
      <c r="Q2477" s="5">
        <v>8302</v>
      </c>
      <c r="R2477" s="5">
        <v>8354</v>
      </c>
      <c r="S2477" s="5">
        <v>8354</v>
      </c>
      <c r="T2477" s="5">
        <v>8373.5</v>
      </c>
      <c r="V2477" s="5">
        <v>8353.8700000000008</v>
      </c>
      <c r="Y2477" s="5">
        <v>198567</v>
      </c>
      <c r="Z2477" s="5">
        <v>1658150363</v>
      </c>
      <c r="AA2477" s="5">
        <v>29835</v>
      </c>
      <c r="AB2477" s="5" t="s">
        <v>85</v>
      </c>
      <c r="AC2477" s="5">
        <v>1</v>
      </c>
    </row>
    <row r="2478" spans="1:29" x14ac:dyDescent="0.3">
      <c r="A2478" s="34">
        <v>46274</v>
      </c>
      <c r="B2478" s="34">
        <v>46274</v>
      </c>
      <c r="C2478" s="5" t="s">
        <v>78</v>
      </c>
      <c r="D2478" s="5" t="s">
        <v>79</v>
      </c>
      <c r="E2478" s="5" t="s">
        <v>80</v>
      </c>
      <c r="F2478" s="5">
        <v>2687</v>
      </c>
      <c r="G2478" s="5" t="s">
        <v>7520</v>
      </c>
      <c r="H2478" s="5" t="s">
        <v>7521</v>
      </c>
      <c r="I2478" s="5" t="s">
        <v>212</v>
      </c>
      <c r="N2478" s="5" t="s">
        <v>7522</v>
      </c>
      <c r="O2478" s="5">
        <v>1147</v>
      </c>
      <c r="P2478" s="5">
        <v>1158.8</v>
      </c>
      <c r="Q2478" s="5">
        <v>1135.0999999999999</v>
      </c>
      <c r="R2478" s="5">
        <v>1140</v>
      </c>
      <c r="S2478" s="5">
        <v>1142.4000000000001</v>
      </c>
      <c r="T2478" s="5">
        <v>1149.5999999999999</v>
      </c>
      <c r="V2478" s="5">
        <v>1139.93</v>
      </c>
      <c r="Y2478" s="5">
        <v>36081</v>
      </c>
      <c r="Z2478" s="5">
        <v>41313413.899999999</v>
      </c>
      <c r="AA2478" s="5">
        <v>3463</v>
      </c>
      <c r="AB2478" s="5" t="s">
        <v>85</v>
      </c>
      <c r="AC2478" s="5">
        <v>1</v>
      </c>
    </row>
    <row r="2479" spans="1:29" x14ac:dyDescent="0.3">
      <c r="A2479" s="34">
        <v>46274</v>
      </c>
      <c r="B2479" s="34">
        <v>46274</v>
      </c>
      <c r="C2479" s="5" t="s">
        <v>78</v>
      </c>
      <c r="D2479" s="5" t="s">
        <v>79</v>
      </c>
      <c r="E2479" s="5" t="s">
        <v>80</v>
      </c>
      <c r="F2479" s="5">
        <v>22711</v>
      </c>
      <c r="G2479" s="5" t="s">
        <v>7523</v>
      </c>
      <c r="H2479" s="5" t="s">
        <v>7524</v>
      </c>
      <c r="I2479" s="5" t="s">
        <v>313</v>
      </c>
      <c r="N2479" s="5" t="s">
        <v>7525</v>
      </c>
      <c r="O2479" s="5">
        <v>81.349999999999994</v>
      </c>
      <c r="P2479" s="5">
        <v>81.349999999999994</v>
      </c>
      <c r="Q2479" s="5">
        <v>81.2</v>
      </c>
      <c r="R2479" s="5">
        <v>81.349999999999994</v>
      </c>
      <c r="S2479" s="5">
        <v>81.349999999999994</v>
      </c>
      <c r="T2479" s="5">
        <v>77.5</v>
      </c>
      <c r="V2479" s="5">
        <v>81.349999999999994</v>
      </c>
      <c r="Y2479" s="5">
        <v>122000</v>
      </c>
      <c r="Z2479" s="5">
        <v>9924000</v>
      </c>
      <c r="AA2479" s="5">
        <v>105</v>
      </c>
      <c r="AB2479" s="5" t="s">
        <v>85</v>
      </c>
      <c r="AC2479" s="5">
        <v>500</v>
      </c>
    </row>
    <row r="2480" spans="1:29" x14ac:dyDescent="0.3">
      <c r="A2480" s="34">
        <v>46274</v>
      </c>
      <c r="B2480" s="34">
        <v>46274</v>
      </c>
      <c r="C2480" s="5" t="s">
        <v>78</v>
      </c>
      <c r="D2480" s="5" t="s">
        <v>79</v>
      </c>
      <c r="E2480" s="5" t="s">
        <v>80</v>
      </c>
      <c r="F2480" s="5">
        <v>14385</v>
      </c>
      <c r="G2480" s="5" t="s">
        <v>7526</v>
      </c>
      <c r="H2480" s="5" t="s">
        <v>7527</v>
      </c>
      <c r="I2480" s="5" t="s">
        <v>212</v>
      </c>
      <c r="N2480" s="5" t="s">
        <v>7528</v>
      </c>
      <c r="O2480" s="5">
        <v>471</v>
      </c>
      <c r="P2480" s="5">
        <v>479.4</v>
      </c>
      <c r="Q2480" s="5">
        <v>465</v>
      </c>
      <c r="R2480" s="5">
        <v>466.95</v>
      </c>
      <c r="S2480" s="5">
        <v>467</v>
      </c>
      <c r="T2480" s="5">
        <v>469.45</v>
      </c>
      <c r="V2480" s="5">
        <v>466.97</v>
      </c>
      <c r="Y2480" s="5">
        <v>581693</v>
      </c>
      <c r="Z2480" s="5">
        <v>272337296.89999998</v>
      </c>
      <c r="AA2480" s="5">
        <v>9284</v>
      </c>
      <c r="AB2480" s="5" t="s">
        <v>85</v>
      </c>
      <c r="AC2480" s="5">
        <v>1</v>
      </c>
    </row>
    <row r="2481" spans="1:29" x14ac:dyDescent="0.3">
      <c r="A2481" s="34">
        <v>46274</v>
      </c>
      <c r="B2481" s="34">
        <v>46274</v>
      </c>
      <c r="C2481" s="5" t="s">
        <v>78</v>
      </c>
      <c r="D2481" s="5" t="s">
        <v>79</v>
      </c>
      <c r="E2481" s="5" t="s">
        <v>80</v>
      </c>
      <c r="F2481" s="5">
        <v>10661</v>
      </c>
      <c r="G2481" s="5" t="s">
        <v>7529</v>
      </c>
      <c r="H2481" s="5" t="s">
        <v>7530</v>
      </c>
      <c r="I2481" s="5" t="s">
        <v>212</v>
      </c>
      <c r="N2481" s="5" t="s">
        <v>7531</v>
      </c>
      <c r="O2481" s="5">
        <v>381.05</v>
      </c>
      <c r="P2481" s="5">
        <v>381.8</v>
      </c>
      <c r="Q2481" s="5">
        <v>370.25</v>
      </c>
      <c r="R2481" s="5">
        <v>373.2</v>
      </c>
      <c r="S2481" s="5">
        <v>371.15</v>
      </c>
      <c r="T2481" s="5">
        <v>378.55</v>
      </c>
      <c r="V2481" s="5">
        <v>373.2</v>
      </c>
      <c r="Y2481" s="5">
        <v>51562</v>
      </c>
      <c r="Z2481" s="5">
        <v>19338730</v>
      </c>
      <c r="AA2481" s="5">
        <v>1346</v>
      </c>
      <c r="AB2481" s="5" t="s">
        <v>85</v>
      </c>
      <c r="AC2481" s="5">
        <v>1</v>
      </c>
    </row>
    <row r="2482" spans="1:29" x14ac:dyDescent="0.3">
      <c r="A2482" s="34">
        <v>46274</v>
      </c>
      <c r="B2482" s="34">
        <v>46274</v>
      </c>
      <c r="C2482" s="5" t="s">
        <v>78</v>
      </c>
      <c r="D2482" s="5" t="s">
        <v>79</v>
      </c>
      <c r="E2482" s="5" t="s">
        <v>80</v>
      </c>
      <c r="F2482" s="5">
        <v>11403</v>
      </c>
      <c r="G2482" s="5" t="s">
        <v>7532</v>
      </c>
      <c r="H2482" s="5" t="s">
        <v>7533</v>
      </c>
      <c r="I2482" s="5" t="s">
        <v>212</v>
      </c>
      <c r="N2482" s="5" t="s">
        <v>7534</v>
      </c>
      <c r="O2482" s="5">
        <v>450</v>
      </c>
      <c r="P2482" s="5">
        <v>451.85</v>
      </c>
      <c r="Q2482" s="5">
        <v>444.35</v>
      </c>
      <c r="R2482" s="5">
        <v>448.6</v>
      </c>
      <c r="S2482" s="5">
        <v>449.45</v>
      </c>
      <c r="T2482" s="5">
        <v>455.25</v>
      </c>
      <c r="V2482" s="5">
        <v>448.59</v>
      </c>
      <c r="Y2482" s="5">
        <v>963582</v>
      </c>
      <c r="Z2482" s="5">
        <v>430913118.55000001</v>
      </c>
      <c r="AA2482" s="5">
        <v>26027</v>
      </c>
      <c r="AB2482" s="5" t="s">
        <v>85</v>
      </c>
      <c r="AC2482" s="5">
        <v>1</v>
      </c>
    </row>
    <row r="2483" spans="1:29" x14ac:dyDescent="0.3">
      <c r="A2483" s="34">
        <v>46274</v>
      </c>
      <c r="B2483" s="34">
        <v>46274</v>
      </c>
      <c r="C2483" s="5" t="s">
        <v>78</v>
      </c>
      <c r="D2483" s="5" t="s">
        <v>79</v>
      </c>
      <c r="E2483" s="5" t="s">
        <v>80</v>
      </c>
      <c r="F2483" s="5">
        <v>23142</v>
      </c>
      <c r="G2483" s="5" t="s">
        <v>7535</v>
      </c>
      <c r="H2483" s="5" t="s">
        <v>7536</v>
      </c>
      <c r="I2483" s="5" t="s">
        <v>212</v>
      </c>
      <c r="N2483" s="5" t="s">
        <v>7537</v>
      </c>
      <c r="O2483" s="5">
        <v>102.04</v>
      </c>
      <c r="P2483" s="5">
        <v>102.04</v>
      </c>
      <c r="Q2483" s="5">
        <v>100.1</v>
      </c>
      <c r="R2483" s="5">
        <v>100.6</v>
      </c>
      <c r="S2483" s="5">
        <v>100.2</v>
      </c>
      <c r="T2483" s="5">
        <v>101.63</v>
      </c>
      <c r="V2483" s="5">
        <v>100.6</v>
      </c>
      <c r="Y2483" s="5">
        <v>12038</v>
      </c>
      <c r="Z2483" s="5">
        <v>1213743.1599999999</v>
      </c>
      <c r="AA2483" s="5">
        <v>376</v>
      </c>
      <c r="AB2483" s="5" t="s">
        <v>85</v>
      </c>
      <c r="AC2483" s="5">
        <v>1</v>
      </c>
    </row>
    <row r="2484" spans="1:29" x14ac:dyDescent="0.3">
      <c r="A2484" s="34">
        <v>46274</v>
      </c>
      <c r="B2484" s="34">
        <v>46274</v>
      </c>
      <c r="C2484" s="5" t="s">
        <v>78</v>
      </c>
      <c r="D2484" s="5" t="s">
        <v>79</v>
      </c>
      <c r="E2484" s="5" t="s">
        <v>80</v>
      </c>
      <c r="F2484" s="5">
        <v>24864</v>
      </c>
      <c r="G2484" s="5" t="s">
        <v>7538</v>
      </c>
      <c r="H2484" s="5" t="s">
        <v>7539</v>
      </c>
      <c r="I2484" s="5" t="s">
        <v>313</v>
      </c>
      <c r="N2484" s="5" t="s">
        <v>7540</v>
      </c>
      <c r="O2484" s="5">
        <v>182</v>
      </c>
      <c r="P2484" s="5">
        <v>182</v>
      </c>
      <c r="Q2484" s="5">
        <v>176</v>
      </c>
      <c r="R2484" s="5">
        <v>178.1</v>
      </c>
      <c r="S2484" s="5">
        <v>178</v>
      </c>
      <c r="T2484" s="5">
        <v>178.85</v>
      </c>
      <c r="V2484" s="5">
        <v>178.1</v>
      </c>
      <c r="Y2484" s="5">
        <v>5100</v>
      </c>
      <c r="Z2484" s="5">
        <v>916020</v>
      </c>
      <c r="AA2484" s="5">
        <v>17</v>
      </c>
      <c r="AB2484" s="5" t="s">
        <v>85</v>
      </c>
      <c r="AC2484" s="5">
        <v>300</v>
      </c>
    </row>
    <row r="2485" spans="1:29" x14ac:dyDescent="0.3">
      <c r="A2485" s="34">
        <v>46274</v>
      </c>
      <c r="B2485" s="34">
        <v>46274</v>
      </c>
      <c r="C2485" s="5" t="s">
        <v>78</v>
      </c>
      <c r="D2485" s="5" t="s">
        <v>79</v>
      </c>
      <c r="E2485" s="5" t="s">
        <v>80</v>
      </c>
      <c r="F2485" s="5">
        <v>14299</v>
      </c>
      <c r="G2485" s="5" t="s">
        <v>7541</v>
      </c>
      <c r="H2485" s="5" t="s">
        <v>7542</v>
      </c>
      <c r="I2485" s="5" t="s">
        <v>212</v>
      </c>
      <c r="N2485" s="5" t="s">
        <v>7543</v>
      </c>
      <c r="O2485" s="5">
        <v>354.35</v>
      </c>
      <c r="P2485" s="5">
        <v>355.3</v>
      </c>
      <c r="Q2485" s="5">
        <v>350.1</v>
      </c>
      <c r="R2485" s="5">
        <v>351.4</v>
      </c>
      <c r="S2485" s="5">
        <v>351.4</v>
      </c>
      <c r="T2485" s="5">
        <v>355.9</v>
      </c>
      <c r="V2485" s="5">
        <v>351.39</v>
      </c>
      <c r="Y2485" s="5">
        <v>5426791</v>
      </c>
      <c r="Z2485" s="5">
        <v>1913388436.9000001</v>
      </c>
      <c r="AA2485" s="5">
        <v>59546</v>
      </c>
      <c r="AB2485" s="5" t="s">
        <v>85</v>
      </c>
      <c r="AC2485" s="5">
        <v>1</v>
      </c>
    </row>
    <row r="2486" spans="1:29" x14ac:dyDescent="0.3">
      <c r="A2486" s="34">
        <v>46274</v>
      </c>
      <c r="B2486" s="34">
        <v>46274</v>
      </c>
      <c r="C2486" s="5" t="s">
        <v>78</v>
      </c>
      <c r="D2486" s="5" t="s">
        <v>79</v>
      </c>
      <c r="E2486" s="5" t="s">
        <v>80</v>
      </c>
      <c r="F2486" s="5">
        <v>14977</v>
      </c>
      <c r="G2486" s="5" t="s">
        <v>7544</v>
      </c>
      <c r="H2486" s="5" t="s">
        <v>7545</v>
      </c>
      <c r="I2486" s="5" t="s">
        <v>212</v>
      </c>
      <c r="N2486" s="5" t="s">
        <v>7546</v>
      </c>
      <c r="O2486" s="5">
        <v>265</v>
      </c>
      <c r="P2486" s="5">
        <v>269.25</v>
      </c>
      <c r="Q2486" s="5">
        <v>264.5</v>
      </c>
      <c r="R2486" s="5">
        <v>265.85000000000002</v>
      </c>
      <c r="S2486" s="5">
        <v>265.85000000000002</v>
      </c>
      <c r="T2486" s="5">
        <v>265.75</v>
      </c>
      <c r="V2486" s="5">
        <v>265.85000000000002</v>
      </c>
      <c r="Y2486" s="5">
        <v>11738891</v>
      </c>
      <c r="Z2486" s="5">
        <v>3130850870.3000002</v>
      </c>
      <c r="AA2486" s="5">
        <v>82361</v>
      </c>
      <c r="AB2486" s="5" t="s">
        <v>85</v>
      </c>
      <c r="AC2486" s="5">
        <v>1</v>
      </c>
    </row>
    <row r="2487" spans="1:29" x14ac:dyDescent="0.3">
      <c r="A2487" s="34">
        <v>46274</v>
      </c>
      <c r="B2487" s="34">
        <v>46274</v>
      </c>
      <c r="C2487" s="5" t="s">
        <v>78</v>
      </c>
      <c r="D2487" s="5" t="s">
        <v>79</v>
      </c>
      <c r="E2487" s="5" t="s">
        <v>80</v>
      </c>
      <c r="F2487" s="5">
        <v>15716</v>
      </c>
      <c r="G2487" s="5" t="s">
        <v>7547</v>
      </c>
      <c r="H2487" s="5" t="s">
        <v>7548</v>
      </c>
      <c r="I2487" s="5" t="s">
        <v>212</v>
      </c>
      <c r="N2487" s="5" t="s">
        <v>7549</v>
      </c>
      <c r="O2487" s="5">
        <v>98.4</v>
      </c>
      <c r="P2487" s="5">
        <v>109.73</v>
      </c>
      <c r="Q2487" s="5">
        <v>98.4</v>
      </c>
      <c r="R2487" s="5">
        <v>104.98</v>
      </c>
      <c r="S2487" s="5">
        <v>104.95</v>
      </c>
      <c r="T2487" s="5">
        <v>96.13</v>
      </c>
      <c r="V2487" s="5">
        <v>104.99</v>
      </c>
      <c r="Y2487" s="5">
        <v>332177</v>
      </c>
      <c r="Z2487" s="5">
        <v>35092620.439999998</v>
      </c>
      <c r="AA2487" s="5">
        <v>4507</v>
      </c>
      <c r="AB2487" s="5" t="s">
        <v>85</v>
      </c>
      <c r="AC2487" s="5">
        <v>1</v>
      </c>
    </row>
    <row r="2488" spans="1:29" x14ac:dyDescent="0.3">
      <c r="A2488" s="34">
        <v>46274</v>
      </c>
      <c r="B2488" s="34">
        <v>46274</v>
      </c>
      <c r="C2488" s="5" t="s">
        <v>78</v>
      </c>
      <c r="D2488" s="5" t="s">
        <v>79</v>
      </c>
      <c r="E2488" s="5" t="s">
        <v>80</v>
      </c>
      <c r="F2488" s="5">
        <v>10473</v>
      </c>
      <c r="G2488" s="5" t="s">
        <v>7550</v>
      </c>
      <c r="H2488" s="5" t="s">
        <v>28</v>
      </c>
      <c r="I2488" s="5" t="s">
        <v>212</v>
      </c>
      <c r="N2488" s="5" t="s">
        <v>7551</v>
      </c>
      <c r="O2488" s="5">
        <v>2418</v>
      </c>
      <c r="P2488" s="5">
        <v>2493.4</v>
      </c>
      <c r="Q2488" s="5">
        <v>2402</v>
      </c>
      <c r="R2488" s="5">
        <v>2430.1</v>
      </c>
      <c r="S2488" s="5">
        <v>2422.8000000000002</v>
      </c>
      <c r="T2488" s="5">
        <v>2415.1</v>
      </c>
      <c r="V2488" s="5">
        <v>2430.1</v>
      </c>
      <c r="Y2488" s="5">
        <v>123045</v>
      </c>
      <c r="Z2488" s="5">
        <v>301769172.89999998</v>
      </c>
      <c r="AA2488" s="5">
        <v>17478</v>
      </c>
      <c r="AB2488" s="5" t="s">
        <v>85</v>
      </c>
      <c r="AC2488" s="5">
        <v>1</v>
      </c>
    </row>
    <row r="2489" spans="1:29" x14ac:dyDescent="0.3">
      <c r="A2489" s="34">
        <v>46274</v>
      </c>
      <c r="B2489" s="34">
        <v>46274</v>
      </c>
      <c r="C2489" s="5" t="s">
        <v>78</v>
      </c>
      <c r="D2489" s="5" t="s">
        <v>79</v>
      </c>
      <c r="E2489" s="5" t="s">
        <v>80</v>
      </c>
      <c r="F2489" s="5">
        <v>3494</v>
      </c>
      <c r="G2489" s="5" t="s">
        <v>7552</v>
      </c>
      <c r="H2489" s="5" t="s">
        <v>7553</v>
      </c>
      <c r="I2489" s="5" t="s">
        <v>822</v>
      </c>
      <c r="N2489" s="5" t="s">
        <v>7554</v>
      </c>
      <c r="O2489" s="5">
        <v>102.89</v>
      </c>
      <c r="P2489" s="5">
        <v>102.9</v>
      </c>
      <c r="Q2489" s="5">
        <v>101.9</v>
      </c>
      <c r="R2489" s="5">
        <v>102.23</v>
      </c>
      <c r="S2489" s="5">
        <v>102.15</v>
      </c>
      <c r="T2489" s="5">
        <v>102.87</v>
      </c>
      <c r="V2489" s="5">
        <v>102.23</v>
      </c>
      <c r="Y2489" s="5">
        <v>1073586</v>
      </c>
      <c r="Z2489" s="5">
        <v>109863376.78</v>
      </c>
      <c r="AA2489" s="5">
        <v>5905</v>
      </c>
      <c r="AB2489" s="5" t="s">
        <v>85</v>
      </c>
      <c r="AC2489" s="5">
        <v>1</v>
      </c>
    </row>
    <row r="2490" spans="1:29" x14ac:dyDescent="0.3">
      <c r="A2490" s="34">
        <v>46274</v>
      </c>
      <c r="B2490" s="34">
        <v>46274</v>
      </c>
      <c r="C2490" s="5" t="s">
        <v>78</v>
      </c>
      <c r="D2490" s="5" t="s">
        <v>79</v>
      </c>
      <c r="E2490" s="5" t="s">
        <v>80</v>
      </c>
      <c r="F2490" s="5">
        <v>761680</v>
      </c>
      <c r="G2490" s="5" t="s">
        <v>7555</v>
      </c>
      <c r="H2490" s="5" t="s">
        <v>7556</v>
      </c>
      <c r="I2490" s="5" t="s">
        <v>212</v>
      </c>
      <c r="N2490" s="5" t="s">
        <v>7557</v>
      </c>
      <c r="O2490" s="5">
        <v>539.4</v>
      </c>
      <c r="P2490" s="5">
        <v>552.29999999999995</v>
      </c>
      <c r="Q2490" s="5">
        <v>529.25</v>
      </c>
      <c r="R2490" s="5">
        <v>547.1</v>
      </c>
      <c r="S2490" s="5">
        <v>549.95000000000005</v>
      </c>
      <c r="T2490" s="5">
        <v>530.70000000000005</v>
      </c>
      <c r="V2490" s="5">
        <v>547.15</v>
      </c>
      <c r="Y2490" s="5">
        <v>255922</v>
      </c>
      <c r="Z2490" s="5">
        <v>139024358.44999999</v>
      </c>
      <c r="AA2490" s="5">
        <v>9098</v>
      </c>
      <c r="AB2490" s="5" t="s">
        <v>85</v>
      </c>
      <c r="AC2490" s="5">
        <v>1</v>
      </c>
    </row>
    <row r="2491" spans="1:29" x14ac:dyDescent="0.3">
      <c r="A2491" s="34">
        <v>46274</v>
      </c>
      <c r="B2491" s="34">
        <v>46274</v>
      </c>
      <c r="C2491" s="5" t="s">
        <v>78</v>
      </c>
      <c r="D2491" s="5" t="s">
        <v>79</v>
      </c>
      <c r="E2491" s="5" t="s">
        <v>80</v>
      </c>
      <c r="F2491" s="5">
        <v>15213</v>
      </c>
      <c r="G2491" s="5" t="s">
        <v>7558</v>
      </c>
      <c r="H2491" s="5" t="s">
        <v>7559</v>
      </c>
      <c r="I2491" s="5" t="s">
        <v>234</v>
      </c>
      <c r="N2491" s="5" t="s">
        <v>7560</v>
      </c>
      <c r="O2491" s="5">
        <v>251.6</v>
      </c>
      <c r="P2491" s="5">
        <v>251.8</v>
      </c>
      <c r="Q2491" s="5">
        <v>242.1</v>
      </c>
      <c r="R2491" s="5">
        <v>244.4</v>
      </c>
      <c r="S2491" s="5">
        <v>245.9</v>
      </c>
      <c r="T2491" s="5">
        <v>249.8</v>
      </c>
      <c r="V2491" s="5">
        <v>244.42</v>
      </c>
      <c r="Y2491" s="5">
        <v>17448</v>
      </c>
      <c r="Z2491" s="5">
        <v>4278310.25</v>
      </c>
      <c r="AA2491" s="5">
        <v>287</v>
      </c>
      <c r="AB2491" s="5" t="s">
        <v>85</v>
      </c>
      <c r="AC2491" s="5">
        <v>1</v>
      </c>
    </row>
    <row r="2492" spans="1:29" x14ac:dyDescent="0.3">
      <c r="A2492" s="34">
        <v>46274</v>
      </c>
      <c r="B2492" s="34">
        <v>46274</v>
      </c>
      <c r="C2492" s="5" t="s">
        <v>78</v>
      </c>
      <c r="D2492" s="5" t="s">
        <v>79</v>
      </c>
      <c r="E2492" s="5" t="s">
        <v>80</v>
      </c>
      <c r="F2492" s="5">
        <v>30134</v>
      </c>
      <c r="G2492" s="5" t="s">
        <v>7561</v>
      </c>
      <c r="H2492" s="5" t="s">
        <v>7562</v>
      </c>
      <c r="I2492" s="5" t="s">
        <v>212</v>
      </c>
      <c r="N2492" s="5" t="s">
        <v>7563</v>
      </c>
      <c r="O2492" s="5">
        <v>254</v>
      </c>
      <c r="P2492" s="5">
        <v>262.8</v>
      </c>
      <c r="Q2492" s="5">
        <v>242.46</v>
      </c>
      <c r="R2492" s="5">
        <v>246.58</v>
      </c>
      <c r="S2492" s="5">
        <v>252</v>
      </c>
      <c r="T2492" s="5">
        <v>253.55</v>
      </c>
      <c r="V2492" s="5">
        <v>246.63</v>
      </c>
      <c r="Y2492" s="5">
        <v>597234</v>
      </c>
      <c r="Z2492" s="5">
        <v>148977540.90000001</v>
      </c>
      <c r="AA2492" s="5">
        <v>10158</v>
      </c>
      <c r="AB2492" s="5" t="s">
        <v>85</v>
      </c>
      <c r="AC2492" s="5">
        <v>1</v>
      </c>
    </row>
    <row r="2493" spans="1:29" x14ac:dyDescent="0.3">
      <c r="A2493" s="34">
        <v>46274</v>
      </c>
      <c r="B2493" s="34">
        <v>46274</v>
      </c>
      <c r="C2493" s="5" t="s">
        <v>78</v>
      </c>
      <c r="D2493" s="5" t="s">
        <v>79</v>
      </c>
      <c r="E2493" s="5" t="s">
        <v>80</v>
      </c>
      <c r="F2493" s="5">
        <v>762842</v>
      </c>
      <c r="G2493" s="5" t="s">
        <v>7564</v>
      </c>
      <c r="H2493" s="5" t="s">
        <v>7565</v>
      </c>
      <c r="I2493" s="5" t="s">
        <v>234</v>
      </c>
      <c r="N2493" s="5" t="s">
        <v>7566</v>
      </c>
      <c r="O2493" s="5">
        <v>488</v>
      </c>
      <c r="P2493" s="5">
        <v>497.9</v>
      </c>
      <c r="Q2493" s="5">
        <v>481</v>
      </c>
      <c r="R2493" s="5">
        <v>487.85</v>
      </c>
      <c r="S2493" s="5">
        <v>488.1</v>
      </c>
      <c r="T2493" s="5">
        <v>489.1</v>
      </c>
      <c r="V2493" s="5">
        <v>487.73</v>
      </c>
      <c r="Y2493" s="5">
        <v>8320</v>
      </c>
      <c r="Z2493" s="5">
        <v>4067419.3</v>
      </c>
      <c r="AA2493" s="5">
        <v>97</v>
      </c>
      <c r="AB2493" s="5" t="s">
        <v>85</v>
      </c>
      <c r="AC2493" s="5">
        <v>1</v>
      </c>
    </row>
    <row r="2494" spans="1:29" x14ac:dyDescent="0.3">
      <c r="A2494" s="34">
        <v>46274</v>
      </c>
      <c r="B2494" s="34">
        <v>46274</v>
      </c>
      <c r="C2494" s="5" t="s">
        <v>78</v>
      </c>
      <c r="D2494" s="5" t="s">
        <v>79</v>
      </c>
      <c r="E2494" s="5" t="s">
        <v>80</v>
      </c>
      <c r="F2494" s="5">
        <v>2705</v>
      </c>
      <c r="G2494" s="5" t="s">
        <v>7567</v>
      </c>
      <c r="H2494" s="5" t="s">
        <v>7568</v>
      </c>
      <c r="I2494" s="5" t="s">
        <v>212</v>
      </c>
      <c r="N2494" s="5" t="s">
        <v>7569</v>
      </c>
      <c r="O2494" s="5">
        <v>338</v>
      </c>
      <c r="P2494" s="5">
        <v>338</v>
      </c>
      <c r="Q2494" s="5">
        <v>324.85000000000002</v>
      </c>
      <c r="R2494" s="5">
        <v>326.7</v>
      </c>
      <c r="S2494" s="5">
        <v>327</v>
      </c>
      <c r="T2494" s="5">
        <v>338.85</v>
      </c>
      <c r="V2494" s="5">
        <v>326.72000000000003</v>
      </c>
      <c r="Y2494" s="5">
        <v>676653</v>
      </c>
      <c r="Z2494" s="5">
        <v>224524289.05000001</v>
      </c>
      <c r="AA2494" s="5">
        <v>17671</v>
      </c>
      <c r="AB2494" s="5" t="s">
        <v>85</v>
      </c>
      <c r="AC2494" s="5">
        <v>1</v>
      </c>
    </row>
    <row r="2495" spans="1:29" x14ac:dyDescent="0.3">
      <c r="A2495" s="34">
        <v>46274</v>
      </c>
      <c r="B2495" s="34">
        <v>46274</v>
      </c>
      <c r="C2495" s="5" t="s">
        <v>78</v>
      </c>
      <c r="D2495" s="5" t="s">
        <v>79</v>
      </c>
      <c r="E2495" s="5" t="s">
        <v>80</v>
      </c>
      <c r="F2495" s="5">
        <v>13941</v>
      </c>
      <c r="G2495" s="5" t="s">
        <v>7570</v>
      </c>
      <c r="H2495" s="5" t="s">
        <v>7571</v>
      </c>
      <c r="I2495" s="5" t="s">
        <v>212</v>
      </c>
      <c r="N2495" s="5" t="s">
        <v>7572</v>
      </c>
      <c r="O2495" s="5">
        <v>22.5</v>
      </c>
      <c r="P2495" s="5">
        <v>23.69</v>
      </c>
      <c r="Q2495" s="5">
        <v>22.5</v>
      </c>
      <c r="R2495" s="5">
        <v>22.92</v>
      </c>
      <c r="S2495" s="5">
        <v>22.9</v>
      </c>
      <c r="T2495" s="5">
        <v>22.69</v>
      </c>
      <c r="V2495" s="5">
        <v>22.91</v>
      </c>
      <c r="Y2495" s="5">
        <v>36814</v>
      </c>
      <c r="Z2495" s="5">
        <v>848826.12</v>
      </c>
      <c r="AA2495" s="5">
        <v>551</v>
      </c>
      <c r="AB2495" s="5" t="s">
        <v>85</v>
      </c>
      <c r="AC2495" s="5">
        <v>1</v>
      </c>
    </row>
    <row r="2496" spans="1:29" x14ac:dyDescent="0.3">
      <c r="A2496" s="34">
        <v>46274</v>
      </c>
      <c r="B2496" s="34">
        <v>46274</v>
      </c>
      <c r="C2496" s="5" t="s">
        <v>78</v>
      </c>
      <c r="D2496" s="5" t="s">
        <v>79</v>
      </c>
      <c r="E2496" s="5" t="s">
        <v>80</v>
      </c>
      <c r="F2496" s="5">
        <v>2708</v>
      </c>
      <c r="G2496" s="5" t="s">
        <v>7573</v>
      </c>
      <c r="H2496" s="5" t="s">
        <v>7574</v>
      </c>
      <c r="I2496" s="5" t="s">
        <v>212</v>
      </c>
      <c r="N2496" s="5" t="s">
        <v>7575</v>
      </c>
      <c r="O2496" s="5">
        <v>127.9</v>
      </c>
      <c r="P2496" s="5">
        <v>128.19</v>
      </c>
      <c r="Q2496" s="5">
        <v>125.47</v>
      </c>
      <c r="R2496" s="5">
        <v>126.41</v>
      </c>
      <c r="S2496" s="5">
        <v>126.03</v>
      </c>
      <c r="T2496" s="5">
        <v>127.3</v>
      </c>
      <c r="V2496" s="5">
        <v>126.41</v>
      </c>
      <c r="Y2496" s="5">
        <v>437689</v>
      </c>
      <c r="Z2496" s="5">
        <v>55364346.439999998</v>
      </c>
      <c r="AA2496" s="5">
        <v>3747</v>
      </c>
      <c r="AB2496" s="5" t="s">
        <v>85</v>
      </c>
      <c r="AC2496" s="5">
        <v>1</v>
      </c>
    </row>
    <row r="2497" spans="1:29" x14ac:dyDescent="0.3">
      <c r="A2497" s="34">
        <v>46274</v>
      </c>
      <c r="B2497" s="34">
        <v>46274</v>
      </c>
      <c r="C2497" s="5" t="s">
        <v>78</v>
      </c>
      <c r="D2497" s="5" t="s">
        <v>79</v>
      </c>
      <c r="E2497" s="5" t="s">
        <v>80</v>
      </c>
      <c r="F2497" s="5">
        <v>10299</v>
      </c>
      <c r="G2497" s="5" t="s">
        <v>7576</v>
      </c>
      <c r="H2497" s="5" t="s">
        <v>7577</v>
      </c>
      <c r="I2497" s="5" t="s">
        <v>234</v>
      </c>
      <c r="N2497" s="5" t="s">
        <v>7578</v>
      </c>
      <c r="O2497" s="5">
        <v>278</v>
      </c>
      <c r="P2497" s="5">
        <v>287.75</v>
      </c>
      <c r="Q2497" s="5">
        <v>273</v>
      </c>
      <c r="R2497" s="5">
        <v>287.55</v>
      </c>
      <c r="S2497" s="5">
        <v>287.75</v>
      </c>
      <c r="T2497" s="5">
        <v>274.05</v>
      </c>
      <c r="V2497" s="5">
        <v>287.62</v>
      </c>
      <c r="Y2497" s="5">
        <v>79281</v>
      </c>
      <c r="Z2497" s="5">
        <v>22651495.449999999</v>
      </c>
      <c r="AA2497" s="5">
        <v>1152</v>
      </c>
      <c r="AB2497" s="5" t="s">
        <v>85</v>
      </c>
      <c r="AC2497" s="5">
        <v>1</v>
      </c>
    </row>
    <row r="2498" spans="1:29" x14ac:dyDescent="0.3">
      <c r="A2498" s="34">
        <v>46274</v>
      </c>
      <c r="B2498" s="34">
        <v>46274</v>
      </c>
      <c r="C2498" s="5" t="s">
        <v>78</v>
      </c>
      <c r="D2498" s="5" t="s">
        <v>79</v>
      </c>
      <c r="E2498" s="5" t="s">
        <v>80</v>
      </c>
      <c r="F2498" s="5">
        <v>19599</v>
      </c>
      <c r="G2498" s="5" t="s">
        <v>7579</v>
      </c>
      <c r="H2498" s="5" t="s">
        <v>7580</v>
      </c>
      <c r="I2498" s="5" t="s">
        <v>212</v>
      </c>
      <c r="N2498" s="5" t="s">
        <v>7581</v>
      </c>
      <c r="O2498" s="5">
        <v>3.76</v>
      </c>
      <c r="P2498" s="5">
        <v>3.82</v>
      </c>
      <c r="Q2498" s="5">
        <v>3.75</v>
      </c>
      <c r="R2498" s="5">
        <v>3.8</v>
      </c>
      <c r="S2498" s="5">
        <v>3.8</v>
      </c>
      <c r="T2498" s="5">
        <v>3.75</v>
      </c>
      <c r="V2498" s="5">
        <v>3.8</v>
      </c>
      <c r="Y2498" s="5">
        <v>85139</v>
      </c>
      <c r="Z2498" s="5">
        <v>322798.99</v>
      </c>
      <c r="AA2498" s="5">
        <v>239</v>
      </c>
      <c r="AB2498" s="5" t="s">
        <v>85</v>
      </c>
      <c r="AC2498" s="5">
        <v>1</v>
      </c>
    </row>
    <row r="2499" spans="1:29" x14ac:dyDescent="0.3">
      <c r="A2499" s="34">
        <v>46274</v>
      </c>
      <c r="B2499" s="34">
        <v>46274</v>
      </c>
      <c r="C2499" s="5" t="s">
        <v>78</v>
      </c>
      <c r="D2499" s="5" t="s">
        <v>79</v>
      </c>
      <c r="E2499" s="5" t="s">
        <v>80</v>
      </c>
      <c r="F2499" s="5">
        <v>18514</v>
      </c>
      <c r="G2499" s="5" t="s">
        <v>7582</v>
      </c>
      <c r="H2499" s="5" t="s">
        <v>7583</v>
      </c>
      <c r="I2499" s="5" t="s">
        <v>313</v>
      </c>
      <c r="N2499" s="5" t="s">
        <v>7584</v>
      </c>
      <c r="O2499" s="5">
        <v>100</v>
      </c>
      <c r="P2499" s="5">
        <v>102.2</v>
      </c>
      <c r="Q2499" s="5">
        <v>97</v>
      </c>
      <c r="R2499" s="5">
        <v>97.4</v>
      </c>
      <c r="S2499" s="5">
        <v>98</v>
      </c>
      <c r="T2499" s="5">
        <v>100</v>
      </c>
      <c r="V2499" s="5">
        <v>97.4</v>
      </c>
      <c r="Y2499" s="5">
        <v>46500</v>
      </c>
      <c r="Z2499" s="5">
        <v>4538000</v>
      </c>
      <c r="AA2499" s="5">
        <v>11</v>
      </c>
      <c r="AB2499" s="5" t="s">
        <v>85</v>
      </c>
      <c r="AC2499" s="5">
        <v>500</v>
      </c>
    </row>
    <row r="2500" spans="1:29" x14ac:dyDescent="0.3">
      <c r="A2500" s="34">
        <v>46274</v>
      </c>
      <c r="B2500" s="34">
        <v>46274</v>
      </c>
      <c r="C2500" s="5" t="s">
        <v>78</v>
      </c>
      <c r="D2500" s="5" t="s">
        <v>79</v>
      </c>
      <c r="E2500" s="5" t="s">
        <v>80</v>
      </c>
      <c r="F2500" s="5">
        <v>765287</v>
      </c>
      <c r="G2500" s="5" t="s">
        <v>7585</v>
      </c>
      <c r="H2500" s="5" t="s">
        <v>7586</v>
      </c>
      <c r="I2500" s="5" t="s">
        <v>313</v>
      </c>
      <c r="N2500" s="5" t="s">
        <v>7587</v>
      </c>
      <c r="O2500" s="5">
        <v>129.85</v>
      </c>
      <c r="P2500" s="5">
        <v>131.94999999999999</v>
      </c>
      <c r="Q2500" s="5">
        <v>124</v>
      </c>
      <c r="R2500" s="5">
        <v>128.19999999999999</v>
      </c>
      <c r="S2500" s="5">
        <v>128.9</v>
      </c>
      <c r="T2500" s="5">
        <v>129.55000000000001</v>
      </c>
      <c r="V2500" s="5">
        <v>128.19999999999999</v>
      </c>
      <c r="Y2500" s="5">
        <v>282000</v>
      </c>
      <c r="Z2500" s="5">
        <v>36338760</v>
      </c>
      <c r="AA2500" s="5">
        <v>214</v>
      </c>
      <c r="AB2500" s="5" t="s">
        <v>85</v>
      </c>
      <c r="AC2500" s="5">
        <v>1200</v>
      </c>
    </row>
    <row r="2501" spans="1:29" x14ac:dyDescent="0.3">
      <c r="A2501" s="34">
        <v>46274</v>
      </c>
      <c r="B2501" s="34">
        <v>46274</v>
      </c>
      <c r="C2501" s="5" t="s">
        <v>78</v>
      </c>
      <c r="D2501" s="5" t="s">
        <v>79</v>
      </c>
      <c r="E2501" s="5" t="s">
        <v>80</v>
      </c>
      <c r="F2501" s="5">
        <v>21840</v>
      </c>
      <c r="G2501" s="5" t="s">
        <v>7588</v>
      </c>
      <c r="H2501" s="5" t="s">
        <v>7589</v>
      </c>
      <c r="I2501" s="5" t="s">
        <v>212</v>
      </c>
      <c r="N2501" s="5" t="s">
        <v>7590</v>
      </c>
      <c r="O2501" s="5">
        <v>1128.5999999999999</v>
      </c>
      <c r="P2501" s="5">
        <v>1131.4000000000001</v>
      </c>
      <c r="Q2501" s="5">
        <v>1113.9000000000001</v>
      </c>
      <c r="R2501" s="5">
        <v>1123.5999999999999</v>
      </c>
      <c r="S2501" s="5">
        <v>1125</v>
      </c>
      <c r="T2501" s="5">
        <v>1129.3</v>
      </c>
      <c r="V2501" s="5">
        <v>1123.5899999999999</v>
      </c>
      <c r="Y2501" s="5">
        <v>4765</v>
      </c>
      <c r="Z2501" s="5">
        <v>5362194.3</v>
      </c>
      <c r="AA2501" s="5">
        <v>553</v>
      </c>
      <c r="AB2501" s="5" t="s">
        <v>85</v>
      </c>
      <c r="AC2501" s="5">
        <v>1</v>
      </c>
    </row>
    <row r="2502" spans="1:29" x14ac:dyDescent="0.3">
      <c r="A2502" s="34">
        <v>46274</v>
      </c>
      <c r="B2502" s="34">
        <v>46274</v>
      </c>
      <c r="C2502" s="5" t="s">
        <v>78</v>
      </c>
      <c r="D2502" s="5" t="s">
        <v>79</v>
      </c>
      <c r="E2502" s="5" t="s">
        <v>80</v>
      </c>
      <c r="F2502" s="5">
        <v>23113</v>
      </c>
      <c r="G2502" s="5" t="s">
        <v>7591</v>
      </c>
      <c r="H2502" s="5" t="s">
        <v>7592</v>
      </c>
      <c r="I2502" s="5" t="s">
        <v>313</v>
      </c>
      <c r="N2502" s="5" t="s">
        <v>7593</v>
      </c>
      <c r="O2502" s="5">
        <v>119.65</v>
      </c>
      <c r="P2502" s="5">
        <v>120</v>
      </c>
      <c r="Q2502" s="5">
        <v>119.65</v>
      </c>
      <c r="R2502" s="5">
        <v>120</v>
      </c>
      <c r="S2502" s="5">
        <v>120</v>
      </c>
      <c r="T2502" s="5">
        <v>119.65</v>
      </c>
      <c r="V2502" s="5">
        <v>120</v>
      </c>
      <c r="Y2502" s="5">
        <v>800</v>
      </c>
      <c r="Z2502" s="5">
        <v>95860</v>
      </c>
      <c r="AA2502" s="5">
        <v>2</v>
      </c>
      <c r="AB2502" s="5" t="s">
        <v>85</v>
      </c>
      <c r="AC2502" s="5">
        <v>400</v>
      </c>
    </row>
    <row r="2503" spans="1:29" x14ac:dyDescent="0.3">
      <c r="A2503" s="34">
        <v>46274</v>
      </c>
      <c r="B2503" s="34">
        <v>46274</v>
      </c>
      <c r="C2503" s="5" t="s">
        <v>78</v>
      </c>
      <c r="D2503" s="5" t="s">
        <v>79</v>
      </c>
      <c r="E2503" s="5" t="s">
        <v>80</v>
      </c>
      <c r="F2503" s="5">
        <v>762844</v>
      </c>
      <c r="G2503" s="5" t="s">
        <v>7594</v>
      </c>
      <c r="H2503" s="5" t="s">
        <v>7595</v>
      </c>
      <c r="I2503" s="5" t="s">
        <v>212</v>
      </c>
      <c r="N2503" s="5" t="s">
        <v>7596</v>
      </c>
      <c r="O2503" s="5">
        <v>274.05</v>
      </c>
      <c r="P2503" s="5">
        <v>276.85000000000002</v>
      </c>
      <c r="Q2503" s="5">
        <v>261.05</v>
      </c>
      <c r="R2503" s="5">
        <v>263.8</v>
      </c>
      <c r="S2503" s="5">
        <v>263.64999999999998</v>
      </c>
      <c r="T2503" s="5">
        <v>270.75</v>
      </c>
      <c r="V2503" s="5">
        <v>263.89999999999998</v>
      </c>
      <c r="Y2503" s="5">
        <v>31869</v>
      </c>
      <c r="Z2503" s="5">
        <v>8510748.25</v>
      </c>
      <c r="AA2503" s="5">
        <v>1239</v>
      </c>
      <c r="AB2503" s="5" t="s">
        <v>85</v>
      </c>
      <c r="AC2503" s="5">
        <v>1</v>
      </c>
    </row>
    <row r="2504" spans="1:29" x14ac:dyDescent="0.3">
      <c r="A2504" s="34">
        <v>46274</v>
      </c>
      <c r="B2504" s="34">
        <v>46274</v>
      </c>
      <c r="C2504" s="5" t="s">
        <v>78</v>
      </c>
      <c r="D2504" s="5" t="s">
        <v>79</v>
      </c>
      <c r="E2504" s="5" t="s">
        <v>80</v>
      </c>
      <c r="F2504" s="5">
        <v>1204</v>
      </c>
      <c r="G2504" s="5" t="s">
        <v>7597</v>
      </c>
      <c r="H2504" s="5" t="s">
        <v>7598</v>
      </c>
      <c r="I2504" s="5" t="s">
        <v>212</v>
      </c>
      <c r="N2504" s="5" t="s">
        <v>7599</v>
      </c>
      <c r="O2504" s="5">
        <v>4.78</v>
      </c>
      <c r="P2504" s="5">
        <v>4.78</v>
      </c>
      <c r="Q2504" s="5">
        <v>4.5999999999999996</v>
      </c>
      <c r="R2504" s="5">
        <v>4.72</v>
      </c>
      <c r="S2504" s="5">
        <v>4.7300000000000004</v>
      </c>
      <c r="T2504" s="5">
        <v>4.6900000000000004</v>
      </c>
      <c r="V2504" s="5">
        <v>4.72</v>
      </c>
      <c r="Y2504" s="5">
        <v>161749</v>
      </c>
      <c r="Z2504" s="5">
        <v>763902.09</v>
      </c>
      <c r="AA2504" s="5">
        <v>109</v>
      </c>
      <c r="AB2504" s="5" t="s">
        <v>85</v>
      </c>
      <c r="AC2504" s="5">
        <v>1</v>
      </c>
    </row>
    <row r="2505" spans="1:29" x14ac:dyDescent="0.3">
      <c r="A2505" s="34">
        <v>46274</v>
      </c>
      <c r="B2505" s="34">
        <v>46274</v>
      </c>
      <c r="C2505" s="5" t="s">
        <v>78</v>
      </c>
      <c r="D2505" s="5" t="s">
        <v>79</v>
      </c>
      <c r="E2505" s="5" t="s">
        <v>80</v>
      </c>
      <c r="F2505" s="5">
        <v>12603</v>
      </c>
      <c r="G2505" s="5" t="s">
        <v>7600</v>
      </c>
      <c r="H2505" s="5" t="s">
        <v>7601</v>
      </c>
      <c r="I2505" s="5" t="s">
        <v>212</v>
      </c>
      <c r="N2505" s="5" t="s">
        <v>7602</v>
      </c>
      <c r="O2505" s="5">
        <v>121.4</v>
      </c>
      <c r="P2505" s="5">
        <v>122.12</v>
      </c>
      <c r="Q2505" s="5">
        <v>119.2</v>
      </c>
      <c r="R2505" s="5">
        <v>119.91</v>
      </c>
      <c r="S2505" s="5">
        <v>120.49</v>
      </c>
      <c r="T2505" s="5">
        <v>121.71</v>
      </c>
      <c r="V2505" s="5">
        <v>119.92</v>
      </c>
      <c r="Y2505" s="5">
        <v>107492</v>
      </c>
      <c r="Z2505" s="5">
        <v>12949983.800000001</v>
      </c>
      <c r="AA2505" s="5">
        <v>2357</v>
      </c>
      <c r="AB2505" s="5" t="s">
        <v>85</v>
      </c>
      <c r="AC2505" s="5">
        <v>1</v>
      </c>
    </row>
    <row r="2506" spans="1:29" x14ac:dyDescent="0.3">
      <c r="A2506" s="34">
        <v>46274</v>
      </c>
      <c r="B2506" s="34">
        <v>46274</v>
      </c>
      <c r="C2506" s="5" t="s">
        <v>78</v>
      </c>
      <c r="D2506" s="5" t="s">
        <v>79</v>
      </c>
      <c r="E2506" s="5" t="s">
        <v>80</v>
      </c>
      <c r="F2506" s="5">
        <v>7963</v>
      </c>
      <c r="G2506" s="5" t="s">
        <v>7603</v>
      </c>
      <c r="H2506" s="5" t="s">
        <v>7604</v>
      </c>
      <c r="I2506" s="5" t="s">
        <v>392</v>
      </c>
      <c r="N2506" s="5" t="s">
        <v>7605</v>
      </c>
      <c r="O2506" s="5">
        <v>7.1</v>
      </c>
      <c r="P2506" s="5">
        <v>7.4</v>
      </c>
      <c r="Q2506" s="5">
        <v>6.8</v>
      </c>
      <c r="R2506" s="5">
        <v>7.3</v>
      </c>
      <c r="S2506" s="5">
        <v>7.3</v>
      </c>
      <c r="T2506" s="5">
        <v>7.1</v>
      </c>
      <c r="V2506" s="5">
        <v>7.3</v>
      </c>
      <c r="Y2506" s="5">
        <v>94000</v>
      </c>
      <c r="Z2506" s="5">
        <v>686800</v>
      </c>
      <c r="AA2506" s="5">
        <v>15</v>
      </c>
      <c r="AB2506" s="5" t="s">
        <v>85</v>
      </c>
      <c r="AC2506" s="5">
        <v>2000</v>
      </c>
    </row>
    <row r="2507" spans="1:29" x14ac:dyDescent="0.3">
      <c r="A2507" s="34">
        <v>46274</v>
      </c>
      <c r="B2507" s="34">
        <v>46274</v>
      </c>
      <c r="C2507" s="5" t="s">
        <v>78</v>
      </c>
      <c r="D2507" s="5" t="s">
        <v>79</v>
      </c>
      <c r="E2507" s="5" t="s">
        <v>80</v>
      </c>
      <c r="F2507" s="5">
        <v>2717</v>
      </c>
      <c r="G2507" s="5" t="s">
        <v>7606</v>
      </c>
      <c r="H2507" s="5" t="s">
        <v>7607</v>
      </c>
      <c r="I2507" s="5" t="s">
        <v>212</v>
      </c>
      <c r="N2507" s="5" t="s">
        <v>7608</v>
      </c>
      <c r="O2507" s="5">
        <v>479</v>
      </c>
      <c r="P2507" s="5">
        <v>479.5</v>
      </c>
      <c r="Q2507" s="5">
        <v>468.15</v>
      </c>
      <c r="R2507" s="5">
        <v>474.35</v>
      </c>
      <c r="S2507" s="5">
        <v>472.65</v>
      </c>
      <c r="T2507" s="5">
        <v>480.2</v>
      </c>
      <c r="V2507" s="5">
        <v>474.35</v>
      </c>
      <c r="Y2507" s="5">
        <v>390910</v>
      </c>
      <c r="Z2507" s="5">
        <v>185187351.59999999</v>
      </c>
      <c r="AA2507" s="5">
        <v>19011</v>
      </c>
      <c r="AB2507" s="5" t="s">
        <v>85</v>
      </c>
      <c r="AC2507" s="5">
        <v>1</v>
      </c>
    </row>
    <row r="2508" spans="1:29" x14ac:dyDescent="0.3">
      <c r="A2508" s="34">
        <v>46274</v>
      </c>
      <c r="B2508" s="34">
        <v>46274</v>
      </c>
      <c r="C2508" s="5" t="s">
        <v>78</v>
      </c>
      <c r="D2508" s="5" t="s">
        <v>79</v>
      </c>
      <c r="E2508" s="5" t="s">
        <v>80</v>
      </c>
      <c r="F2508" s="5">
        <v>2711</v>
      </c>
      <c r="G2508" s="5" t="s">
        <v>7609</v>
      </c>
      <c r="H2508" s="5" t="s">
        <v>7610</v>
      </c>
      <c r="I2508" s="5" t="s">
        <v>212</v>
      </c>
      <c r="N2508" s="5" t="s">
        <v>7611</v>
      </c>
      <c r="O2508" s="5">
        <v>675.6</v>
      </c>
      <c r="P2508" s="5">
        <v>686.2</v>
      </c>
      <c r="Q2508" s="5">
        <v>658.2</v>
      </c>
      <c r="R2508" s="5">
        <v>660.15</v>
      </c>
      <c r="S2508" s="5">
        <v>660</v>
      </c>
      <c r="T2508" s="5">
        <v>682.9</v>
      </c>
      <c r="V2508" s="5">
        <v>660.15</v>
      </c>
      <c r="Y2508" s="5">
        <v>9739</v>
      </c>
      <c r="Z2508" s="5">
        <v>6512022.0999999996</v>
      </c>
      <c r="AA2508" s="5">
        <v>456</v>
      </c>
      <c r="AB2508" s="5" t="s">
        <v>85</v>
      </c>
      <c r="AC2508" s="5">
        <v>1</v>
      </c>
    </row>
    <row r="2509" spans="1:29" x14ac:dyDescent="0.3">
      <c r="A2509" s="34">
        <v>46274</v>
      </c>
      <c r="B2509" s="34">
        <v>46274</v>
      </c>
      <c r="C2509" s="5" t="s">
        <v>78</v>
      </c>
      <c r="D2509" s="5" t="s">
        <v>79</v>
      </c>
      <c r="E2509" s="5" t="s">
        <v>80</v>
      </c>
      <c r="F2509" s="5">
        <v>762849</v>
      </c>
      <c r="G2509" s="5" t="s">
        <v>7612</v>
      </c>
      <c r="H2509" s="5" t="s">
        <v>7613</v>
      </c>
      <c r="I2509" s="5" t="s">
        <v>212</v>
      </c>
      <c r="N2509" s="5" t="s">
        <v>7614</v>
      </c>
      <c r="O2509" s="5">
        <v>392</v>
      </c>
      <c r="P2509" s="5">
        <v>398.5</v>
      </c>
      <c r="Q2509" s="5">
        <v>385.05</v>
      </c>
      <c r="R2509" s="5">
        <v>386.05</v>
      </c>
      <c r="S2509" s="5">
        <v>386.15</v>
      </c>
      <c r="T2509" s="5">
        <v>392</v>
      </c>
      <c r="V2509" s="5">
        <v>386.05</v>
      </c>
      <c r="Y2509" s="5">
        <v>896</v>
      </c>
      <c r="Z2509" s="5">
        <v>348571.5</v>
      </c>
      <c r="AA2509" s="5">
        <v>75</v>
      </c>
      <c r="AB2509" s="5" t="s">
        <v>85</v>
      </c>
      <c r="AC2509" s="5">
        <v>1</v>
      </c>
    </row>
    <row r="2510" spans="1:29" x14ac:dyDescent="0.3">
      <c r="A2510" s="34">
        <v>46274</v>
      </c>
      <c r="B2510" s="34">
        <v>46274</v>
      </c>
      <c r="C2510" s="5" t="s">
        <v>78</v>
      </c>
      <c r="D2510" s="5" t="s">
        <v>79</v>
      </c>
      <c r="E2510" s="5" t="s">
        <v>80</v>
      </c>
      <c r="F2510" s="5">
        <v>25049</v>
      </c>
      <c r="G2510" s="5" t="s">
        <v>7615</v>
      </c>
      <c r="H2510" s="5" t="s">
        <v>7616</v>
      </c>
      <c r="I2510" s="5" t="s">
        <v>212</v>
      </c>
      <c r="N2510" s="5" t="s">
        <v>7617</v>
      </c>
      <c r="O2510" s="5">
        <v>990.9</v>
      </c>
      <c r="P2510" s="5">
        <v>994.5</v>
      </c>
      <c r="Q2510" s="5">
        <v>972</v>
      </c>
      <c r="R2510" s="5">
        <v>975.9</v>
      </c>
      <c r="S2510" s="5">
        <v>975.9</v>
      </c>
      <c r="T2510" s="5">
        <v>988.8</v>
      </c>
      <c r="V2510" s="5">
        <v>976.15</v>
      </c>
      <c r="Y2510" s="5">
        <v>583491</v>
      </c>
      <c r="Z2510" s="5">
        <v>574662290.5</v>
      </c>
      <c r="AA2510" s="5">
        <v>21179</v>
      </c>
      <c r="AB2510" s="5" t="s">
        <v>85</v>
      </c>
      <c r="AC2510" s="5">
        <v>1</v>
      </c>
    </row>
    <row r="2511" spans="1:29" x14ac:dyDescent="0.3">
      <c r="A2511" s="34">
        <v>46274</v>
      </c>
      <c r="B2511" s="34">
        <v>46274</v>
      </c>
      <c r="C2511" s="5" t="s">
        <v>78</v>
      </c>
      <c r="D2511" s="5" t="s">
        <v>79</v>
      </c>
      <c r="E2511" s="5" t="s">
        <v>80</v>
      </c>
      <c r="F2511" s="5">
        <v>17397</v>
      </c>
      <c r="G2511" s="5" t="s">
        <v>7618</v>
      </c>
      <c r="H2511" s="5" t="s">
        <v>7619</v>
      </c>
      <c r="I2511" s="5" t="s">
        <v>212</v>
      </c>
      <c r="N2511" s="5" t="s">
        <v>7620</v>
      </c>
      <c r="O2511" s="5">
        <v>679</v>
      </c>
      <c r="P2511" s="5">
        <v>679</v>
      </c>
      <c r="Q2511" s="5">
        <v>664.05</v>
      </c>
      <c r="R2511" s="5">
        <v>666.6</v>
      </c>
      <c r="S2511" s="5">
        <v>667</v>
      </c>
      <c r="T2511" s="5">
        <v>677.7</v>
      </c>
      <c r="V2511" s="5">
        <v>666.6</v>
      </c>
      <c r="Y2511" s="5">
        <v>572139</v>
      </c>
      <c r="Z2511" s="5">
        <v>381885671.35000002</v>
      </c>
      <c r="AA2511" s="5">
        <v>3008</v>
      </c>
      <c r="AB2511" s="5" t="s">
        <v>85</v>
      </c>
      <c r="AC2511" s="5">
        <v>1</v>
      </c>
    </row>
    <row r="2512" spans="1:29" x14ac:dyDescent="0.3">
      <c r="A2512" s="34">
        <v>46274</v>
      </c>
      <c r="B2512" s="34">
        <v>46274</v>
      </c>
      <c r="C2512" s="5" t="s">
        <v>78</v>
      </c>
      <c r="D2512" s="5" t="s">
        <v>79</v>
      </c>
      <c r="E2512" s="5" t="s">
        <v>80</v>
      </c>
      <c r="F2512" s="5">
        <v>6248</v>
      </c>
      <c r="G2512" s="5" t="s">
        <v>7621</v>
      </c>
      <c r="H2512" s="5" t="s">
        <v>7622</v>
      </c>
      <c r="I2512" s="5" t="s">
        <v>234</v>
      </c>
      <c r="N2512" s="5" t="s">
        <v>7623</v>
      </c>
      <c r="O2512" s="5">
        <v>2.78</v>
      </c>
      <c r="P2512" s="5">
        <v>2.88</v>
      </c>
      <c r="Q2512" s="5">
        <v>2.65</v>
      </c>
      <c r="R2512" s="5">
        <v>2.87</v>
      </c>
      <c r="S2512" s="5">
        <v>2.87</v>
      </c>
      <c r="T2512" s="5">
        <v>2.78</v>
      </c>
      <c r="V2512" s="5">
        <v>2.87</v>
      </c>
      <c r="Y2512" s="5">
        <v>33610</v>
      </c>
      <c r="Z2512" s="5">
        <v>95587.9</v>
      </c>
      <c r="AA2512" s="5">
        <v>33</v>
      </c>
      <c r="AB2512" s="5" t="s">
        <v>85</v>
      </c>
      <c r="AC2512" s="5">
        <v>1</v>
      </c>
    </row>
    <row r="2513" spans="1:29" x14ac:dyDescent="0.3">
      <c r="A2513" s="34">
        <v>46274</v>
      </c>
      <c r="B2513" s="34">
        <v>46274</v>
      </c>
      <c r="C2513" s="5" t="s">
        <v>78</v>
      </c>
      <c r="D2513" s="5" t="s">
        <v>79</v>
      </c>
      <c r="E2513" s="5" t="s">
        <v>80</v>
      </c>
      <c r="F2513" s="5">
        <v>3908</v>
      </c>
      <c r="G2513" s="5" t="s">
        <v>7624</v>
      </c>
      <c r="H2513" s="5" t="s">
        <v>7625</v>
      </c>
      <c r="I2513" s="5" t="s">
        <v>212</v>
      </c>
      <c r="N2513" s="5" t="s">
        <v>7626</v>
      </c>
      <c r="O2513" s="5">
        <v>91.1</v>
      </c>
      <c r="P2513" s="5">
        <v>93</v>
      </c>
      <c r="Q2513" s="5">
        <v>88.18</v>
      </c>
      <c r="R2513" s="5">
        <v>89.73</v>
      </c>
      <c r="S2513" s="5">
        <v>89.85</v>
      </c>
      <c r="T2513" s="5">
        <v>90.56</v>
      </c>
      <c r="V2513" s="5">
        <v>89.74</v>
      </c>
      <c r="Y2513" s="5">
        <v>201085</v>
      </c>
      <c r="Z2513" s="5">
        <v>17982906.359999999</v>
      </c>
      <c r="AA2513" s="5">
        <v>3065</v>
      </c>
      <c r="AB2513" s="5" t="s">
        <v>85</v>
      </c>
      <c r="AC2513" s="5">
        <v>1</v>
      </c>
    </row>
    <row r="2514" spans="1:29" x14ac:dyDescent="0.3">
      <c r="A2514" s="34">
        <v>46274</v>
      </c>
      <c r="B2514" s="34">
        <v>46274</v>
      </c>
      <c r="C2514" s="5" t="s">
        <v>78</v>
      </c>
      <c r="D2514" s="5" t="s">
        <v>79</v>
      </c>
      <c r="E2514" s="5" t="s">
        <v>80</v>
      </c>
      <c r="F2514" s="5">
        <v>23764</v>
      </c>
      <c r="G2514" s="5" t="s">
        <v>7627</v>
      </c>
      <c r="H2514" s="5" t="s">
        <v>7628</v>
      </c>
      <c r="I2514" s="5" t="s">
        <v>313</v>
      </c>
      <c r="N2514" s="5" t="s">
        <v>7629</v>
      </c>
      <c r="O2514" s="5">
        <v>42.1</v>
      </c>
      <c r="P2514" s="5">
        <v>42.7</v>
      </c>
      <c r="Q2514" s="5">
        <v>42</v>
      </c>
      <c r="R2514" s="5">
        <v>42.6</v>
      </c>
      <c r="S2514" s="5">
        <v>42.15</v>
      </c>
      <c r="T2514" s="5">
        <v>42.6</v>
      </c>
      <c r="V2514" s="5">
        <v>42.6</v>
      </c>
      <c r="Y2514" s="5">
        <v>50000</v>
      </c>
      <c r="Z2514" s="5">
        <v>2109950</v>
      </c>
      <c r="AA2514" s="5">
        <v>25</v>
      </c>
      <c r="AB2514" s="5" t="s">
        <v>85</v>
      </c>
      <c r="AC2514" s="5">
        <v>1000</v>
      </c>
    </row>
    <row r="2515" spans="1:29" x14ac:dyDescent="0.3">
      <c r="A2515" s="34">
        <v>46274</v>
      </c>
      <c r="B2515" s="34">
        <v>46274</v>
      </c>
      <c r="C2515" s="5" t="s">
        <v>78</v>
      </c>
      <c r="D2515" s="5" t="s">
        <v>79</v>
      </c>
      <c r="E2515" s="5" t="s">
        <v>80</v>
      </c>
      <c r="F2515" s="5">
        <v>25898</v>
      </c>
      <c r="G2515" s="5" t="s">
        <v>7630</v>
      </c>
      <c r="H2515" s="5" t="s">
        <v>7631</v>
      </c>
      <c r="I2515" s="5" t="s">
        <v>313</v>
      </c>
      <c r="N2515" s="5" t="s">
        <v>7632</v>
      </c>
      <c r="O2515" s="5">
        <v>39.15</v>
      </c>
      <c r="P2515" s="5">
        <v>41.2</v>
      </c>
      <c r="Q2515" s="5">
        <v>39.15</v>
      </c>
      <c r="R2515" s="5">
        <v>40.9</v>
      </c>
      <c r="S2515" s="5">
        <v>40.9</v>
      </c>
      <c r="T2515" s="5">
        <v>39.950000000000003</v>
      </c>
      <c r="V2515" s="5">
        <v>40.9</v>
      </c>
      <c r="Y2515" s="5">
        <v>12000</v>
      </c>
      <c r="Z2515" s="5">
        <v>483600</v>
      </c>
      <c r="AA2515" s="5">
        <v>4</v>
      </c>
      <c r="AB2515" s="5" t="s">
        <v>85</v>
      </c>
      <c r="AC2515" s="5">
        <v>3000</v>
      </c>
    </row>
    <row r="2516" spans="1:29" x14ac:dyDescent="0.3">
      <c r="A2516" s="34">
        <v>46274</v>
      </c>
      <c r="B2516" s="34">
        <v>46274</v>
      </c>
      <c r="C2516" s="5" t="s">
        <v>78</v>
      </c>
      <c r="D2516" s="5" t="s">
        <v>79</v>
      </c>
      <c r="E2516" s="5" t="s">
        <v>80</v>
      </c>
      <c r="F2516" s="5">
        <v>20498</v>
      </c>
      <c r="G2516" s="5" t="s">
        <v>7633</v>
      </c>
      <c r="H2516" s="5" t="s">
        <v>7634</v>
      </c>
      <c r="I2516" s="5" t="s">
        <v>313</v>
      </c>
      <c r="N2516" s="5" t="s">
        <v>7635</v>
      </c>
      <c r="O2516" s="5">
        <v>30</v>
      </c>
      <c r="P2516" s="5">
        <v>30.9</v>
      </c>
      <c r="Q2516" s="5">
        <v>29.7</v>
      </c>
      <c r="R2516" s="5">
        <v>29.9</v>
      </c>
      <c r="S2516" s="5">
        <v>29.8</v>
      </c>
      <c r="T2516" s="5">
        <v>30.1</v>
      </c>
      <c r="V2516" s="5">
        <v>29.9</v>
      </c>
      <c r="Y2516" s="5">
        <v>26400</v>
      </c>
      <c r="Z2516" s="5">
        <v>796840</v>
      </c>
      <c r="AA2516" s="5">
        <v>28</v>
      </c>
      <c r="AB2516" s="5" t="s">
        <v>85</v>
      </c>
      <c r="AC2516" s="5">
        <v>800</v>
      </c>
    </row>
    <row r="2517" spans="1:29" x14ac:dyDescent="0.3">
      <c r="A2517" s="34">
        <v>46274</v>
      </c>
      <c r="B2517" s="34">
        <v>46274</v>
      </c>
      <c r="C2517" s="5" t="s">
        <v>78</v>
      </c>
      <c r="D2517" s="5" t="s">
        <v>79</v>
      </c>
      <c r="E2517" s="5" t="s">
        <v>80</v>
      </c>
      <c r="F2517" s="5">
        <v>20302</v>
      </c>
      <c r="G2517" s="5" t="s">
        <v>7636</v>
      </c>
      <c r="H2517" s="5" t="s">
        <v>7637</v>
      </c>
      <c r="I2517" s="5" t="s">
        <v>212</v>
      </c>
      <c r="N2517" s="5" t="s">
        <v>7638</v>
      </c>
      <c r="O2517" s="5">
        <v>1554.2</v>
      </c>
      <c r="P2517" s="5">
        <v>1557.9</v>
      </c>
      <c r="Q2517" s="5">
        <v>1534.1</v>
      </c>
      <c r="R2517" s="5">
        <v>1540.4</v>
      </c>
      <c r="S2517" s="5">
        <v>1540.4</v>
      </c>
      <c r="T2517" s="5">
        <v>1561.6</v>
      </c>
      <c r="V2517" s="5">
        <v>1540.4</v>
      </c>
      <c r="Y2517" s="5">
        <v>499802</v>
      </c>
      <c r="Z2517" s="5">
        <v>773270812.20000005</v>
      </c>
      <c r="AA2517" s="5">
        <v>16188</v>
      </c>
      <c r="AB2517" s="5" t="s">
        <v>85</v>
      </c>
      <c r="AC2517" s="5">
        <v>1</v>
      </c>
    </row>
    <row r="2518" spans="1:29" x14ac:dyDescent="0.3">
      <c r="A2518" s="34">
        <v>46274</v>
      </c>
      <c r="B2518" s="34">
        <v>46274</v>
      </c>
      <c r="C2518" s="5" t="s">
        <v>78</v>
      </c>
      <c r="D2518" s="5" t="s">
        <v>79</v>
      </c>
      <c r="E2518" s="5" t="s">
        <v>80</v>
      </c>
      <c r="F2518" s="5">
        <v>19631</v>
      </c>
      <c r="G2518" s="5" t="s">
        <v>7639</v>
      </c>
      <c r="H2518" s="5" t="s">
        <v>7640</v>
      </c>
      <c r="I2518" s="5" t="s">
        <v>212</v>
      </c>
      <c r="N2518" s="5" t="s">
        <v>7641</v>
      </c>
      <c r="O2518" s="5">
        <v>758</v>
      </c>
      <c r="P2518" s="5">
        <v>758</v>
      </c>
      <c r="Q2518" s="5">
        <v>740.3</v>
      </c>
      <c r="R2518" s="5">
        <v>745.8</v>
      </c>
      <c r="S2518" s="5">
        <v>746.5</v>
      </c>
      <c r="T2518" s="5">
        <v>758.6</v>
      </c>
      <c r="V2518" s="5">
        <v>745.82</v>
      </c>
      <c r="Y2518" s="5">
        <v>304363</v>
      </c>
      <c r="Z2518" s="5">
        <v>226697610.15000001</v>
      </c>
      <c r="AA2518" s="5">
        <v>18013</v>
      </c>
      <c r="AB2518" s="5" t="s">
        <v>85</v>
      </c>
      <c r="AC2518" s="5">
        <v>1</v>
      </c>
    </row>
    <row r="2519" spans="1:29" x14ac:dyDescent="0.3">
      <c r="A2519" s="34">
        <v>46274</v>
      </c>
      <c r="B2519" s="34">
        <v>46274</v>
      </c>
      <c r="C2519" s="5" t="s">
        <v>78</v>
      </c>
      <c r="D2519" s="5" t="s">
        <v>79</v>
      </c>
      <c r="E2519" s="5" t="s">
        <v>80</v>
      </c>
      <c r="F2519" s="5">
        <v>759075</v>
      </c>
      <c r="G2519" s="5" t="s">
        <v>7642</v>
      </c>
      <c r="H2519" s="5" t="s">
        <v>7643</v>
      </c>
      <c r="I2519" s="5" t="s">
        <v>392</v>
      </c>
      <c r="N2519" s="5" t="s">
        <v>7644</v>
      </c>
      <c r="O2519" s="5">
        <v>169.4</v>
      </c>
      <c r="P2519" s="5">
        <v>186.75</v>
      </c>
      <c r="Q2519" s="5">
        <v>169.4</v>
      </c>
      <c r="R2519" s="5">
        <v>180</v>
      </c>
      <c r="S2519" s="5">
        <v>180</v>
      </c>
      <c r="T2519" s="5">
        <v>178.3</v>
      </c>
      <c r="V2519" s="5">
        <v>180</v>
      </c>
      <c r="Y2519" s="5">
        <v>136000</v>
      </c>
      <c r="Z2519" s="5">
        <v>23591360</v>
      </c>
      <c r="AA2519" s="5">
        <v>80</v>
      </c>
      <c r="AB2519" s="5" t="s">
        <v>85</v>
      </c>
      <c r="AC2519" s="5">
        <v>1600</v>
      </c>
    </row>
    <row r="2520" spans="1:29" x14ac:dyDescent="0.3">
      <c r="A2520" s="34">
        <v>46274</v>
      </c>
      <c r="B2520" s="34">
        <v>46274</v>
      </c>
      <c r="C2520" s="5" t="s">
        <v>78</v>
      </c>
      <c r="D2520" s="5" t="s">
        <v>79</v>
      </c>
      <c r="E2520" s="5" t="s">
        <v>80</v>
      </c>
      <c r="F2520" s="5">
        <v>13496</v>
      </c>
      <c r="G2520" s="5" t="s">
        <v>7645</v>
      </c>
      <c r="H2520" s="5" t="s">
        <v>7646</v>
      </c>
      <c r="I2520" s="5" t="s">
        <v>212</v>
      </c>
      <c r="N2520" s="5" t="s">
        <v>7647</v>
      </c>
      <c r="O2520" s="5">
        <v>314.95</v>
      </c>
      <c r="P2520" s="5">
        <v>321.35000000000002</v>
      </c>
      <c r="Q2520" s="5">
        <v>310.35000000000002</v>
      </c>
      <c r="R2520" s="5">
        <v>316.3</v>
      </c>
      <c r="S2520" s="5">
        <v>316.3</v>
      </c>
      <c r="T2520" s="5">
        <v>313.14999999999998</v>
      </c>
      <c r="V2520" s="5">
        <v>316.32</v>
      </c>
      <c r="Y2520" s="5">
        <v>761243</v>
      </c>
      <c r="Z2520" s="5">
        <v>240918585.15000001</v>
      </c>
      <c r="AA2520" s="5">
        <v>15163</v>
      </c>
      <c r="AB2520" s="5" t="s">
        <v>85</v>
      </c>
      <c r="AC2520" s="5">
        <v>1</v>
      </c>
    </row>
    <row r="2521" spans="1:29" x14ac:dyDescent="0.3">
      <c r="A2521" s="34">
        <v>46274</v>
      </c>
      <c r="B2521" s="34">
        <v>46274</v>
      </c>
      <c r="C2521" s="5" t="s">
        <v>78</v>
      </c>
      <c r="D2521" s="5" t="s">
        <v>79</v>
      </c>
      <c r="E2521" s="5" t="s">
        <v>80</v>
      </c>
      <c r="F2521" s="5">
        <v>11864</v>
      </c>
      <c r="G2521" s="5" t="s">
        <v>7648</v>
      </c>
      <c r="H2521" s="5" t="s">
        <v>7649</v>
      </c>
      <c r="I2521" s="5" t="s">
        <v>212</v>
      </c>
      <c r="N2521" s="5" t="s">
        <v>7650</v>
      </c>
      <c r="O2521" s="5">
        <v>279.89999999999998</v>
      </c>
      <c r="P2521" s="5">
        <v>282.95</v>
      </c>
      <c r="Q2521" s="5">
        <v>276.2</v>
      </c>
      <c r="R2521" s="5">
        <v>280.10000000000002</v>
      </c>
      <c r="S2521" s="5">
        <v>282</v>
      </c>
      <c r="T2521" s="5">
        <v>279.45</v>
      </c>
      <c r="V2521" s="5">
        <v>280.10000000000002</v>
      </c>
      <c r="Y2521" s="5">
        <v>22760</v>
      </c>
      <c r="Z2521" s="5">
        <v>6369299</v>
      </c>
      <c r="AA2521" s="5">
        <v>317</v>
      </c>
      <c r="AB2521" s="5" t="s">
        <v>85</v>
      </c>
      <c r="AC2521" s="5">
        <v>1</v>
      </c>
    </row>
    <row r="2522" spans="1:29" x14ac:dyDescent="0.3">
      <c r="A2522" s="34">
        <v>46274</v>
      </c>
      <c r="B2522" s="34">
        <v>46274</v>
      </c>
      <c r="C2522" s="5" t="s">
        <v>78</v>
      </c>
      <c r="D2522" s="5" t="s">
        <v>79</v>
      </c>
      <c r="E2522" s="5" t="s">
        <v>80</v>
      </c>
      <c r="F2522" s="5">
        <v>756925</v>
      </c>
      <c r="G2522" s="5" t="s">
        <v>7651</v>
      </c>
      <c r="H2522" s="5" t="s">
        <v>7652</v>
      </c>
      <c r="I2522" s="5" t="s">
        <v>212</v>
      </c>
      <c r="N2522" s="5" t="s">
        <v>7653</v>
      </c>
      <c r="O2522" s="5">
        <v>20.63</v>
      </c>
      <c r="P2522" s="5">
        <v>21.74</v>
      </c>
      <c r="Q2522" s="5">
        <v>20.260000000000002</v>
      </c>
      <c r="R2522" s="5">
        <v>21.27</v>
      </c>
      <c r="S2522" s="5">
        <v>21.31</v>
      </c>
      <c r="T2522" s="5">
        <v>20.41</v>
      </c>
      <c r="V2522" s="5">
        <v>21.27</v>
      </c>
      <c r="Y2522" s="5">
        <v>162572</v>
      </c>
      <c r="Z2522" s="5">
        <v>3425894.22</v>
      </c>
      <c r="AA2522" s="5">
        <v>1936</v>
      </c>
      <c r="AB2522" s="5" t="s">
        <v>85</v>
      </c>
      <c r="AC2522" s="5">
        <v>1</v>
      </c>
    </row>
    <row r="2523" spans="1:29" x14ac:dyDescent="0.3">
      <c r="A2523" s="34">
        <v>46274</v>
      </c>
      <c r="B2523" s="34">
        <v>46274</v>
      </c>
      <c r="C2523" s="5" t="s">
        <v>78</v>
      </c>
      <c r="D2523" s="5" t="s">
        <v>79</v>
      </c>
      <c r="E2523" s="5" t="s">
        <v>80</v>
      </c>
      <c r="F2523" s="5">
        <v>16045</v>
      </c>
      <c r="G2523" s="5" t="s">
        <v>7654</v>
      </c>
      <c r="H2523" s="5" t="s">
        <v>7655</v>
      </c>
      <c r="I2523" s="5" t="s">
        <v>212</v>
      </c>
      <c r="N2523" s="5" t="s">
        <v>7656</v>
      </c>
      <c r="O2523" s="5">
        <v>284.35000000000002</v>
      </c>
      <c r="P2523" s="5">
        <v>286.45</v>
      </c>
      <c r="Q2523" s="5">
        <v>280.25</v>
      </c>
      <c r="R2523" s="5">
        <v>280.75</v>
      </c>
      <c r="S2523" s="5">
        <v>280.85000000000002</v>
      </c>
      <c r="T2523" s="5">
        <v>285.75</v>
      </c>
      <c r="V2523" s="5">
        <v>280.75</v>
      </c>
      <c r="Y2523" s="5">
        <v>111190</v>
      </c>
      <c r="Z2523" s="5">
        <v>31330093.300000001</v>
      </c>
      <c r="AA2523" s="5">
        <v>3296</v>
      </c>
      <c r="AB2523" s="5" t="s">
        <v>85</v>
      </c>
      <c r="AC2523" s="5">
        <v>1</v>
      </c>
    </row>
    <row r="2524" spans="1:29" x14ac:dyDescent="0.3">
      <c r="A2524" s="34">
        <v>46274</v>
      </c>
      <c r="B2524" s="34">
        <v>46274</v>
      </c>
      <c r="C2524" s="5" t="s">
        <v>78</v>
      </c>
      <c r="D2524" s="5" t="s">
        <v>79</v>
      </c>
      <c r="E2524" s="5" t="s">
        <v>80</v>
      </c>
      <c r="F2524" s="5">
        <v>765559</v>
      </c>
      <c r="G2524" s="5" t="s">
        <v>7657</v>
      </c>
      <c r="H2524" s="5" t="s">
        <v>7658</v>
      </c>
      <c r="I2524" s="5" t="s">
        <v>234</v>
      </c>
      <c r="N2524" s="5" t="s">
        <v>7659</v>
      </c>
      <c r="O2524" s="5">
        <v>215</v>
      </c>
      <c r="P2524" s="5">
        <v>229.45</v>
      </c>
      <c r="Q2524" s="5">
        <v>215</v>
      </c>
      <c r="R2524" s="5">
        <v>229.45</v>
      </c>
      <c r="S2524" s="5">
        <v>229.45</v>
      </c>
      <c r="T2524" s="5">
        <v>218.53</v>
      </c>
      <c r="V2524" s="5">
        <v>229.44</v>
      </c>
      <c r="Y2524" s="5">
        <v>352389</v>
      </c>
      <c r="Z2524" s="5">
        <v>79700759.109999999</v>
      </c>
      <c r="AA2524" s="5">
        <v>2534</v>
      </c>
      <c r="AB2524" s="5" t="s">
        <v>85</v>
      </c>
      <c r="AC2524" s="5">
        <v>1</v>
      </c>
    </row>
    <row r="2525" spans="1:29" x14ac:dyDescent="0.3">
      <c r="A2525" s="34">
        <v>46274</v>
      </c>
      <c r="B2525" s="34">
        <v>46274</v>
      </c>
      <c r="C2525" s="5" t="s">
        <v>78</v>
      </c>
      <c r="D2525" s="5" t="s">
        <v>79</v>
      </c>
      <c r="E2525" s="5" t="s">
        <v>80</v>
      </c>
      <c r="F2525" s="5">
        <v>2739</v>
      </c>
      <c r="G2525" s="5" t="s">
        <v>7660</v>
      </c>
      <c r="H2525" s="5" t="s">
        <v>7661</v>
      </c>
      <c r="I2525" s="5" t="s">
        <v>212</v>
      </c>
      <c r="N2525" s="5" t="s">
        <v>7662</v>
      </c>
      <c r="O2525" s="5">
        <v>112.6</v>
      </c>
      <c r="P2525" s="5">
        <v>113.35</v>
      </c>
      <c r="Q2525" s="5">
        <v>111.61</v>
      </c>
      <c r="R2525" s="5">
        <v>112.45</v>
      </c>
      <c r="S2525" s="5">
        <v>112.43</v>
      </c>
      <c r="T2525" s="5">
        <v>112.27</v>
      </c>
      <c r="V2525" s="5">
        <v>112.45</v>
      </c>
      <c r="Y2525" s="5">
        <v>308878</v>
      </c>
      <c r="Z2525" s="5">
        <v>34726850.909999996</v>
      </c>
      <c r="AA2525" s="5">
        <v>3043</v>
      </c>
      <c r="AB2525" s="5" t="s">
        <v>85</v>
      </c>
      <c r="AC2525" s="5">
        <v>1</v>
      </c>
    </row>
    <row r="2526" spans="1:29" x14ac:dyDescent="0.3">
      <c r="A2526" s="34">
        <v>46274</v>
      </c>
      <c r="B2526" s="34">
        <v>46274</v>
      </c>
      <c r="C2526" s="5" t="s">
        <v>78</v>
      </c>
      <c r="D2526" s="5" t="s">
        <v>79</v>
      </c>
      <c r="E2526" s="5" t="s">
        <v>80</v>
      </c>
      <c r="F2526" s="5">
        <v>765155</v>
      </c>
      <c r="G2526" s="5" t="s">
        <v>7663</v>
      </c>
      <c r="H2526" s="5" t="s">
        <v>7664</v>
      </c>
      <c r="I2526" s="5" t="s">
        <v>212</v>
      </c>
      <c r="N2526" s="5" t="s">
        <v>7665</v>
      </c>
      <c r="O2526" s="5">
        <v>0.56999999999999995</v>
      </c>
      <c r="P2526" s="5">
        <v>0.57999999999999996</v>
      </c>
      <c r="Q2526" s="5">
        <v>0.55000000000000004</v>
      </c>
      <c r="R2526" s="5">
        <v>0.56999999999999995</v>
      </c>
      <c r="S2526" s="5">
        <v>0.57999999999999996</v>
      </c>
      <c r="T2526" s="5">
        <v>0.55000000000000004</v>
      </c>
      <c r="V2526" s="5">
        <v>0.56999999999999995</v>
      </c>
      <c r="Y2526" s="5">
        <v>231327</v>
      </c>
      <c r="Z2526" s="5">
        <v>131221.09</v>
      </c>
      <c r="AA2526" s="5">
        <v>196</v>
      </c>
      <c r="AB2526" s="5" t="s">
        <v>85</v>
      </c>
      <c r="AC2526" s="5">
        <v>1</v>
      </c>
    </row>
    <row r="2527" spans="1:29" x14ac:dyDescent="0.3">
      <c r="A2527" s="34">
        <v>46274</v>
      </c>
      <c r="B2527" s="34">
        <v>46274</v>
      </c>
      <c r="C2527" s="5" t="s">
        <v>78</v>
      </c>
      <c r="D2527" s="5" t="s">
        <v>79</v>
      </c>
      <c r="E2527" s="5" t="s">
        <v>80</v>
      </c>
      <c r="F2527" s="5">
        <v>8310</v>
      </c>
      <c r="G2527" s="5" t="s">
        <v>7666</v>
      </c>
      <c r="H2527" s="5" t="s">
        <v>7667</v>
      </c>
      <c r="I2527" s="5" t="s">
        <v>234</v>
      </c>
      <c r="N2527" s="5" t="s">
        <v>7668</v>
      </c>
      <c r="O2527" s="5">
        <v>33.35</v>
      </c>
      <c r="P2527" s="5">
        <v>34</v>
      </c>
      <c r="Q2527" s="5">
        <v>32.200000000000003</v>
      </c>
      <c r="R2527" s="5">
        <v>33.47</v>
      </c>
      <c r="S2527" s="5">
        <v>34</v>
      </c>
      <c r="T2527" s="5">
        <v>33.35</v>
      </c>
      <c r="V2527" s="5">
        <v>33.47</v>
      </c>
      <c r="Y2527" s="5">
        <v>5987</v>
      </c>
      <c r="Z2527" s="5">
        <v>198767.57</v>
      </c>
      <c r="AA2527" s="5">
        <v>76</v>
      </c>
      <c r="AB2527" s="5" t="s">
        <v>85</v>
      </c>
      <c r="AC2527" s="5">
        <v>1</v>
      </c>
    </row>
    <row r="2528" spans="1:29" x14ac:dyDescent="0.3">
      <c r="A2528" s="34">
        <v>46274</v>
      </c>
      <c r="B2528" s="34">
        <v>46274</v>
      </c>
      <c r="C2528" s="5" t="s">
        <v>78</v>
      </c>
      <c r="D2528" s="5" t="s">
        <v>79</v>
      </c>
      <c r="E2528" s="5" t="s">
        <v>80</v>
      </c>
      <c r="F2528" s="5">
        <v>5296</v>
      </c>
      <c r="G2528" s="5" t="s">
        <v>7669</v>
      </c>
      <c r="H2528" s="5" t="s">
        <v>7670</v>
      </c>
      <c r="I2528" s="5" t="s">
        <v>234</v>
      </c>
      <c r="N2528" s="5" t="s">
        <v>7671</v>
      </c>
      <c r="O2528" s="5">
        <v>15.15</v>
      </c>
      <c r="P2528" s="5">
        <v>15.24</v>
      </c>
      <c r="Q2528" s="5">
        <v>14.8</v>
      </c>
      <c r="R2528" s="5">
        <v>15.08</v>
      </c>
      <c r="S2528" s="5">
        <v>15.05</v>
      </c>
      <c r="T2528" s="5">
        <v>15.15</v>
      </c>
      <c r="V2528" s="5">
        <v>15.08</v>
      </c>
      <c r="Y2528" s="5">
        <v>146467</v>
      </c>
      <c r="Z2528" s="5">
        <v>2190230.02</v>
      </c>
      <c r="AA2528" s="5">
        <v>504</v>
      </c>
      <c r="AB2528" s="5" t="s">
        <v>85</v>
      </c>
      <c r="AC2528" s="5">
        <v>1</v>
      </c>
    </row>
    <row r="2529" spans="1:29" x14ac:dyDescent="0.3">
      <c r="A2529" s="34">
        <v>46274</v>
      </c>
      <c r="B2529" s="34">
        <v>46274</v>
      </c>
      <c r="C2529" s="5" t="s">
        <v>78</v>
      </c>
      <c r="D2529" s="5" t="s">
        <v>79</v>
      </c>
      <c r="E2529" s="5" t="s">
        <v>80</v>
      </c>
      <c r="F2529" s="5">
        <v>12971</v>
      </c>
      <c r="G2529" s="5" t="s">
        <v>7672</v>
      </c>
      <c r="H2529" s="5" t="s">
        <v>7673</v>
      </c>
      <c r="I2529" s="5" t="s">
        <v>313</v>
      </c>
      <c r="N2529" s="5" t="s">
        <v>7674</v>
      </c>
      <c r="O2529" s="5">
        <v>63.35</v>
      </c>
      <c r="P2529" s="5">
        <v>63.35</v>
      </c>
      <c r="Q2529" s="5">
        <v>63.35</v>
      </c>
      <c r="R2529" s="5">
        <v>63.35</v>
      </c>
      <c r="S2529" s="5">
        <v>63.35</v>
      </c>
      <c r="T2529" s="5">
        <v>63.35</v>
      </c>
      <c r="V2529" s="5">
        <v>63.35</v>
      </c>
      <c r="Y2529" s="5">
        <v>2000</v>
      </c>
      <c r="Z2529" s="5">
        <v>126700</v>
      </c>
      <c r="AA2529" s="5">
        <v>1</v>
      </c>
      <c r="AB2529" s="5" t="s">
        <v>85</v>
      </c>
      <c r="AC2529" s="5">
        <v>2000</v>
      </c>
    </row>
    <row r="2530" spans="1:29" x14ac:dyDescent="0.3">
      <c r="A2530" s="34">
        <v>46274</v>
      </c>
      <c r="B2530" s="34">
        <v>46274</v>
      </c>
      <c r="C2530" s="5" t="s">
        <v>78</v>
      </c>
      <c r="D2530" s="5" t="s">
        <v>79</v>
      </c>
      <c r="E2530" s="5" t="s">
        <v>80</v>
      </c>
      <c r="F2530" s="5">
        <v>9342</v>
      </c>
      <c r="G2530" s="5" t="s">
        <v>7675</v>
      </c>
      <c r="H2530" s="5" t="s">
        <v>7676</v>
      </c>
      <c r="I2530" s="5" t="s">
        <v>212</v>
      </c>
      <c r="N2530" s="5" t="s">
        <v>7677</v>
      </c>
      <c r="O2530" s="5">
        <v>16.8</v>
      </c>
      <c r="P2530" s="5">
        <v>16.8</v>
      </c>
      <c r="Q2530" s="5">
        <v>16.350000000000001</v>
      </c>
      <c r="R2530" s="5">
        <v>16.559999999999999</v>
      </c>
      <c r="S2530" s="5">
        <v>16.7</v>
      </c>
      <c r="T2530" s="5">
        <v>16.66</v>
      </c>
      <c r="V2530" s="5">
        <v>16.54</v>
      </c>
      <c r="Y2530" s="5">
        <v>14249</v>
      </c>
      <c r="Z2530" s="5">
        <v>234566.6</v>
      </c>
      <c r="AA2530" s="5">
        <v>82</v>
      </c>
      <c r="AB2530" s="5" t="s">
        <v>85</v>
      </c>
      <c r="AC2530" s="5">
        <v>1</v>
      </c>
    </row>
    <row r="2531" spans="1:29" x14ac:dyDescent="0.3">
      <c r="A2531" s="34">
        <v>46274</v>
      </c>
      <c r="B2531" s="34">
        <v>46274</v>
      </c>
      <c r="C2531" s="5" t="s">
        <v>78</v>
      </c>
      <c r="D2531" s="5" t="s">
        <v>79</v>
      </c>
      <c r="E2531" s="5" t="s">
        <v>80</v>
      </c>
      <c r="F2531" s="5">
        <v>8825</v>
      </c>
      <c r="G2531" s="5" t="s">
        <v>7678</v>
      </c>
      <c r="H2531" s="5" t="s">
        <v>7679</v>
      </c>
      <c r="I2531" s="5" t="s">
        <v>212</v>
      </c>
      <c r="N2531" s="5" t="s">
        <v>7680</v>
      </c>
      <c r="O2531" s="5">
        <v>3474.5</v>
      </c>
      <c r="P2531" s="5">
        <v>3565</v>
      </c>
      <c r="Q2531" s="5">
        <v>3454.5</v>
      </c>
      <c r="R2531" s="5">
        <v>3537.9</v>
      </c>
      <c r="S2531" s="5">
        <v>3520</v>
      </c>
      <c r="T2531" s="5">
        <v>3469.6</v>
      </c>
      <c r="V2531" s="5">
        <v>3537.88</v>
      </c>
      <c r="Y2531" s="5">
        <v>130119</v>
      </c>
      <c r="Z2531" s="5">
        <v>458067464.39999998</v>
      </c>
      <c r="AA2531" s="5">
        <v>16726</v>
      </c>
      <c r="AB2531" s="5" t="s">
        <v>85</v>
      </c>
      <c r="AC2531" s="5">
        <v>1</v>
      </c>
    </row>
    <row r="2532" spans="1:29" x14ac:dyDescent="0.3">
      <c r="A2532" s="34">
        <v>46274</v>
      </c>
      <c r="B2532" s="34">
        <v>46274</v>
      </c>
      <c r="C2532" s="5" t="s">
        <v>78</v>
      </c>
      <c r="D2532" s="5" t="s">
        <v>79</v>
      </c>
      <c r="E2532" s="5" t="s">
        <v>80</v>
      </c>
      <c r="F2532" s="5">
        <v>24511</v>
      </c>
      <c r="G2532" s="5" t="s">
        <v>7681</v>
      </c>
      <c r="H2532" s="5" t="s">
        <v>7682</v>
      </c>
      <c r="I2532" s="5" t="s">
        <v>392</v>
      </c>
      <c r="N2532" s="5" t="s">
        <v>7683</v>
      </c>
      <c r="O2532" s="5">
        <v>1225</v>
      </c>
      <c r="P2532" s="5">
        <v>1225</v>
      </c>
      <c r="Q2532" s="5">
        <v>1223.9000000000001</v>
      </c>
      <c r="R2532" s="5">
        <v>1223.9000000000001</v>
      </c>
      <c r="S2532" s="5">
        <v>1223.9000000000001</v>
      </c>
      <c r="T2532" s="5">
        <v>1248.8499999999999</v>
      </c>
      <c r="V2532" s="5">
        <v>1223.9000000000001</v>
      </c>
      <c r="Y2532" s="5">
        <v>14400</v>
      </c>
      <c r="Z2532" s="5">
        <v>17626360</v>
      </c>
      <c r="AA2532" s="5">
        <v>29</v>
      </c>
      <c r="AB2532" s="5" t="s">
        <v>85</v>
      </c>
      <c r="AC2532" s="5">
        <v>400</v>
      </c>
    </row>
    <row r="2533" spans="1:29" x14ac:dyDescent="0.3">
      <c r="A2533" s="34">
        <v>46274</v>
      </c>
      <c r="B2533" s="34">
        <v>46274</v>
      </c>
      <c r="C2533" s="5" t="s">
        <v>78</v>
      </c>
      <c r="D2533" s="5" t="s">
        <v>79</v>
      </c>
      <c r="E2533" s="5" t="s">
        <v>80</v>
      </c>
      <c r="F2533" s="5">
        <v>940</v>
      </c>
      <c r="G2533" s="5" t="s">
        <v>7684</v>
      </c>
      <c r="H2533" s="5" t="s">
        <v>7685</v>
      </c>
      <c r="I2533" s="5" t="s">
        <v>212</v>
      </c>
      <c r="N2533" s="5" t="s">
        <v>7686</v>
      </c>
      <c r="O2533" s="5">
        <v>5598</v>
      </c>
      <c r="P2533" s="5">
        <v>5598</v>
      </c>
      <c r="Q2533" s="5">
        <v>5451</v>
      </c>
      <c r="R2533" s="5">
        <v>5475</v>
      </c>
      <c r="S2533" s="5">
        <v>5460</v>
      </c>
      <c r="T2533" s="5">
        <v>5603</v>
      </c>
      <c r="V2533" s="5">
        <v>5475.02</v>
      </c>
      <c r="Y2533" s="5">
        <v>8071</v>
      </c>
      <c r="Z2533" s="5">
        <v>44480427</v>
      </c>
      <c r="AA2533" s="5">
        <v>2764</v>
      </c>
      <c r="AB2533" s="5" t="s">
        <v>85</v>
      </c>
      <c r="AC2533" s="5">
        <v>1</v>
      </c>
    </row>
    <row r="2534" spans="1:29" x14ac:dyDescent="0.3">
      <c r="A2534" s="34">
        <v>46274</v>
      </c>
      <c r="B2534" s="34">
        <v>46274</v>
      </c>
      <c r="C2534" s="5" t="s">
        <v>78</v>
      </c>
      <c r="D2534" s="5" t="s">
        <v>79</v>
      </c>
      <c r="E2534" s="5" t="s">
        <v>80</v>
      </c>
      <c r="F2534" s="5">
        <v>764345</v>
      </c>
      <c r="G2534" s="5" t="s">
        <v>7687</v>
      </c>
      <c r="H2534" s="5" t="s">
        <v>7688</v>
      </c>
      <c r="I2534" s="5" t="s">
        <v>313</v>
      </c>
      <c r="N2534" s="5" t="s">
        <v>7689</v>
      </c>
      <c r="O2534" s="5">
        <v>73</v>
      </c>
      <c r="P2534" s="5">
        <v>76.849999999999994</v>
      </c>
      <c r="Q2534" s="5">
        <v>71.95</v>
      </c>
      <c r="R2534" s="5">
        <v>74.5</v>
      </c>
      <c r="S2534" s="5">
        <v>75</v>
      </c>
      <c r="T2534" s="5">
        <v>73.150000000000006</v>
      </c>
      <c r="V2534" s="5">
        <v>74.5</v>
      </c>
      <c r="Y2534" s="5">
        <v>200000</v>
      </c>
      <c r="Z2534" s="5">
        <v>15167000</v>
      </c>
      <c r="AA2534" s="5">
        <v>70</v>
      </c>
      <c r="AB2534" s="5" t="s">
        <v>85</v>
      </c>
      <c r="AC2534" s="5">
        <v>2000</v>
      </c>
    </row>
    <row r="2535" spans="1:29" x14ac:dyDescent="0.3">
      <c r="A2535" s="34">
        <v>46274</v>
      </c>
      <c r="B2535" s="34">
        <v>46274</v>
      </c>
      <c r="C2535" s="5" t="s">
        <v>78</v>
      </c>
      <c r="D2535" s="5" t="s">
        <v>79</v>
      </c>
      <c r="E2535" s="5" t="s">
        <v>80</v>
      </c>
      <c r="F2535" s="5">
        <v>758173</v>
      </c>
      <c r="G2535" s="5" t="s">
        <v>7690</v>
      </c>
      <c r="H2535" s="5" t="s">
        <v>7691</v>
      </c>
      <c r="I2535" s="5" t="s">
        <v>212</v>
      </c>
      <c r="N2535" s="5" t="s">
        <v>7692</v>
      </c>
      <c r="O2535" s="5">
        <v>135.91</v>
      </c>
      <c r="P2535" s="5">
        <v>136.88</v>
      </c>
      <c r="Q2535" s="5">
        <v>133.91999999999999</v>
      </c>
      <c r="R2535" s="5">
        <v>135.63999999999999</v>
      </c>
      <c r="S2535" s="5">
        <v>135</v>
      </c>
      <c r="T2535" s="5">
        <v>135.22999999999999</v>
      </c>
      <c r="V2535" s="5">
        <v>135.63</v>
      </c>
      <c r="Y2535" s="5">
        <v>119684</v>
      </c>
      <c r="Z2535" s="5">
        <v>16201602.210000001</v>
      </c>
      <c r="AA2535" s="5">
        <v>2558</v>
      </c>
      <c r="AB2535" s="5" t="s">
        <v>85</v>
      </c>
      <c r="AC2535" s="5">
        <v>1</v>
      </c>
    </row>
    <row r="2536" spans="1:29" x14ac:dyDescent="0.3">
      <c r="A2536" s="34">
        <v>46274</v>
      </c>
      <c r="B2536" s="34">
        <v>46274</v>
      </c>
      <c r="C2536" s="5" t="s">
        <v>78</v>
      </c>
      <c r="D2536" s="5" t="s">
        <v>79</v>
      </c>
      <c r="E2536" s="5" t="s">
        <v>80</v>
      </c>
      <c r="F2536" s="5">
        <v>29472</v>
      </c>
      <c r="G2536" s="5" t="s">
        <v>7693</v>
      </c>
      <c r="H2536" s="5" t="s">
        <v>7694</v>
      </c>
      <c r="I2536" s="5" t="s">
        <v>212</v>
      </c>
      <c r="N2536" s="5" t="s">
        <v>7695</v>
      </c>
      <c r="O2536" s="5">
        <v>499.65</v>
      </c>
      <c r="P2536" s="5">
        <v>499.85</v>
      </c>
      <c r="Q2536" s="5">
        <v>491.05</v>
      </c>
      <c r="R2536" s="5">
        <v>493.35</v>
      </c>
      <c r="S2536" s="5">
        <v>493.45</v>
      </c>
      <c r="T2536" s="5">
        <v>499.65</v>
      </c>
      <c r="V2536" s="5">
        <v>493.32</v>
      </c>
      <c r="Y2536" s="5">
        <v>135622</v>
      </c>
      <c r="Z2536" s="5">
        <v>67013007.049999997</v>
      </c>
      <c r="AA2536" s="5">
        <v>6080</v>
      </c>
      <c r="AB2536" s="5" t="s">
        <v>85</v>
      </c>
      <c r="AC2536" s="5">
        <v>1</v>
      </c>
    </row>
    <row r="2537" spans="1:29" x14ac:dyDescent="0.3">
      <c r="A2537" s="34">
        <v>46274</v>
      </c>
      <c r="B2537" s="34">
        <v>46274</v>
      </c>
      <c r="C2537" s="5" t="s">
        <v>78</v>
      </c>
      <c r="D2537" s="5" t="s">
        <v>79</v>
      </c>
      <c r="E2537" s="5" t="s">
        <v>80</v>
      </c>
      <c r="F2537" s="5">
        <v>16483</v>
      </c>
      <c r="G2537" s="5" t="s">
        <v>7696</v>
      </c>
      <c r="H2537" s="5" t="s">
        <v>7697</v>
      </c>
      <c r="I2537" s="5" t="s">
        <v>313</v>
      </c>
      <c r="N2537" s="5" t="s">
        <v>7698</v>
      </c>
      <c r="O2537" s="5">
        <v>1760</v>
      </c>
      <c r="P2537" s="5">
        <v>1760</v>
      </c>
      <c r="Q2537" s="5">
        <v>1658</v>
      </c>
      <c r="R2537" s="5">
        <v>1750</v>
      </c>
      <c r="S2537" s="5">
        <v>1750</v>
      </c>
      <c r="T2537" s="5">
        <v>1760</v>
      </c>
      <c r="V2537" s="5">
        <v>1750</v>
      </c>
      <c r="Y2537" s="5">
        <v>800</v>
      </c>
      <c r="Z2537" s="5">
        <v>1390880</v>
      </c>
      <c r="AA2537" s="5">
        <v>10</v>
      </c>
      <c r="AB2537" s="5" t="s">
        <v>85</v>
      </c>
      <c r="AC2537" s="5">
        <v>80</v>
      </c>
    </row>
    <row r="2538" spans="1:29" x14ac:dyDescent="0.3">
      <c r="A2538" s="34">
        <v>46274</v>
      </c>
      <c r="B2538" s="34">
        <v>46274</v>
      </c>
      <c r="C2538" s="5" t="s">
        <v>78</v>
      </c>
      <c r="D2538" s="5" t="s">
        <v>79</v>
      </c>
      <c r="E2538" s="5" t="s">
        <v>80</v>
      </c>
      <c r="F2538" s="5">
        <v>28859</v>
      </c>
      <c r="G2538" s="5" t="s">
        <v>7699</v>
      </c>
      <c r="H2538" s="5" t="s">
        <v>7700</v>
      </c>
      <c r="I2538" s="5" t="s">
        <v>212</v>
      </c>
      <c r="N2538" s="5" t="s">
        <v>7701</v>
      </c>
      <c r="O2538" s="5">
        <v>48.9</v>
      </c>
      <c r="P2538" s="5">
        <v>50.5</v>
      </c>
      <c r="Q2538" s="5">
        <v>47.81</v>
      </c>
      <c r="R2538" s="5">
        <v>49.88</v>
      </c>
      <c r="S2538" s="5">
        <v>50</v>
      </c>
      <c r="T2538" s="5">
        <v>48.92</v>
      </c>
      <c r="V2538" s="5">
        <v>49.88</v>
      </c>
      <c r="Y2538" s="5">
        <v>263133</v>
      </c>
      <c r="Z2538" s="5">
        <v>12921576.050000001</v>
      </c>
      <c r="AA2538" s="5">
        <v>2500</v>
      </c>
      <c r="AB2538" s="5" t="s">
        <v>85</v>
      </c>
      <c r="AC2538" s="5">
        <v>1</v>
      </c>
    </row>
    <row r="2539" spans="1:29" x14ac:dyDescent="0.3">
      <c r="A2539" s="34">
        <v>46274</v>
      </c>
      <c r="B2539" s="34">
        <v>46274</v>
      </c>
      <c r="C2539" s="5" t="s">
        <v>78</v>
      </c>
      <c r="D2539" s="5" t="s">
        <v>79</v>
      </c>
      <c r="E2539" s="5" t="s">
        <v>80</v>
      </c>
      <c r="F2539" s="5">
        <v>9553</v>
      </c>
      <c r="G2539" s="5" t="s">
        <v>7702</v>
      </c>
      <c r="H2539" s="5" t="s">
        <v>7703</v>
      </c>
      <c r="I2539" s="5" t="s">
        <v>212</v>
      </c>
      <c r="N2539" s="5" t="s">
        <v>7704</v>
      </c>
      <c r="O2539" s="5">
        <v>3252</v>
      </c>
      <c r="P2539" s="5">
        <v>3329.8</v>
      </c>
      <c r="Q2539" s="5">
        <v>3251</v>
      </c>
      <c r="R2539" s="5">
        <v>3302.5</v>
      </c>
      <c r="S2539" s="5">
        <v>3305.5</v>
      </c>
      <c r="T2539" s="5">
        <v>3277.5</v>
      </c>
      <c r="V2539" s="5">
        <v>3302.31</v>
      </c>
      <c r="Y2539" s="5">
        <v>11980</v>
      </c>
      <c r="Z2539" s="5">
        <v>39614218.200000003</v>
      </c>
      <c r="AA2539" s="5">
        <v>3844</v>
      </c>
      <c r="AB2539" s="5" t="s">
        <v>85</v>
      </c>
      <c r="AC2539" s="5">
        <v>1</v>
      </c>
    </row>
    <row r="2540" spans="1:29" x14ac:dyDescent="0.3">
      <c r="A2540" s="34">
        <v>46274</v>
      </c>
      <c r="B2540" s="34">
        <v>46274</v>
      </c>
      <c r="C2540" s="5" t="s">
        <v>78</v>
      </c>
      <c r="D2540" s="5" t="s">
        <v>79</v>
      </c>
      <c r="E2540" s="5" t="s">
        <v>80</v>
      </c>
      <c r="F2540" s="5">
        <v>20528</v>
      </c>
      <c r="G2540" s="5" t="s">
        <v>7705</v>
      </c>
      <c r="H2540" s="5" t="s">
        <v>7706</v>
      </c>
      <c r="I2540" s="5" t="s">
        <v>234</v>
      </c>
      <c r="N2540" s="5" t="s">
        <v>7707</v>
      </c>
      <c r="O2540" s="5">
        <v>17.600000000000001</v>
      </c>
      <c r="P2540" s="5">
        <v>17.600000000000001</v>
      </c>
      <c r="Q2540" s="5">
        <v>16.309999999999999</v>
      </c>
      <c r="R2540" s="5">
        <v>16.72</v>
      </c>
      <c r="S2540" s="5">
        <v>16.5</v>
      </c>
      <c r="T2540" s="5">
        <v>16.79</v>
      </c>
      <c r="V2540" s="5">
        <v>16.7</v>
      </c>
      <c r="Y2540" s="5">
        <v>1635</v>
      </c>
      <c r="Z2540" s="5">
        <v>27142.31</v>
      </c>
      <c r="AA2540" s="5">
        <v>37</v>
      </c>
      <c r="AB2540" s="5" t="s">
        <v>85</v>
      </c>
      <c r="AC2540" s="5">
        <v>1</v>
      </c>
    </row>
    <row r="2541" spans="1:29" x14ac:dyDescent="0.3">
      <c r="A2541" s="34">
        <v>46274</v>
      </c>
      <c r="B2541" s="34">
        <v>46274</v>
      </c>
      <c r="C2541" s="5" t="s">
        <v>78</v>
      </c>
      <c r="D2541" s="5" t="s">
        <v>79</v>
      </c>
      <c r="E2541" s="5" t="s">
        <v>80</v>
      </c>
      <c r="F2541" s="5">
        <v>20877</v>
      </c>
      <c r="G2541" s="5" t="s">
        <v>7708</v>
      </c>
      <c r="H2541" s="5" t="s">
        <v>7709</v>
      </c>
      <c r="I2541" s="5" t="s">
        <v>212</v>
      </c>
      <c r="N2541" s="5" t="s">
        <v>7710</v>
      </c>
      <c r="O2541" s="5">
        <v>865.4</v>
      </c>
      <c r="P2541" s="5">
        <v>896</v>
      </c>
      <c r="Q2541" s="5">
        <v>865.4</v>
      </c>
      <c r="R2541" s="5">
        <v>879.95</v>
      </c>
      <c r="S2541" s="5">
        <v>875.1</v>
      </c>
      <c r="T2541" s="5">
        <v>875.4</v>
      </c>
      <c r="V2541" s="5">
        <v>879.95</v>
      </c>
      <c r="Y2541" s="5">
        <v>48818</v>
      </c>
      <c r="Z2541" s="5">
        <v>43099038</v>
      </c>
      <c r="AA2541" s="5">
        <v>2861</v>
      </c>
      <c r="AB2541" s="5" t="s">
        <v>85</v>
      </c>
      <c r="AC2541" s="5">
        <v>1</v>
      </c>
    </row>
    <row r="2542" spans="1:29" x14ac:dyDescent="0.3">
      <c r="A2542" s="34">
        <v>46274</v>
      </c>
      <c r="B2542" s="34">
        <v>46274</v>
      </c>
      <c r="C2542" s="5" t="s">
        <v>78</v>
      </c>
      <c r="D2542" s="5" t="s">
        <v>79</v>
      </c>
      <c r="E2542" s="5" t="s">
        <v>80</v>
      </c>
      <c r="F2542" s="5">
        <v>22602</v>
      </c>
      <c r="G2542" s="5" t="s">
        <v>7711</v>
      </c>
      <c r="H2542" s="5" t="s">
        <v>7712</v>
      </c>
      <c r="I2542" s="5" t="s">
        <v>212</v>
      </c>
      <c r="N2542" s="5" t="s">
        <v>7713</v>
      </c>
      <c r="O2542" s="5">
        <v>27.7</v>
      </c>
      <c r="P2542" s="5">
        <v>27.75</v>
      </c>
      <c r="Q2542" s="5">
        <v>26.99</v>
      </c>
      <c r="R2542" s="5">
        <v>27.21</v>
      </c>
      <c r="S2542" s="5">
        <v>27.38</v>
      </c>
      <c r="T2542" s="5">
        <v>27.71</v>
      </c>
      <c r="V2542" s="5">
        <v>27.21</v>
      </c>
      <c r="Y2542" s="5">
        <v>430257</v>
      </c>
      <c r="Z2542" s="5">
        <v>11756396.18</v>
      </c>
      <c r="AA2542" s="5">
        <v>2118</v>
      </c>
      <c r="AB2542" s="5" t="s">
        <v>85</v>
      </c>
      <c r="AC2542" s="5">
        <v>1</v>
      </c>
    </row>
    <row r="2543" spans="1:29" x14ac:dyDescent="0.3">
      <c r="A2543" s="34">
        <v>46274</v>
      </c>
      <c r="B2543" s="34">
        <v>46274</v>
      </c>
      <c r="C2543" s="5" t="s">
        <v>78</v>
      </c>
      <c r="D2543" s="5" t="s">
        <v>79</v>
      </c>
      <c r="E2543" s="5" t="s">
        <v>80</v>
      </c>
      <c r="F2543" s="5">
        <v>11355</v>
      </c>
      <c r="G2543" s="5" t="s">
        <v>7714</v>
      </c>
      <c r="H2543" s="5" t="s">
        <v>7715</v>
      </c>
      <c r="I2543" s="5" t="s">
        <v>212</v>
      </c>
      <c r="N2543" s="5" t="s">
        <v>7716</v>
      </c>
      <c r="O2543" s="5">
        <v>153.91</v>
      </c>
      <c r="P2543" s="5">
        <v>154.59</v>
      </c>
      <c r="Q2543" s="5">
        <v>152.78</v>
      </c>
      <c r="R2543" s="5">
        <v>153.12</v>
      </c>
      <c r="S2543" s="5">
        <v>153.38999999999999</v>
      </c>
      <c r="T2543" s="5">
        <v>154.19999999999999</v>
      </c>
      <c r="V2543" s="5">
        <v>153.13999999999999</v>
      </c>
      <c r="Y2543" s="5">
        <v>1062150</v>
      </c>
      <c r="Z2543" s="5">
        <v>162982904.46000001</v>
      </c>
      <c r="AA2543" s="5">
        <v>16341</v>
      </c>
      <c r="AB2543" s="5" t="s">
        <v>85</v>
      </c>
      <c r="AC2543" s="5">
        <v>1</v>
      </c>
    </row>
    <row r="2544" spans="1:29" x14ac:dyDescent="0.3">
      <c r="A2544" s="34">
        <v>46274</v>
      </c>
      <c r="B2544" s="34">
        <v>46274</v>
      </c>
      <c r="C2544" s="5" t="s">
        <v>78</v>
      </c>
      <c r="D2544" s="5" t="s">
        <v>79</v>
      </c>
      <c r="E2544" s="5" t="s">
        <v>80</v>
      </c>
      <c r="F2544" s="5">
        <v>16682</v>
      </c>
      <c r="G2544" s="5" t="s">
        <v>7717</v>
      </c>
      <c r="H2544" s="5" t="s">
        <v>7718</v>
      </c>
      <c r="I2544" s="5" t="s">
        <v>212</v>
      </c>
      <c r="N2544" s="5" t="s">
        <v>7719</v>
      </c>
      <c r="O2544" s="5">
        <v>23750</v>
      </c>
      <c r="P2544" s="5">
        <v>23950</v>
      </c>
      <c r="Q2544" s="5">
        <v>22680</v>
      </c>
      <c r="R2544" s="5">
        <v>22780</v>
      </c>
      <c r="S2544" s="5">
        <v>22700</v>
      </c>
      <c r="T2544" s="5">
        <v>23730</v>
      </c>
      <c r="V2544" s="5">
        <v>22782.53</v>
      </c>
      <c r="Y2544" s="5">
        <v>31474</v>
      </c>
      <c r="Z2544" s="5">
        <v>728629405</v>
      </c>
      <c r="AA2544" s="5">
        <v>11059</v>
      </c>
      <c r="AB2544" s="5" t="s">
        <v>85</v>
      </c>
      <c r="AC2544" s="5">
        <v>1</v>
      </c>
    </row>
    <row r="2545" spans="1:29" x14ac:dyDescent="0.3">
      <c r="A2545" s="34">
        <v>46274</v>
      </c>
      <c r="B2545" s="34">
        <v>46274</v>
      </c>
      <c r="C2545" s="5" t="s">
        <v>78</v>
      </c>
      <c r="D2545" s="5" t="s">
        <v>79</v>
      </c>
      <c r="E2545" s="5" t="s">
        <v>80</v>
      </c>
      <c r="F2545" s="5">
        <v>14101</v>
      </c>
      <c r="G2545" s="5" t="s">
        <v>7720</v>
      </c>
      <c r="H2545" s="5" t="s">
        <v>7721</v>
      </c>
      <c r="I2545" s="5" t="s">
        <v>212</v>
      </c>
      <c r="N2545" s="5" t="s">
        <v>7722</v>
      </c>
      <c r="O2545" s="5">
        <v>38.409999999999997</v>
      </c>
      <c r="P2545" s="5">
        <v>38.78</v>
      </c>
      <c r="Q2545" s="5">
        <v>38</v>
      </c>
      <c r="R2545" s="5">
        <v>38.03</v>
      </c>
      <c r="S2545" s="5">
        <v>38.24</v>
      </c>
      <c r="T2545" s="5">
        <v>38.43</v>
      </c>
      <c r="V2545" s="5">
        <v>38.04</v>
      </c>
      <c r="Y2545" s="5">
        <v>35094</v>
      </c>
      <c r="Z2545" s="5">
        <v>1343981.43</v>
      </c>
      <c r="AA2545" s="5">
        <v>994</v>
      </c>
      <c r="AB2545" s="5" t="s">
        <v>85</v>
      </c>
      <c r="AC2545" s="5">
        <v>1</v>
      </c>
    </row>
    <row r="2546" spans="1:29" x14ac:dyDescent="0.3">
      <c r="A2546" s="34">
        <v>46274</v>
      </c>
      <c r="B2546" s="34">
        <v>46274</v>
      </c>
      <c r="C2546" s="5" t="s">
        <v>78</v>
      </c>
      <c r="D2546" s="5" t="s">
        <v>79</v>
      </c>
      <c r="E2546" s="5" t="s">
        <v>80</v>
      </c>
      <c r="F2546" s="5">
        <v>15377</v>
      </c>
      <c r="G2546" s="5" t="s">
        <v>7723</v>
      </c>
      <c r="H2546" s="5" t="s">
        <v>7724</v>
      </c>
      <c r="I2546" s="5" t="s">
        <v>212</v>
      </c>
      <c r="N2546" s="5" t="s">
        <v>7725</v>
      </c>
      <c r="O2546" s="5">
        <v>99.56</v>
      </c>
      <c r="P2546" s="5">
        <v>99.61</v>
      </c>
      <c r="Q2546" s="5">
        <v>94.57</v>
      </c>
      <c r="R2546" s="5">
        <v>96.74</v>
      </c>
      <c r="S2546" s="5">
        <v>97.2</v>
      </c>
      <c r="T2546" s="5">
        <v>99.61</v>
      </c>
      <c r="V2546" s="5">
        <v>96.74</v>
      </c>
      <c r="Y2546" s="5">
        <v>293437</v>
      </c>
      <c r="Z2546" s="5">
        <v>28472568.390000001</v>
      </c>
      <c r="AA2546" s="5">
        <v>4629</v>
      </c>
      <c r="AB2546" s="5" t="s">
        <v>85</v>
      </c>
      <c r="AC2546" s="5">
        <v>1</v>
      </c>
    </row>
    <row r="2547" spans="1:29" x14ac:dyDescent="0.3">
      <c r="A2547" s="34">
        <v>46274</v>
      </c>
      <c r="B2547" s="34">
        <v>46274</v>
      </c>
      <c r="C2547" s="5" t="s">
        <v>78</v>
      </c>
      <c r="D2547" s="5" t="s">
        <v>79</v>
      </c>
      <c r="E2547" s="5" t="s">
        <v>80</v>
      </c>
      <c r="F2547" s="5">
        <v>507</v>
      </c>
      <c r="G2547" s="5" t="s">
        <v>7726</v>
      </c>
      <c r="H2547" s="5" t="s">
        <v>7727</v>
      </c>
      <c r="I2547" s="5" t="s">
        <v>313</v>
      </c>
      <c r="N2547" s="5" t="s">
        <v>7728</v>
      </c>
      <c r="O2547" s="5">
        <v>23</v>
      </c>
      <c r="P2547" s="5">
        <v>23.7</v>
      </c>
      <c r="Q2547" s="5">
        <v>23</v>
      </c>
      <c r="R2547" s="5">
        <v>23.7</v>
      </c>
      <c r="S2547" s="5">
        <v>23.7</v>
      </c>
      <c r="T2547" s="5">
        <v>23.05</v>
      </c>
      <c r="V2547" s="5">
        <v>23.7</v>
      </c>
      <c r="Y2547" s="5">
        <v>6000</v>
      </c>
      <c r="Z2547" s="5">
        <v>140800</v>
      </c>
      <c r="AA2547" s="5">
        <v>3</v>
      </c>
      <c r="AB2547" s="5" t="s">
        <v>85</v>
      </c>
      <c r="AC2547" s="5">
        <v>2000</v>
      </c>
    </row>
    <row r="2548" spans="1:29" x14ac:dyDescent="0.3">
      <c r="A2548" s="34">
        <v>46274</v>
      </c>
      <c r="B2548" s="34">
        <v>46274</v>
      </c>
      <c r="C2548" s="5" t="s">
        <v>78</v>
      </c>
      <c r="D2548" s="5" t="s">
        <v>79</v>
      </c>
      <c r="E2548" s="5" t="s">
        <v>80</v>
      </c>
      <c r="F2548" s="5">
        <v>21001</v>
      </c>
      <c r="G2548" s="5" t="s">
        <v>7729</v>
      </c>
      <c r="H2548" s="5" t="s">
        <v>7730</v>
      </c>
      <c r="I2548" s="5" t="s">
        <v>212</v>
      </c>
      <c r="N2548" s="5" t="s">
        <v>7731</v>
      </c>
      <c r="O2548" s="5">
        <v>22.86</v>
      </c>
      <c r="P2548" s="5">
        <v>22.88</v>
      </c>
      <c r="Q2548" s="5">
        <v>22.6</v>
      </c>
      <c r="R2548" s="5">
        <v>22.64</v>
      </c>
      <c r="S2548" s="5">
        <v>22.65</v>
      </c>
      <c r="T2548" s="5">
        <v>22.86</v>
      </c>
      <c r="V2548" s="5">
        <v>22.64</v>
      </c>
      <c r="Y2548" s="5">
        <v>610285</v>
      </c>
      <c r="Z2548" s="5">
        <v>13854790.630000001</v>
      </c>
      <c r="AA2548" s="5">
        <v>2877</v>
      </c>
      <c r="AB2548" s="5" t="s">
        <v>85</v>
      </c>
      <c r="AC2548" s="5">
        <v>1</v>
      </c>
    </row>
    <row r="2549" spans="1:29" x14ac:dyDescent="0.3">
      <c r="A2549" s="34">
        <v>46274</v>
      </c>
      <c r="B2549" s="34">
        <v>46274</v>
      </c>
      <c r="C2549" s="5" t="s">
        <v>78</v>
      </c>
      <c r="D2549" s="5" t="s">
        <v>79</v>
      </c>
      <c r="E2549" s="5" t="s">
        <v>80</v>
      </c>
      <c r="F2549" s="5">
        <v>4344</v>
      </c>
      <c r="G2549" s="5" t="s">
        <v>7732</v>
      </c>
      <c r="H2549" s="5" t="s">
        <v>7733</v>
      </c>
      <c r="I2549" s="5" t="s">
        <v>212</v>
      </c>
      <c r="N2549" s="5" t="s">
        <v>7734</v>
      </c>
      <c r="O2549" s="5">
        <v>1097.9000000000001</v>
      </c>
      <c r="P2549" s="5">
        <v>1104</v>
      </c>
      <c r="Q2549" s="5">
        <v>1086</v>
      </c>
      <c r="R2549" s="5">
        <v>1096.0999999999999</v>
      </c>
      <c r="S2549" s="5">
        <v>1100</v>
      </c>
      <c r="T2549" s="5">
        <v>1094.9000000000001</v>
      </c>
      <c r="V2549" s="5">
        <v>1096.0999999999999</v>
      </c>
      <c r="Y2549" s="5">
        <v>3866</v>
      </c>
      <c r="Z2549" s="5">
        <v>4225773.4000000004</v>
      </c>
      <c r="AA2549" s="5">
        <v>604</v>
      </c>
      <c r="AB2549" s="5" t="s">
        <v>85</v>
      </c>
      <c r="AC2549" s="5">
        <v>1</v>
      </c>
    </row>
    <row r="2550" spans="1:29" x14ac:dyDescent="0.3">
      <c r="A2550" s="34">
        <v>46274</v>
      </c>
      <c r="B2550" s="34">
        <v>46274</v>
      </c>
      <c r="C2550" s="5" t="s">
        <v>78</v>
      </c>
      <c r="D2550" s="5" t="s">
        <v>79</v>
      </c>
      <c r="E2550" s="5" t="s">
        <v>80</v>
      </c>
      <c r="F2550" s="5">
        <v>10666</v>
      </c>
      <c r="G2550" s="5" t="s">
        <v>7735</v>
      </c>
      <c r="H2550" s="5" t="s">
        <v>7736</v>
      </c>
      <c r="I2550" s="5" t="s">
        <v>212</v>
      </c>
      <c r="N2550" s="5" t="s">
        <v>7737</v>
      </c>
      <c r="O2550" s="5">
        <v>115.25</v>
      </c>
      <c r="P2550" s="5">
        <v>117</v>
      </c>
      <c r="Q2550" s="5">
        <v>115.25</v>
      </c>
      <c r="R2550" s="5">
        <v>115.61</v>
      </c>
      <c r="S2550" s="5">
        <v>115.61</v>
      </c>
      <c r="T2550" s="5">
        <v>116</v>
      </c>
      <c r="V2550" s="5">
        <v>115.61</v>
      </c>
      <c r="Y2550" s="5">
        <v>11691129</v>
      </c>
      <c r="Z2550" s="5">
        <v>1360757076.6400001</v>
      </c>
      <c r="AA2550" s="5">
        <v>32806</v>
      </c>
      <c r="AB2550" s="5" t="s">
        <v>85</v>
      </c>
      <c r="AC2550" s="5">
        <v>1</v>
      </c>
    </row>
    <row r="2551" spans="1:29" x14ac:dyDescent="0.3">
      <c r="A2551" s="34">
        <v>46274</v>
      </c>
      <c r="B2551" s="34">
        <v>46274</v>
      </c>
      <c r="C2551" s="5" t="s">
        <v>78</v>
      </c>
      <c r="D2551" s="5" t="s">
        <v>79</v>
      </c>
      <c r="E2551" s="5" t="s">
        <v>80</v>
      </c>
      <c r="F2551" s="5">
        <v>14922</v>
      </c>
      <c r="G2551" s="5" t="s">
        <v>7738</v>
      </c>
      <c r="H2551" s="5" t="s">
        <v>7739</v>
      </c>
      <c r="I2551" s="5" t="s">
        <v>212</v>
      </c>
      <c r="N2551" s="5" t="s">
        <v>7740</v>
      </c>
      <c r="O2551" s="5">
        <v>215.1</v>
      </c>
      <c r="P2551" s="5">
        <v>217</v>
      </c>
      <c r="Q2551" s="5">
        <v>213.02</v>
      </c>
      <c r="R2551" s="5">
        <v>216.25</v>
      </c>
      <c r="S2551" s="5">
        <v>217</v>
      </c>
      <c r="T2551" s="5">
        <v>216.39</v>
      </c>
      <c r="V2551" s="5">
        <v>216.24</v>
      </c>
      <c r="Y2551" s="5">
        <v>167897</v>
      </c>
      <c r="Z2551" s="5">
        <v>36098413.039999999</v>
      </c>
      <c r="AA2551" s="5">
        <v>4649</v>
      </c>
      <c r="AB2551" s="5" t="s">
        <v>85</v>
      </c>
      <c r="AC2551" s="5">
        <v>1</v>
      </c>
    </row>
    <row r="2552" spans="1:29" x14ac:dyDescent="0.3">
      <c r="A2552" s="34">
        <v>46274</v>
      </c>
      <c r="B2552" s="34">
        <v>46274</v>
      </c>
      <c r="C2552" s="5" t="s">
        <v>78</v>
      </c>
      <c r="D2552" s="5" t="s">
        <v>79</v>
      </c>
      <c r="E2552" s="5" t="s">
        <v>80</v>
      </c>
      <c r="F2552" s="5">
        <v>765568</v>
      </c>
      <c r="G2552" s="5" t="s">
        <v>7741</v>
      </c>
      <c r="H2552" s="5" t="s">
        <v>7742</v>
      </c>
      <c r="I2552" s="5" t="s">
        <v>212</v>
      </c>
      <c r="N2552" s="5" t="s">
        <v>7743</v>
      </c>
      <c r="O2552" s="5">
        <v>558</v>
      </c>
      <c r="P2552" s="5">
        <v>567</v>
      </c>
      <c r="Q2552" s="5">
        <v>537</v>
      </c>
      <c r="R2552" s="5">
        <v>563.9</v>
      </c>
      <c r="S2552" s="5">
        <v>562.4</v>
      </c>
      <c r="T2552" s="5">
        <v>557.29999999999995</v>
      </c>
      <c r="V2552" s="5">
        <v>563.9</v>
      </c>
      <c r="Y2552" s="5">
        <v>677914</v>
      </c>
      <c r="Z2552" s="5">
        <v>377684181.44999999</v>
      </c>
      <c r="AA2552" s="5">
        <v>17699</v>
      </c>
      <c r="AB2552" s="5" t="s">
        <v>85</v>
      </c>
      <c r="AC2552" s="5">
        <v>1</v>
      </c>
    </row>
    <row r="2553" spans="1:29" x14ac:dyDescent="0.3">
      <c r="A2553" s="34">
        <v>46274</v>
      </c>
      <c r="B2553" s="34">
        <v>46274</v>
      </c>
      <c r="C2553" s="5" t="s">
        <v>78</v>
      </c>
      <c r="D2553" s="5" t="s">
        <v>79</v>
      </c>
      <c r="E2553" s="5" t="s">
        <v>80</v>
      </c>
      <c r="F2553" s="5">
        <v>28044</v>
      </c>
      <c r="G2553" s="5" t="s">
        <v>7744</v>
      </c>
      <c r="H2553" s="5" t="s">
        <v>7745</v>
      </c>
      <c r="I2553" s="5" t="s">
        <v>392</v>
      </c>
      <c r="N2553" s="5" t="s">
        <v>7746</v>
      </c>
      <c r="O2553" s="5">
        <v>393.1</v>
      </c>
      <c r="P2553" s="5">
        <v>422.45</v>
      </c>
      <c r="Q2553" s="5">
        <v>386</v>
      </c>
      <c r="R2553" s="5">
        <v>422.45</v>
      </c>
      <c r="S2553" s="5">
        <v>422.45</v>
      </c>
      <c r="T2553" s="5">
        <v>402.35</v>
      </c>
      <c r="V2553" s="5">
        <v>422.45</v>
      </c>
      <c r="Y2553" s="5">
        <v>63500</v>
      </c>
      <c r="Z2553" s="5">
        <v>25902800</v>
      </c>
      <c r="AA2553" s="5">
        <v>180</v>
      </c>
      <c r="AB2553" s="5" t="s">
        <v>85</v>
      </c>
      <c r="AC2553" s="5">
        <v>250</v>
      </c>
    </row>
    <row r="2554" spans="1:29" x14ac:dyDescent="0.3">
      <c r="A2554" s="34">
        <v>46274</v>
      </c>
      <c r="B2554" s="34">
        <v>46274</v>
      </c>
      <c r="C2554" s="5" t="s">
        <v>78</v>
      </c>
      <c r="D2554" s="5" t="s">
        <v>79</v>
      </c>
      <c r="E2554" s="5" t="s">
        <v>80</v>
      </c>
      <c r="F2554" s="5">
        <v>22938</v>
      </c>
      <c r="G2554" s="5" t="s">
        <v>7747</v>
      </c>
      <c r="H2554" s="5" t="s">
        <v>7748</v>
      </c>
      <c r="I2554" s="5" t="s">
        <v>313</v>
      </c>
      <c r="N2554" s="5" t="s">
        <v>7749</v>
      </c>
      <c r="O2554" s="5">
        <v>44.1</v>
      </c>
      <c r="P2554" s="5">
        <v>44.9</v>
      </c>
      <c r="Q2554" s="5">
        <v>44.1</v>
      </c>
      <c r="R2554" s="5">
        <v>44.9</v>
      </c>
      <c r="S2554" s="5">
        <v>44.9</v>
      </c>
      <c r="T2554" s="5">
        <v>44.95</v>
      </c>
      <c r="V2554" s="5">
        <v>44.9</v>
      </c>
      <c r="Y2554" s="5">
        <v>20000</v>
      </c>
      <c r="Z2554" s="5">
        <v>886120</v>
      </c>
      <c r="AA2554" s="5">
        <v>6</v>
      </c>
      <c r="AB2554" s="5" t="s">
        <v>85</v>
      </c>
      <c r="AC2554" s="5">
        <v>800</v>
      </c>
    </row>
    <row r="2555" spans="1:29" x14ac:dyDescent="0.3">
      <c r="A2555" s="34">
        <v>46274</v>
      </c>
      <c r="B2555" s="34">
        <v>46274</v>
      </c>
      <c r="C2555" s="5" t="s">
        <v>78</v>
      </c>
      <c r="D2555" s="5" t="s">
        <v>79</v>
      </c>
      <c r="E2555" s="5" t="s">
        <v>80</v>
      </c>
      <c r="F2555" s="5">
        <v>4010</v>
      </c>
      <c r="G2555" s="5" t="s">
        <v>7750</v>
      </c>
      <c r="H2555" s="5" t="s">
        <v>7751</v>
      </c>
      <c r="I2555" s="5" t="s">
        <v>212</v>
      </c>
      <c r="N2555" s="5" t="s">
        <v>7752</v>
      </c>
      <c r="O2555" s="5">
        <v>63.5</v>
      </c>
      <c r="P2555" s="5">
        <v>65.900000000000006</v>
      </c>
      <c r="Q2555" s="5">
        <v>60.87</v>
      </c>
      <c r="R2555" s="5">
        <v>64.540000000000006</v>
      </c>
      <c r="S2555" s="5">
        <v>64</v>
      </c>
      <c r="T2555" s="5">
        <v>64.069999999999993</v>
      </c>
      <c r="V2555" s="5">
        <v>64.540000000000006</v>
      </c>
      <c r="Y2555" s="5">
        <v>2883236</v>
      </c>
      <c r="Z2555" s="5">
        <v>181550591.00999999</v>
      </c>
      <c r="AA2555" s="5">
        <v>11449</v>
      </c>
      <c r="AB2555" s="5" t="s">
        <v>85</v>
      </c>
      <c r="AC2555" s="5">
        <v>1</v>
      </c>
    </row>
    <row r="2556" spans="1:29" x14ac:dyDescent="0.3">
      <c r="A2556" s="34">
        <v>46274</v>
      </c>
      <c r="B2556" s="34">
        <v>46274</v>
      </c>
      <c r="C2556" s="5" t="s">
        <v>78</v>
      </c>
      <c r="D2556" s="5" t="s">
        <v>79</v>
      </c>
      <c r="E2556" s="5" t="s">
        <v>80</v>
      </c>
      <c r="F2556" s="5">
        <v>13147</v>
      </c>
      <c r="G2556" s="5" t="s">
        <v>7753</v>
      </c>
      <c r="H2556" s="5" t="s">
        <v>7754</v>
      </c>
      <c r="I2556" s="5" t="s">
        <v>212</v>
      </c>
      <c r="N2556" s="5" t="s">
        <v>7755</v>
      </c>
      <c r="O2556" s="5">
        <v>1231.3</v>
      </c>
      <c r="P2556" s="5">
        <v>1232</v>
      </c>
      <c r="Q2556" s="5">
        <v>1161.5</v>
      </c>
      <c r="R2556" s="5">
        <v>1169.2</v>
      </c>
      <c r="S2556" s="5">
        <v>1168</v>
      </c>
      <c r="T2556" s="5">
        <v>1231.3</v>
      </c>
      <c r="V2556" s="5">
        <v>1169.27</v>
      </c>
      <c r="Y2556" s="5">
        <v>564590</v>
      </c>
      <c r="Z2556" s="5">
        <v>671451767.70000005</v>
      </c>
      <c r="AA2556" s="5">
        <v>26833</v>
      </c>
      <c r="AB2556" s="5" t="s">
        <v>85</v>
      </c>
      <c r="AC2556" s="5">
        <v>1</v>
      </c>
    </row>
    <row r="2557" spans="1:29" x14ac:dyDescent="0.3">
      <c r="A2557" s="34">
        <v>46274</v>
      </c>
      <c r="B2557" s="34">
        <v>46274</v>
      </c>
      <c r="C2557" s="5" t="s">
        <v>78</v>
      </c>
      <c r="D2557" s="5" t="s">
        <v>79</v>
      </c>
      <c r="E2557" s="5" t="s">
        <v>80</v>
      </c>
      <c r="F2557" s="5">
        <v>18250</v>
      </c>
      <c r="G2557" s="5" t="s">
        <v>7756</v>
      </c>
      <c r="H2557" s="5" t="s">
        <v>7757</v>
      </c>
      <c r="I2557" s="5" t="s">
        <v>212</v>
      </c>
      <c r="N2557" s="5" t="s">
        <v>7758</v>
      </c>
      <c r="O2557" s="5">
        <v>152.04</v>
      </c>
      <c r="P2557" s="5">
        <v>153.54</v>
      </c>
      <c r="Q2557" s="5">
        <v>150</v>
      </c>
      <c r="R2557" s="5">
        <v>150.51</v>
      </c>
      <c r="S2557" s="5">
        <v>151.5</v>
      </c>
      <c r="T2557" s="5">
        <v>151.66999999999999</v>
      </c>
      <c r="V2557" s="5">
        <v>150.52000000000001</v>
      </c>
      <c r="Y2557" s="5">
        <v>31370</v>
      </c>
      <c r="Z2557" s="5">
        <v>4747459.92</v>
      </c>
      <c r="AA2557" s="5">
        <v>1160</v>
      </c>
      <c r="AB2557" s="5" t="s">
        <v>85</v>
      </c>
      <c r="AC2557" s="5">
        <v>1</v>
      </c>
    </row>
    <row r="2558" spans="1:29" x14ac:dyDescent="0.3">
      <c r="A2558" s="34">
        <v>46274</v>
      </c>
      <c r="B2558" s="34">
        <v>46274</v>
      </c>
      <c r="C2558" s="5" t="s">
        <v>78</v>
      </c>
      <c r="D2558" s="5" t="s">
        <v>79</v>
      </c>
      <c r="E2558" s="5" t="s">
        <v>80</v>
      </c>
      <c r="F2558" s="5">
        <v>763594</v>
      </c>
      <c r="G2558" s="5" t="s">
        <v>7759</v>
      </c>
      <c r="H2558" s="5" t="s">
        <v>7760</v>
      </c>
      <c r="I2558" s="5" t="s">
        <v>313</v>
      </c>
      <c r="N2558" s="5" t="s">
        <v>7761</v>
      </c>
      <c r="O2558" s="5">
        <v>620.4</v>
      </c>
      <c r="P2558" s="5">
        <v>709.95</v>
      </c>
      <c r="Q2558" s="5">
        <v>620.04999999999995</v>
      </c>
      <c r="R2558" s="5">
        <v>675.7</v>
      </c>
      <c r="S2558" s="5">
        <v>684</v>
      </c>
      <c r="T2558" s="5">
        <v>624.04999999999995</v>
      </c>
      <c r="V2558" s="5">
        <v>675.7</v>
      </c>
      <c r="Y2558" s="5">
        <v>349200</v>
      </c>
      <c r="Z2558" s="5">
        <v>234874420</v>
      </c>
      <c r="AA2558" s="5">
        <v>770</v>
      </c>
      <c r="AB2558" s="5" t="s">
        <v>85</v>
      </c>
      <c r="AC2558" s="5">
        <v>400</v>
      </c>
    </row>
    <row r="2559" spans="1:29" x14ac:dyDescent="0.3">
      <c r="A2559" s="34">
        <v>46274</v>
      </c>
      <c r="B2559" s="34">
        <v>46274</v>
      </c>
      <c r="C2559" s="5" t="s">
        <v>78</v>
      </c>
      <c r="D2559" s="5" t="s">
        <v>79</v>
      </c>
      <c r="E2559" s="5" t="s">
        <v>80</v>
      </c>
      <c r="F2559" s="5">
        <v>751653</v>
      </c>
      <c r="G2559" s="5" t="s">
        <v>7762</v>
      </c>
      <c r="H2559" s="5" t="s">
        <v>7763</v>
      </c>
      <c r="I2559" s="5" t="s">
        <v>234</v>
      </c>
      <c r="N2559" s="5" t="s">
        <v>7764</v>
      </c>
      <c r="O2559" s="5">
        <v>158.27000000000001</v>
      </c>
      <c r="P2559" s="5">
        <v>158.27000000000001</v>
      </c>
      <c r="Q2559" s="5">
        <v>151</v>
      </c>
      <c r="R2559" s="5">
        <v>151.80000000000001</v>
      </c>
      <c r="S2559" s="5">
        <v>151</v>
      </c>
      <c r="T2559" s="5">
        <v>155.16999999999999</v>
      </c>
      <c r="V2559" s="5">
        <v>151.80000000000001</v>
      </c>
      <c r="Y2559" s="5">
        <v>11377</v>
      </c>
      <c r="Z2559" s="5">
        <v>1746964.03</v>
      </c>
      <c r="AA2559" s="5">
        <v>120</v>
      </c>
      <c r="AB2559" s="5" t="s">
        <v>85</v>
      </c>
      <c r="AC2559" s="5">
        <v>1</v>
      </c>
    </row>
    <row r="2560" spans="1:29" x14ac:dyDescent="0.3">
      <c r="A2560" s="34">
        <v>46274</v>
      </c>
      <c r="B2560" s="34">
        <v>46274</v>
      </c>
      <c r="C2560" s="5" t="s">
        <v>78</v>
      </c>
      <c r="D2560" s="5" t="s">
        <v>79</v>
      </c>
      <c r="E2560" s="5" t="s">
        <v>80</v>
      </c>
      <c r="F2560" s="5">
        <v>5870</v>
      </c>
      <c r="G2560" s="5" t="s">
        <v>7765</v>
      </c>
      <c r="H2560" s="5" t="s">
        <v>7766</v>
      </c>
      <c r="I2560" s="5" t="s">
        <v>313</v>
      </c>
      <c r="N2560" s="5" t="s">
        <v>7767</v>
      </c>
      <c r="O2560" s="5">
        <v>2.8</v>
      </c>
      <c r="P2560" s="5">
        <v>2.8</v>
      </c>
      <c r="Q2560" s="5">
        <v>2.8</v>
      </c>
      <c r="R2560" s="5">
        <v>2.8</v>
      </c>
      <c r="S2560" s="5">
        <v>2.8</v>
      </c>
      <c r="T2560" s="5">
        <v>2.7</v>
      </c>
      <c r="V2560" s="5">
        <v>2.8</v>
      </c>
      <c r="Y2560" s="5">
        <v>12000</v>
      </c>
      <c r="Z2560" s="5">
        <v>33600</v>
      </c>
      <c r="AA2560" s="5">
        <v>1</v>
      </c>
      <c r="AB2560" s="5" t="s">
        <v>85</v>
      </c>
      <c r="AC2560" s="5">
        <v>12000</v>
      </c>
    </row>
    <row r="2561" spans="1:29" x14ac:dyDescent="0.3">
      <c r="A2561" s="34">
        <v>46274</v>
      </c>
      <c r="B2561" s="34">
        <v>46274</v>
      </c>
      <c r="C2561" s="5" t="s">
        <v>78</v>
      </c>
      <c r="D2561" s="5" t="s">
        <v>79</v>
      </c>
      <c r="E2561" s="5" t="s">
        <v>80</v>
      </c>
      <c r="F2561" s="5">
        <v>29087</v>
      </c>
      <c r="G2561" s="5" t="s">
        <v>7768</v>
      </c>
      <c r="H2561" s="5" t="s">
        <v>7769</v>
      </c>
      <c r="I2561" s="5" t="s">
        <v>212</v>
      </c>
      <c r="N2561" s="5" t="s">
        <v>7770</v>
      </c>
      <c r="O2561" s="5">
        <v>440.9</v>
      </c>
      <c r="P2561" s="5">
        <v>452</v>
      </c>
      <c r="Q2561" s="5">
        <v>433.05</v>
      </c>
      <c r="R2561" s="5">
        <v>439.85</v>
      </c>
      <c r="S2561" s="5">
        <v>437.3</v>
      </c>
      <c r="T2561" s="5">
        <v>441</v>
      </c>
      <c r="V2561" s="5">
        <v>439.87</v>
      </c>
      <c r="Y2561" s="5">
        <v>584350</v>
      </c>
      <c r="Z2561" s="5">
        <v>258480343.69999999</v>
      </c>
      <c r="AA2561" s="5">
        <v>21699</v>
      </c>
      <c r="AB2561" s="5" t="s">
        <v>85</v>
      </c>
      <c r="AC2561" s="5">
        <v>1</v>
      </c>
    </row>
    <row r="2562" spans="1:29" x14ac:dyDescent="0.3">
      <c r="A2562" s="34">
        <v>46274</v>
      </c>
      <c r="B2562" s="34">
        <v>46274</v>
      </c>
      <c r="C2562" s="5" t="s">
        <v>78</v>
      </c>
      <c r="D2562" s="5" t="s">
        <v>79</v>
      </c>
      <c r="E2562" s="5" t="s">
        <v>80</v>
      </c>
      <c r="F2562" s="5">
        <v>29711</v>
      </c>
      <c r="G2562" s="5" t="s">
        <v>7771</v>
      </c>
      <c r="H2562" s="5" t="s">
        <v>7772</v>
      </c>
      <c r="I2562" s="5" t="s">
        <v>212</v>
      </c>
      <c r="N2562" s="5" t="s">
        <v>7773</v>
      </c>
      <c r="O2562" s="5">
        <v>1520.7</v>
      </c>
      <c r="P2562" s="5">
        <v>1568</v>
      </c>
      <c r="Q2562" s="5">
        <v>1493.2</v>
      </c>
      <c r="R2562" s="5">
        <v>1513.2</v>
      </c>
      <c r="S2562" s="5">
        <v>1515.5</v>
      </c>
      <c r="T2562" s="5">
        <v>1519.7</v>
      </c>
      <c r="V2562" s="5">
        <v>1513.41</v>
      </c>
      <c r="Y2562" s="5">
        <v>176606</v>
      </c>
      <c r="Z2562" s="5">
        <v>268810506.80000001</v>
      </c>
      <c r="AA2562" s="5">
        <v>13318</v>
      </c>
      <c r="AB2562" s="5" t="s">
        <v>85</v>
      </c>
      <c r="AC2562" s="5">
        <v>1</v>
      </c>
    </row>
    <row r="2563" spans="1:29" x14ac:dyDescent="0.3">
      <c r="A2563" s="34">
        <v>46274</v>
      </c>
      <c r="B2563" s="34">
        <v>46274</v>
      </c>
      <c r="C2563" s="5" t="s">
        <v>78</v>
      </c>
      <c r="D2563" s="5" t="s">
        <v>79</v>
      </c>
      <c r="E2563" s="5" t="s">
        <v>80</v>
      </c>
      <c r="F2563" s="5">
        <v>15330</v>
      </c>
      <c r="G2563" s="5" t="s">
        <v>7774</v>
      </c>
      <c r="H2563" s="5" t="s">
        <v>7775</v>
      </c>
      <c r="I2563" s="5" t="s">
        <v>212</v>
      </c>
      <c r="N2563" s="5" t="s">
        <v>7776</v>
      </c>
      <c r="O2563" s="5">
        <v>126.03</v>
      </c>
      <c r="P2563" s="5">
        <v>126.67</v>
      </c>
      <c r="Q2563" s="5">
        <v>125.5</v>
      </c>
      <c r="R2563" s="5">
        <v>126</v>
      </c>
      <c r="S2563" s="5">
        <v>125.98</v>
      </c>
      <c r="T2563" s="5">
        <v>126.09</v>
      </c>
      <c r="V2563" s="5">
        <v>126</v>
      </c>
      <c r="Y2563" s="5">
        <v>167434</v>
      </c>
      <c r="Z2563" s="5">
        <v>21126295.34</v>
      </c>
      <c r="AA2563" s="5">
        <v>709</v>
      </c>
      <c r="AB2563" s="5" t="s">
        <v>85</v>
      </c>
      <c r="AC2563" s="5">
        <v>1</v>
      </c>
    </row>
    <row r="2564" spans="1:29" x14ac:dyDescent="0.3">
      <c r="A2564" s="34">
        <v>46274</v>
      </c>
      <c r="B2564" s="34">
        <v>46274</v>
      </c>
      <c r="C2564" s="5" t="s">
        <v>78</v>
      </c>
      <c r="D2564" s="5" t="s">
        <v>79</v>
      </c>
      <c r="E2564" s="5" t="s">
        <v>80</v>
      </c>
      <c r="F2564" s="5">
        <v>16819</v>
      </c>
      <c r="G2564" s="5" t="s">
        <v>7777</v>
      </c>
      <c r="H2564" s="5" t="s">
        <v>7778</v>
      </c>
      <c r="I2564" s="5" t="s">
        <v>212</v>
      </c>
      <c r="N2564" s="5" t="s">
        <v>7779</v>
      </c>
      <c r="O2564" s="5">
        <v>260.14</v>
      </c>
      <c r="P2564" s="5">
        <v>260.67</v>
      </c>
      <c r="Q2564" s="5">
        <v>258.2</v>
      </c>
      <c r="R2564" s="5">
        <v>258.85000000000002</v>
      </c>
      <c r="S2564" s="5">
        <v>259</v>
      </c>
      <c r="T2564" s="5">
        <v>261.76</v>
      </c>
      <c r="V2564" s="5">
        <v>258.86</v>
      </c>
      <c r="Y2564" s="5">
        <v>6728</v>
      </c>
      <c r="Z2564" s="5">
        <v>1747111.94</v>
      </c>
      <c r="AA2564" s="5">
        <v>202</v>
      </c>
      <c r="AB2564" s="5" t="s">
        <v>85</v>
      </c>
      <c r="AC2564" s="5">
        <v>1</v>
      </c>
    </row>
    <row r="2565" spans="1:29" x14ac:dyDescent="0.3">
      <c r="A2565" s="34">
        <v>46274</v>
      </c>
      <c r="B2565" s="34">
        <v>46274</v>
      </c>
      <c r="C2565" s="5" t="s">
        <v>78</v>
      </c>
      <c r="D2565" s="5" t="s">
        <v>79</v>
      </c>
      <c r="E2565" s="5" t="s">
        <v>80</v>
      </c>
      <c r="F2565" s="5">
        <v>765392</v>
      </c>
      <c r="G2565" s="5" t="s">
        <v>7780</v>
      </c>
      <c r="H2565" s="5" t="s">
        <v>7781</v>
      </c>
      <c r="I2565" s="5" t="s">
        <v>212</v>
      </c>
      <c r="N2565" s="5" t="s">
        <v>7782</v>
      </c>
      <c r="O2565" s="5">
        <v>23.45</v>
      </c>
      <c r="P2565" s="5">
        <v>23.6</v>
      </c>
      <c r="Q2565" s="5">
        <v>22.51</v>
      </c>
      <c r="R2565" s="5">
        <v>23.5</v>
      </c>
      <c r="S2565" s="5">
        <v>23.51</v>
      </c>
      <c r="T2565" s="5">
        <v>23.28</v>
      </c>
      <c r="V2565" s="5">
        <v>23.5</v>
      </c>
      <c r="Y2565" s="5">
        <v>10116</v>
      </c>
      <c r="Z2565" s="5">
        <v>235097.42</v>
      </c>
      <c r="AA2565" s="5">
        <v>58</v>
      </c>
      <c r="AB2565" s="5" t="s">
        <v>85</v>
      </c>
      <c r="AC2565" s="5">
        <v>1</v>
      </c>
    </row>
    <row r="2566" spans="1:29" x14ac:dyDescent="0.3">
      <c r="A2566" s="34">
        <v>46274</v>
      </c>
      <c r="B2566" s="34">
        <v>46274</v>
      </c>
      <c r="C2566" s="5" t="s">
        <v>78</v>
      </c>
      <c r="D2566" s="5" t="s">
        <v>79</v>
      </c>
      <c r="E2566" s="5" t="s">
        <v>80</v>
      </c>
      <c r="F2566" s="5">
        <v>17704</v>
      </c>
      <c r="G2566" s="5" t="s">
        <v>7783</v>
      </c>
      <c r="H2566" s="5" t="s">
        <v>7784</v>
      </c>
      <c r="I2566" s="5" t="s">
        <v>212</v>
      </c>
      <c r="N2566" s="5" t="s">
        <v>7785</v>
      </c>
      <c r="O2566" s="5">
        <v>335.1</v>
      </c>
      <c r="P2566" s="5">
        <v>358</v>
      </c>
      <c r="Q2566" s="5">
        <v>332.55</v>
      </c>
      <c r="R2566" s="5">
        <v>355</v>
      </c>
      <c r="S2566" s="5">
        <v>357.9</v>
      </c>
      <c r="T2566" s="5">
        <v>337.5</v>
      </c>
      <c r="V2566" s="5">
        <v>354.97</v>
      </c>
      <c r="Y2566" s="5">
        <v>821596</v>
      </c>
      <c r="Z2566" s="5">
        <v>287463534.85000002</v>
      </c>
      <c r="AA2566" s="5">
        <v>28481</v>
      </c>
      <c r="AB2566" s="5" t="s">
        <v>85</v>
      </c>
      <c r="AC2566" s="5">
        <v>1</v>
      </c>
    </row>
    <row r="2567" spans="1:29" x14ac:dyDescent="0.3">
      <c r="A2567" s="34">
        <v>46274</v>
      </c>
      <c r="B2567" s="34">
        <v>46274</v>
      </c>
      <c r="C2567" s="5" t="s">
        <v>78</v>
      </c>
      <c r="D2567" s="5" t="s">
        <v>79</v>
      </c>
      <c r="E2567" s="5" t="s">
        <v>80</v>
      </c>
      <c r="F2567" s="5">
        <v>23793</v>
      </c>
      <c r="G2567" s="5" t="s">
        <v>7786</v>
      </c>
      <c r="H2567" s="5" t="s">
        <v>7787</v>
      </c>
      <c r="I2567" s="5" t="s">
        <v>313</v>
      </c>
      <c r="N2567" s="5" t="s">
        <v>7788</v>
      </c>
      <c r="O2567" s="5">
        <v>88</v>
      </c>
      <c r="P2567" s="5">
        <v>88</v>
      </c>
      <c r="Q2567" s="5">
        <v>86</v>
      </c>
      <c r="R2567" s="5">
        <v>87.3</v>
      </c>
      <c r="S2567" s="5">
        <v>87.4</v>
      </c>
      <c r="T2567" s="5">
        <v>82</v>
      </c>
      <c r="V2567" s="5">
        <v>87.3</v>
      </c>
      <c r="Y2567" s="5">
        <v>8400</v>
      </c>
      <c r="Z2567" s="5">
        <v>732360</v>
      </c>
      <c r="AA2567" s="5">
        <v>7</v>
      </c>
      <c r="AB2567" s="5" t="s">
        <v>85</v>
      </c>
      <c r="AC2567" s="5">
        <v>1200</v>
      </c>
    </row>
    <row r="2568" spans="1:29" x14ac:dyDescent="0.3">
      <c r="A2568" s="34">
        <v>46274</v>
      </c>
      <c r="B2568" s="34">
        <v>46274</v>
      </c>
      <c r="C2568" s="5" t="s">
        <v>78</v>
      </c>
      <c r="D2568" s="5" t="s">
        <v>79</v>
      </c>
      <c r="E2568" s="5" t="s">
        <v>80</v>
      </c>
      <c r="F2568" s="5">
        <v>13116</v>
      </c>
      <c r="G2568" s="5" t="s">
        <v>7789</v>
      </c>
      <c r="H2568" s="5" t="s">
        <v>7790</v>
      </c>
      <c r="I2568" s="5" t="s">
        <v>212</v>
      </c>
      <c r="N2568" s="5" t="s">
        <v>7791</v>
      </c>
      <c r="O2568" s="5">
        <v>153</v>
      </c>
      <c r="P2568" s="5">
        <v>154.66</v>
      </c>
      <c r="Q2568" s="5">
        <v>151.27000000000001</v>
      </c>
      <c r="R2568" s="5">
        <v>152.36000000000001</v>
      </c>
      <c r="S2568" s="5">
        <v>153</v>
      </c>
      <c r="T2568" s="5">
        <v>153.44</v>
      </c>
      <c r="V2568" s="5">
        <v>152.34</v>
      </c>
      <c r="Y2568" s="5">
        <v>70585</v>
      </c>
      <c r="Z2568" s="5">
        <v>10790464.42</v>
      </c>
      <c r="AA2568" s="5">
        <v>1677</v>
      </c>
      <c r="AB2568" s="5" t="s">
        <v>85</v>
      </c>
      <c r="AC2568" s="5">
        <v>1</v>
      </c>
    </row>
    <row r="2569" spans="1:29" x14ac:dyDescent="0.3">
      <c r="A2569" s="34">
        <v>46274</v>
      </c>
      <c r="B2569" s="34">
        <v>46274</v>
      </c>
      <c r="C2569" s="5" t="s">
        <v>78</v>
      </c>
      <c r="D2569" s="5" t="s">
        <v>79</v>
      </c>
      <c r="E2569" s="5" t="s">
        <v>80</v>
      </c>
      <c r="F2569" s="5">
        <v>762854</v>
      </c>
      <c r="G2569" s="5" t="s">
        <v>7792</v>
      </c>
      <c r="H2569" s="5" t="s">
        <v>7793</v>
      </c>
      <c r="I2569" s="5" t="s">
        <v>212</v>
      </c>
      <c r="N2569" s="5" t="s">
        <v>7794</v>
      </c>
      <c r="O2569" s="5">
        <v>40.4</v>
      </c>
      <c r="P2569" s="5">
        <v>40.4</v>
      </c>
      <c r="Q2569" s="5">
        <v>38.67</v>
      </c>
      <c r="R2569" s="5">
        <v>39.51</v>
      </c>
      <c r="S2569" s="5">
        <v>39.5</v>
      </c>
      <c r="T2569" s="5">
        <v>39.85</v>
      </c>
      <c r="V2569" s="5">
        <v>39.51</v>
      </c>
      <c r="Y2569" s="5">
        <v>5717</v>
      </c>
      <c r="Z2569" s="5">
        <v>225525.19</v>
      </c>
      <c r="AA2569" s="5">
        <v>83</v>
      </c>
      <c r="AB2569" s="5" t="s">
        <v>85</v>
      </c>
      <c r="AC2569" s="5">
        <v>1</v>
      </c>
    </row>
    <row r="2570" spans="1:29" x14ac:dyDescent="0.3">
      <c r="A2570" s="34">
        <v>46274</v>
      </c>
      <c r="B2570" s="34">
        <v>46274</v>
      </c>
      <c r="C2570" s="5" t="s">
        <v>78</v>
      </c>
      <c r="D2570" s="5" t="s">
        <v>79</v>
      </c>
      <c r="E2570" s="5" t="s">
        <v>80</v>
      </c>
      <c r="F2570" s="5">
        <v>24957</v>
      </c>
      <c r="G2570" s="5" t="s">
        <v>7795</v>
      </c>
      <c r="H2570" s="5" t="s">
        <v>7796</v>
      </c>
      <c r="I2570" s="5" t="s">
        <v>313</v>
      </c>
      <c r="N2570" s="5" t="s">
        <v>7797</v>
      </c>
      <c r="O2570" s="5">
        <v>22.8</v>
      </c>
      <c r="P2570" s="5">
        <v>23.9</v>
      </c>
      <c r="Q2570" s="5">
        <v>22.8</v>
      </c>
      <c r="R2570" s="5">
        <v>23.9</v>
      </c>
      <c r="S2570" s="5">
        <v>23.9</v>
      </c>
      <c r="T2570" s="5">
        <v>22.8</v>
      </c>
      <c r="V2570" s="5">
        <v>23.9</v>
      </c>
      <c r="Y2570" s="5">
        <v>6400</v>
      </c>
      <c r="Z2570" s="5">
        <v>151040</v>
      </c>
      <c r="AA2570" s="5">
        <v>4</v>
      </c>
      <c r="AB2570" s="5" t="s">
        <v>85</v>
      </c>
      <c r="AC2570" s="5">
        <v>1600</v>
      </c>
    </row>
    <row r="2571" spans="1:29" x14ac:dyDescent="0.3">
      <c r="A2571" s="34">
        <v>46274</v>
      </c>
      <c r="B2571" s="34">
        <v>46274</v>
      </c>
      <c r="C2571" s="5" t="s">
        <v>78</v>
      </c>
      <c r="D2571" s="5" t="s">
        <v>79</v>
      </c>
      <c r="E2571" s="5" t="s">
        <v>80</v>
      </c>
      <c r="F2571" s="5">
        <v>23043</v>
      </c>
      <c r="G2571" s="5" t="s">
        <v>7798</v>
      </c>
      <c r="H2571" s="5" t="s">
        <v>7799</v>
      </c>
      <c r="I2571" s="5" t="s">
        <v>212</v>
      </c>
      <c r="N2571" s="5" t="s">
        <v>7800</v>
      </c>
      <c r="O2571" s="5">
        <v>96</v>
      </c>
      <c r="P2571" s="5">
        <v>96</v>
      </c>
      <c r="Q2571" s="5">
        <v>93</v>
      </c>
      <c r="R2571" s="5">
        <v>93.04</v>
      </c>
      <c r="S2571" s="5">
        <v>93</v>
      </c>
      <c r="T2571" s="5">
        <v>94.34</v>
      </c>
      <c r="V2571" s="5">
        <v>93.04</v>
      </c>
      <c r="Y2571" s="5">
        <v>34636</v>
      </c>
      <c r="Z2571" s="5">
        <v>3254802.04</v>
      </c>
      <c r="AA2571" s="5">
        <v>722</v>
      </c>
      <c r="AB2571" s="5" t="s">
        <v>85</v>
      </c>
      <c r="AC2571" s="5">
        <v>1</v>
      </c>
    </row>
    <row r="2572" spans="1:29" x14ac:dyDescent="0.3">
      <c r="A2572" s="34">
        <v>46274</v>
      </c>
      <c r="B2572" s="34">
        <v>46274</v>
      </c>
      <c r="C2572" s="5" t="s">
        <v>78</v>
      </c>
      <c r="D2572" s="5" t="s">
        <v>79</v>
      </c>
      <c r="E2572" s="5" t="s">
        <v>80</v>
      </c>
      <c r="F2572" s="5">
        <v>757836</v>
      </c>
      <c r="G2572" s="5" t="s">
        <v>7801</v>
      </c>
      <c r="H2572" s="5" t="s">
        <v>7802</v>
      </c>
      <c r="I2572" s="5" t="s">
        <v>234</v>
      </c>
      <c r="N2572" s="5" t="s">
        <v>7803</v>
      </c>
      <c r="O2572" s="5">
        <v>24.04</v>
      </c>
      <c r="P2572" s="5">
        <v>24.04</v>
      </c>
      <c r="Q2572" s="5">
        <v>22.94</v>
      </c>
      <c r="R2572" s="5">
        <v>23.89</v>
      </c>
      <c r="S2572" s="5">
        <v>24.02</v>
      </c>
      <c r="T2572" s="5">
        <v>22.91</v>
      </c>
      <c r="V2572" s="5">
        <v>23.89</v>
      </c>
      <c r="Y2572" s="5">
        <v>526283</v>
      </c>
      <c r="Z2572" s="5">
        <v>12533641.25</v>
      </c>
      <c r="AA2572" s="5">
        <v>1267</v>
      </c>
      <c r="AB2572" s="5" t="s">
        <v>85</v>
      </c>
      <c r="AC2572" s="5">
        <v>1</v>
      </c>
    </row>
    <row r="2573" spans="1:29" x14ac:dyDescent="0.3">
      <c r="A2573" s="34">
        <v>46274</v>
      </c>
      <c r="B2573" s="34">
        <v>46274</v>
      </c>
      <c r="C2573" s="5" t="s">
        <v>78</v>
      </c>
      <c r="D2573" s="5" t="s">
        <v>79</v>
      </c>
      <c r="E2573" s="5" t="s">
        <v>80</v>
      </c>
      <c r="F2573" s="5">
        <v>762864</v>
      </c>
      <c r="G2573" s="5" t="s">
        <v>7804</v>
      </c>
      <c r="H2573" s="5" t="s">
        <v>7805</v>
      </c>
      <c r="I2573" s="5" t="s">
        <v>212</v>
      </c>
      <c r="N2573" s="5" t="s">
        <v>7806</v>
      </c>
      <c r="O2573" s="5">
        <v>16.12</v>
      </c>
      <c r="P2573" s="5">
        <v>16.48</v>
      </c>
      <c r="Q2573" s="5">
        <v>16.010000000000002</v>
      </c>
      <c r="R2573" s="5">
        <v>16.100000000000001</v>
      </c>
      <c r="S2573" s="5">
        <v>16.03</v>
      </c>
      <c r="T2573" s="5">
        <v>16.12</v>
      </c>
      <c r="V2573" s="5">
        <v>16.100000000000001</v>
      </c>
      <c r="Y2573" s="5">
        <v>8537</v>
      </c>
      <c r="Z2573" s="5">
        <v>138344.42000000001</v>
      </c>
      <c r="AA2573" s="5">
        <v>104</v>
      </c>
      <c r="AB2573" s="5" t="s">
        <v>85</v>
      </c>
      <c r="AC2573" s="5">
        <v>1</v>
      </c>
    </row>
    <row r="2574" spans="1:29" x14ac:dyDescent="0.3">
      <c r="A2574" s="34">
        <v>46274</v>
      </c>
      <c r="B2574" s="34">
        <v>46274</v>
      </c>
      <c r="C2574" s="5" t="s">
        <v>78</v>
      </c>
      <c r="D2574" s="5" t="s">
        <v>79</v>
      </c>
      <c r="E2574" s="5" t="s">
        <v>80</v>
      </c>
      <c r="F2574" s="5">
        <v>18566</v>
      </c>
      <c r="G2574" s="5" t="s">
        <v>7807</v>
      </c>
      <c r="H2574" s="5" t="s">
        <v>7808</v>
      </c>
      <c r="I2574" s="5" t="s">
        <v>212</v>
      </c>
      <c r="N2574" s="5" t="s">
        <v>7809</v>
      </c>
      <c r="O2574" s="5">
        <v>2450</v>
      </c>
      <c r="P2574" s="5">
        <v>2465.4</v>
      </c>
      <c r="Q2574" s="5">
        <v>2411</v>
      </c>
      <c r="R2574" s="5">
        <v>2419.8000000000002</v>
      </c>
      <c r="S2574" s="5">
        <v>2411</v>
      </c>
      <c r="T2574" s="5">
        <v>2448.5</v>
      </c>
      <c r="V2574" s="5">
        <v>2419.81</v>
      </c>
      <c r="Y2574" s="5">
        <v>386308</v>
      </c>
      <c r="Z2574" s="5">
        <v>940786341.20000005</v>
      </c>
      <c r="AA2574" s="5">
        <v>38979</v>
      </c>
      <c r="AB2574" s="5" t="s">
        <v>85</v>
      </c>
      <c r="AC2574" s="5">
        <v>1</v>
      </c>
    </row>
    <row r="2575" spans="1:29" x14ac:dyDescent="0.3">
      <c r="A2575" s="34">
        <v>46274</v>
      </c>
      <c r="B2575" s="34">
        <v>46274</v>
      </c>
      <c r="C2575" s="5" t="s">
        <v>78</v>
      </c>
      <c r="D2575" s="5" t="s">
        <v>79</v>
      </c>
      <c r="E2575" s="5" t="s">
        <v>80</v>
      </c>
      <c r="F2575" s="5">
        <v>762872</v>
      </c>
      <c r="G2575" s="5" t="s">
        <v>7810</v>
      </c>
      <c r="H2575" s="5" t="s">
        <v>7811</v>
      </c>
      <c r="I2575" s="5" t="s">
        <v>234</v>
      </c>
      <c r="N2575" s="5" t="s">
        <v>7812</v>
      </c>
      <c r="O2575" s="5">
        <v>95</v>
      </c>
      <c r="P2575" s="5">
        <v>97.9</v>
      </c>
      <c r="Q2575" s="5">
        <v>93.1</v>
      </c>
      <c r="R2575" s="5">
        <v>97.59</v>
      </c>
      <c r="S2575" s="5">
        <v>97.59</v>
      </c>
      <c r="T2575" s="5">
        <v>98</v>
      </c>
      <c r="V2575" s="5">
        <v>95.45</v>
      </c>
      <c r="Y2575" s="5">
        <v>1738</v>
      </c>
      <c r="Z2575" s="5">
        <v>162145.31</v>
      </c>
      <c r="AA2575" s="5">
        <v>25</v>
      </c>
      <c r="AB2575" s="5" t="s">
        <v>85</v>
      </c>
      <c r="AC2575" s="5">
        <v>1</v>
      </c>
    </row>
    <row r="2576" spans="1:29" x14ac:dyDescent="0.3">
      <c r="A2576" s="34">
        <v>46274</v>
      </c>
      <c r="B2576" s="34">
        <v>46274</v>
      </c>
      <c r="C2576" s="5" t="s">
        <v>78</v>
      </c>
      <c r="D2576" s="5" t="s">
        <v>79</v>
      </c>
      <c r="E2576" s="5" t="s">
        <v>80</v>
      </c>
      <c r="F2576" s="5">
        <v>13414</v>
      </c>
      <c r="G2576" s="5" t="s">
        <v>7813</v>
      </c>
      <c r="H2576" s="5" t="s">
        <v>7814</v>
      </c>
      <c r="I2576" s="5" t="s">
        <v>212</v>
      </c>
      <c r="N2576" s="5" t="s">
        <v>7815</v>
      </c>
      <c r="O2576" s="5">
        <v>245.02</v>
      </c>
      <c r="P2576" s="5">
        <v>248.74</v>
      </c>
      <c r="Q2576" s="5">
        <v>238.63</v>
      </c>
      <c r="R2576" s="5">
        <v>243.27</v>
      </c>
      <c r="S2576" s="5">
        <v>242.2</v>
      </c>
      <c r="T2576" s="5">
        <v>245.89</v>
      </c>
      <c r="V2576" s="5">
        <v>243.29</v>
      </c>
      <c r="Y2576" s="5">
        <v>260433</v>
      </c>
      <c r="Z2576" s="5">
        <v>63275231.450000003</v>
      </c>
      <c r="AA2576" s="5">
        <v>5420</v>
      </c>
      <c r="AB2576" s="5" t="s">
        <v>85</v>
      </c>
      <c r="AC2576" s="5">
        <v>1</v>
      </c>
    </row>
    <row r="2577" spans="1:29" x14ac:dyDescent="0.3">
      <c r="A2577" s="34">
        <v>46274</v>
      </c>
      <c r="B2577" s="34">
        <v>46274</v>
      </c>
      <c r="C2577" s="5" t="s">
        <v>78</v>
      </c>
      <c r="D2577" s="5" t="s">
        <v>79</v>
      </c>
      <c r="E2577" s="5" t="s">
        <v>80</v>
      </c>
      <c r="F2577" s="5">
        <v>764855</v>
      </c>
      <c r="G2577" s="5" t="s">
        <v>7816</v>
      </c>
      <c r="H2577" s="5" t="s">
        <v>7817</v>
      </c>
      <c r="I2577" s="5" t="s">
        <v>212</v>
      </c>
      <c r="N2577" s="5" t="s">
        <v>7818</v>
      </c>
      <c r="O2577" s="5">
        <v>88</v>
      </c>
      <c r="P2577" s="5">
        <v>90</v>
      </c>
      <c r="Q2577" s="5">
        <v>88</v>
      </c>
      <c r="R2577" s="5">
        <v>88.66</v>
      </c>
      <c r="S2577" s="5">
        <v>88.66</v>
      </c>
      <c r="T2577" s="5">
        <v>88.17</v>
      </c>
      <c r="V2577" s="5">
        <v>88.66</v>
      </c>
      <c r="Y2577" s="5">
        <v>941</v>
      </c>
      <c r="Z2577" s="5">
        <v>83071.55</v>
      </c>
      <c r="AA2577" s="5">
        <v>14</v>
      </c>
      <c r="AB2577" s="5" t="s">
        <v>85</v>
      </c>
      <c r="AC2577" s="5">
        <v>1</v>
      </c>
    </row>
    <row r="2578" spans="1:29" x14ac:dyDescent="0.3">
      <c r="A2578" s="34">
        <v>46274</v>
      </c>
      <c r="B2578" s="34">
        <v>46274</v>
      </c>
      <c r="C2578" s="5" t="s">
        <v>78</v>
      </c>
      <c r="D2578" s="5" t="s">
        <v>79</v>
      </c>
      <c r="E2578" s="5" t="s">
        <v>80</v>
      </c>
      <c r="F2578" s="5">
        <v>758984</v>
      </c>
      <c r="G2578" s="5" t="s">
        <v>7819</v>
      </c>
      <c r="H2578" s="5" t="s">
        <v>7820</v>
      </c>
      <c r="I2578" s="5" t="s">
        <v>234</v>
      </c>
      <c r="N2578" s="5" t="s">
        <v>7821</v>
      </c>
      <c r="O2578" s="5">
        <v>10.039999999999999</v>
      </c>
      <c r="P2578" s="5">
        <v>10.039999999999999</v>
      </c>
      <c r="Q2578" s="5">
        <v>9.6</v>
      </c>
      <c r="R2578" s="5">
        <v>9.67</v>
      </c>
      <c r="S2578" s="5">
        <v>9.6</v>
      </c>
      <c r="T2578" s="5">
        <v>10.09</v>
      </c>
      <c r="V2578" s="5">
        <v>9.68</v>
      </c>
      <c r="Y2578" s="5">
        <v>203219</v>
      </c>
      <c r="Z2578" s="5">
        <v>1991422.33</v>
      </c>
      <c r="AA2578" s="5">
        <v>580</v>
      </c>
      <c r="AB2578" s="5" t="s">
        <v>85</v>
      </c>
      <c r="AC2578" s="5">
        <v>1</v>
      </c>
    </row>
    <row r="2579" spans="1:29" x14ac:dyDescent="0.3">
      <c r="A2579" s="34">
        <v>46274</v>
      </c>
      <c r="B2579" s="34">
        <v>46274</v>
      </c>
      <c r="C2579" s="5" t="s">
        <v>78</v>
      </c>
      <c r="D2579" s="5" t="s">
        <v>79</v>
      </c>
      <c r="E2579" s="5" t="s">
        <v>80</v>
      </c>
      <c r="F2579" s="5">
        <v>6429</v>
      </c>
      <c r="G2579" s="5" t="s">
        <v>7822</v>
      </c>
      <c r="H2579" s="5" t="s">
        <v>7823</v>
      </c>
      <c r="I2579" s="5" t="s">
        <v>212</v>
      </c>
      <c r="N2579" s="5" t="s">
        <v>7824</v>
      </c>
      <c r="O2579" s="5">
        <v>29.65</v>
      </c>
      <c r="P2579" s="5">
        <v>29.92</v>
      </c>
      <c r="Q2579" s="5">
        <v>29.24</v>
      </c>
      <c r="R2579" s="5">
        <v>29.48</v>
      </c>
      <c r="S2579" s="5">
        <v>29.36</v>
      </c>
      <c r="T2579" s="5">
        <v>29.09</v>
      </c>
      <c r="V2579" s="5">
        <v>29.48</v>
      </c>
      <c r="Y2579" s="5">
        <v>18618</v>
      </c>
      <c r="Z2579" s="5">
        <v>551516.68999999994</v>
      </c>
      <c r="AA2579" s="5">
        <v>127</v>
      </c>
      <c r="AB2579" s="5" t="s">
        <v>85</v>
      </c>
      <c r="AC2579" s="5">
        <v>1</v>
      </c>
    </row>
    <row r="2580" spans="1:29" x14ac:dyDescent="0.3">
      <c r="A2580" s="34">
        <v>46274</v>
      </c>
      <c r="B2580" s="34">
        <v>46274</v>
      </c>
      <c r="C2580" s="5" t="s">
        <v>78</v>
      </c>
      <c r="D2580" s="5" t="s">
        <v>79</v>
      </c>
      <c r="E2580" s="5" t="s">
        <v>80</v>
      </c>
      <c r="F2580" s="5">
        <v>20760</v>
      </c>
      <c r="G2580" s="5" t="s">
        <v>7825</v>
      </c>
      <c r="H2580" s="5" t="s">
        <v>7826</v>
      </c>
      <c r="I2580" s="5" t="s">
        <v>212</v>
      </c>
      <c r="N2580" s="5" t="s">
        <v>7827</v>
      </c>
      <c r="O2580" s="5">
        <v>54</v>
      </c>
      <c r="P2580" s="5">
        <v>63.62</v>
      </c>
      <c r="Q2580" s="5">
        <v>53</v>
      </c>
      <c r="R2580" s="5">
        <v>62</v>
      </c>
      <c r="S2580" s="5">
        <v>61.5</v>
      </c>
      <c r="T2580" s="5">
        <v>53.68</v>
      </c>
      <c r="V2580" s="5">
        <v>62</v>
      </c>
      <c r="Y2580" s="5">
        <v>1013641</v>
      </c>
      <c r="Z2580" s="5">
        <v>61233806.840000004</v>
      </c>
      <c r="AA2580" s="5">
        <v>9316</v>
      </c>
      <c r="AB2580" s="5" t="s">
        <v>85</v>
      </c>
      <c r="AC2580" s="5">
        <v>1</v>
      </c>
    </row>
    <row r="2581" spans="1:29" x14ac:dyDescent="0.3">
      <c r="A2581" s="34">
        <v>46274</v>
      </c>
      <c r="B2581" s="34">
        <v>46274</v>
      </c>
      <c r="C2581" s="5" t="s">
        <v>78</v>
      </c>
      <c r="D2581" s="5" t="s">
        <v>79</v>
      </c>
      <c r="E2581" s="5" t="s">
        <v>80</v>
      </c>
      <c r="F2581" s="5">
        <v>762244</v>
      </c>
      <c r="G2581" s="5" t="s">
        <v>7828</v>
      </c>
      <c r="H2581" s="5" t="s">
        <v>7829</v>
      </c>
      <c r="I2581" s="5" t="s">
        <v>822</v>
      </c>
      <c r="N2581" s="5" t="s">
        <v>7830</v>
      </c>
      <c r="O2581" s="5">
        <v>121.49</v>
      </c>
      <c r="P2581" s="5">
        <v>121.5</v>
      </c>
      <c r="Q2581" s="5">
        <v>119</v>
      </c>
      <c r="R2581" s="5">
        <v>121.04</v>
      </c>
      <c r="S2581" s="5">
        <v>121.5</v>
      </c>
      <c r="T2581" s="5">
        <v>120.79</v>
      </c>
      <c r="V2581" s="5">
        <v>120.98</v>
      </c>
      <c r="Y2581" s="5">
        <v>657484</v>
      </c>
      <c r="Z2581" s="5">
        <v>79484528.010000005</v>
      </c>
      <c r="AA2581" s="5">
        <v>1636</v>
      </c>
      <c r="AB2581" s="5" t="s">
        <v>85</v>
      </c>
      <c r="AC2581" s="5">
        <v>1</v>
      </c>
    </row>
    <row r="2582" spans="1:29" x14ac:dyDescent="0.3">
      <c r="A2582" s="34">
        <v>46274</v>
      </c>
      <c r="B2582" s="34">
        <v>46274</v>
      </c>
      <c r="C2582" s="5" t="s">
        <v>78</v>
      </c>
      <c r="D2582" s="5" t="s">
        <v>79</v>
      </c>
      <c r="E2582" s="5" t="s">
        <v>80</v>
      </c>
      <c r="F2582" s="5">
        <v>15391</v>
      </c>
      <c r="G2582" s="5" t="s">
        <v>7831</v>
      </c>
      <c r="H2582" s="5" t="s">
        <v>7832</v>
      </c>
      <c r="I2582" s="5" t="s">
        <v>212</v>
      </c>
      <c r="N2582" s="5" t="s">
        <v>7833</v>
      </c>
      <c r="O2582" s="5">
        <v>97</v>
      </c>
      <c r="P2582" s="5">
        <v>99.6</v>
      </c>
      <c r="Q2582" s="5">
        <v>95</v>
      </c>
      <c r="R2582" s="5">
        <v>96.38</v>
      </c>
      <c r="S2582" s="5">
        <v>95.58</v>
      </c>
      <c r="T2582" s="5">
        <v>97.5</v>
      </c>
      <c r="V2582" s="5">
        <v>96.38</v>
      </c>
      <c r="Y2582" s="5">
        <v>2903</v>
      </c>
      <c r="Z2582" s="5">
        <v>278616.76</v>
      </c>
      <c r="AA2582" s="5">
        <v>150</v>
      </c>
      <c r="AB2582" s="5" t="s">
        <v>85</v>
      </c>
      <c r="AC2582" s="5">
        <v>1</v>
      </c>
    </row>
    <row r="2583" spans="1:29" x14ac:dyDescent="0.3">
      <c r="A2583" s="34">
        <v>46274</v>
      </c>
      <c r="B2583" s="34">
        <v>46274</v>
      </c>
      <c r="C2583" s="5" t="s">
        <v>78</v>
      </c>
      <c r="D2583" s="5" t="s">
        <v>79</v>
      </c>
      <c r="E2583" s="5" t="s">
        <v>80</v>
      </c>
      <c r="F2583" s="5">
        <v>9854</v>
      </c>
      <c r="G2583" s="5" t="s">
        <v>7834</v>
      </c>
      <c r="H2583" s="5" t="s">
        <v>7835</v>
      </c>
      <c r="I2583" s="5" t="s">
        <v>313</v>
      </c>
      <c r="N2583" s="5" t="s">
        <v>7836</v>
      </c>
      <c r="O2583" s="5">
        <v>32.950000000000003</v>
      </c>
      <c r="P2583" s="5">
        <v>32.950000000000003</v>
      </c>
      <c r="Q2583" s="5">
        <v>31.55</v>
      </c>
      <c r="R2583" s="5">
        <v>32.25</v>
      </c>
      <c r="S2583" s="5">
        <v>32.450000000000003</v>
      </c>
      <c r="T2583" s="5">
        <v>31.75</v>
      </c>
      <c r="V2583" s="5">
        <v>32.25</v>
      </c>
      <c r="Y2583" s="5">
        <v>14000</v>
      </c>
      <c r="Z2583" s="5">
        <v>452665</v>
      </c>
      <c r="AA2583" s="5">
        <v>63</v>
      </c>
      <c r="AB2583" s="5" t="s">
        <v>85</v>
      </c>
      <c r="AC2583" s="5">
        <v>100</v>
      </c>
    </row>
    <row r="2584" spans="1:29" x14ac:dyDescent="0.3">
      <c r="A2584" s="34">
        <v>46274</v>
      </c>
      <c r="B2584" s="34">
        <v>46274</v>
      </c>
      <c r="C2584" s="5" t="s">
        <v>78</v>
      </c>
      <c r="D2584" s="5" t="s">
        <v>79</v>
      </c>
      <c r="E2584" s="5" t="s">
        <v>80</v>
      </c>
      <c r="F2584" s="5">
        <v>27171</v>
      </c>
      <c r="G2584" s="5" t="s">
        <v>7837</v>
      </c>
      <c r="H2584" s="5" t="s">
        <v>7838</v>
      </c>
      <c r="I2584" s="5" t="s">
        <v>212</v>
      </c>
      <c r="N2584" s="5" t="s">
        <v>7839</v>
      </c>
      <c r="O2584" s="5">
        <v>1530</v>
      </c>
      <c r="P2584" s="5">
        <v>1647.8</v>
      </c>
      <c r="Q2584" s="5">
        <v>1523.1</v>
      </c>
      <c r="R2584" s="5">
        <v>1633.9</v>
      </c>
      <c r="S2584" s="5">
        <v>1644.2</v>
      </c>
      <c r="T2584" s="5">
        <v>1540.2</v>
      </c>
      <c r="V2584" s="5">
        <v>1633.96</v>
      </c>
      <c r="Y2584" s="5">
        <v>98666</v>
      </c>
      <c r="Z2584" s="5">
        <v>158730486.19999999</v>
      </c>
      <c r="AA2584" s="5">
        <v>11356</v>
      </c>
      <c r="AB2584" s="5" t="s">
        <v>85</v>
      </c>
      <c r="AC2584" s="5">
        <v>1</v>
      </c>
    </row>
    <row r="2585" spans="1:29" x14ac:dyDescent="0.3">
      <c r="A2585" s="34">
        <v>46274</v>
      </c>
      <c r="B2585" s="34">
        <v>46274</v>
      </c>
      <c r="C2585" s="5" t="s">
        <v>78</v>
      </c>
      <c r="D2585" s="5" t="s">
        <v>79</v>
      </c>
      <c r="E2585" s="5" t="s">
        <v>80</v>
      </c>
      <c r="F2585" s="5">
        <v>10932</v>
      </c>
      <c r="G2585" s="5" t="s">
        <v>7840</v>
      </c>
      <c r="H2585" s="5" t="s">
        <v>7841</v>
      </c>
      <c r="I2585" s="5" t="s">
        <v>212</v>
      </c>
      <c r="N2585" s="5" t="s">
        <v>7842</v>
      </c>
      <c r="O2585" s="5">
        <v>2.97</v>
      </c>
      <c r="P2585" s="5">
        <v>3.03</v>
      </c>
      <c r="Q2585" s="5">
        <v>2.91</v>
      </c>
      <c r="R2585" s="5">
        <v>2.94</v>
      </c>
      <c r="S2585" s="5">
        <v>2.99</v>
      </c>
      <c r="T2585" s="5">
        <v>2.98</v>
      </c>
      <c r="V2585" s="5">
        <v>2.94</v>
      </c>
      <c r="Y2585" s="5">
        <v>16689</v>
      </c>
      <c r="Z2585" s="5">
        <v>49489.83</v>
      </c>
      <c r="AA2585" s="5">
        <v>88</v>
      </c>
      <c r="AB2585" s="5" t="s">
        <v>85</v>
      </c>
      <c r="AC2585" s="5">
        <v>1</v>
      </c>
    </row>
    <row r="2586" spans="1:29" x14ac:dyDescent="0.3">
      <c r="A2586" s="34">
        <v>46274</v>
      </c>
      <c r="B2586" s="34">
        <v>46274</v>
      </c>
      <c r="C2586" s="5" t="s">
        <v>78</v>
      </c>
      <c r="D2586" s="5" t="s">
        <v>79</v>
      </c>
      <c r="E2586" s="5" t="s">
        <v>80</v>
      </c>
      <c r="F2586" s="5">
        <v>10343</v>
      </c>
      <c r="G2586" s="5" t="s">
        <v>7843</v>
      </c>
      <c r="H2586" s="5" t="s">
        <v>7844</v>
      </c>
      <c r="I2586" s="5" t="s">
        <v>212</v>
      </c>
      <c r="N2586" s="5" t="s">
        <v>7845</v>
      </c>
      <c r="O2586" s="5">
        <v>87.96</v>
      </c>
      <c r="P2586" s="5">
        <v>91.99</v>
      </c>
      <c r="Q2586" s="5">
        <v>85.02</v>
      </c>
      <c r="R2586" s="5">
        <v>87.14</v>
      </c>
      <c r="S2586" s="5">
        <v>86.95</v>
      </c>
      <c r="T2586" s="5">
        <v>87.96</v>
      </c>
      <c r="V2586" s="5">
        <v>87.16</v>
      </c>
      <c r="Y2586" s="5">
        <v>5875923</v>
      </c>
      <c r="Z2586" s="5">
        <v>522191349.12</v>
      </c>
      <c r="AA2586" s="5">
        <v>37042</v>
      </c>
      <c r="AB2586" s="5" t="s">
        <v>85</v>
      </c>
      <c r="AC2586" s="5">
        <v>1</v>
      </c>
    </row>
    <row r="2587" spans="1:29" x14ac:dyDescent="0.3">
      <c r="A2587" s="34">
        <v>46274</v>
      </c>
      <c r="B2587" s="34">
        <v>46274</v>
      </c>
      <c r="C2587" s="5" t="s">
        <v>78</v>
      </c>
      <c r="D2587" s="5" t="s">
        <v>79</v>
      </c>
      <c r="E2587" s="5" t="s">
        <v>80</v>
      </c>
      <c r="F2587" s="5">
        <v>13580</v>
      </c>
      <c r="G2587" s="5" t="s">
        <v>7846</v>
      </c>
      <c r="H2587" s="5" t="s">
        <v>7847</v>
      </c>
      <c r="I2587" s="5" t="s">
        <v>212</v>
      </c>
      <c r="N2587" s="5" t="s">
        <v>7848</v>
      </c>
      <c r="O2587" s="5">
        <v>41.23</v>
      </c>
      <c r="P2587" s="5">
        <v>41.23</v>
      </c>
      <c r="Q2587" s="5">
        <v>39.869999999999997</v>
      </c>
      <c r="R2587" s="5">
        <v>40.25</v>
      </c>
      <c r="S2587" s="5">
        <v>40.69</v>
      </c>
      <c r="T2587" s="5">
        <v>41.24</v>
      </c>
      <c r="V2587" s="5">
        <v>40.25</v>
      </c>
      <c r="Y2587" s="5">
        <v>687614</v>
      </c>
      <c r="Z2587" s="5">
        <v>27745678.620000001</v>
      </c>
      <c r="AA2587" s="5">
        <v>3939</v>
      </c>
      <c r="AB2587" s="5" t="s">
        <v>85</v>
      </c>
      <c r="AC2587" s="5">
        <v>1</v>
      </c>
    </row>
    <row r="2588" spans="1:29" x14ac:dyDescent="0.3">
      <c r="A2588" s="34">
        <v>46274</v>
      </c>
      <c r="B2588" s="34">
        <v>46274</v>
      </c>
      <c r="C2588" s="5" t="s">
        <v>78</v>
      </c>
      <c r="D2588" s="5" t="s">
        <v>79</v>
      </c>
      <c r="E2588" s="5" t="s">
        <v>80</v>
      </c>
      <c r="F2588" s="5">
        <v>10990</v>
      </c>
      <c r="G2588" s="5" t="s">
        <v>7849</v>
      </c>
      <c r="H2588" s="5" t="s">
        <v>7850</v>
      </c>
      <c r="I2588" s="5" t="s">
        <v>212</v>
      </c>
      <c r="N2588" s="5" t="s">
        <v>7851</v>
      </c>
      <c r="O2588" s="5">
        <v>4459.5</v>
      </c>
      <c r="P2588" s="5">
        <v>4477.5</v>
      </c>
      <c r="Q2588" s="5">
        <v>4396.6000000000004</v>
      </c>
      <c r="R2588" s="5">
        <v>4414</v>
      </c>
      <c r="S2588" s="5">
        <v>4414</v>
      </c>
      <c r="T2588" s="5">
        <v>4485</v>
      </c>
      <c r="V2588" s="5">
        <v>4414.01</v>
      </c>
      <c r="Y2588" s="5">
        <v>212920</v>
      </c>
      <c r="Z2588" s="5">
        <v>942321533.79999995</v>
      </c>
      <c r="AA2588" s="5">
        <v>23722</v>
      </c>
      <c r="AB2588" s="5" t="s">
        <v>85</v>
      </c>
      <c r="AC2588" s="5">
        <v>1</v>
      </c>
    </row>
    <row r="2589" spans="1:29" x14ac:dyDescent="0.3">
      <c r="A2589" s="34">
        <v>46274</v>
      </c>
      <c r="B2589" s="34">
        <v>46274</v>
      </c>
      <c r="C2589" s="5" t="s">
        <v>78</v>
      </c>
      <c r="D2589" s="5" t="s">
        <v>79</v>
      </c>
      <c r="E2589" s="5" t="s">
        <v>80</v>
      </c>
      <c r="F2589" s="5">
        <v>23445</v>
      </c>
      <c r="G2589" s="5" t="s">
        <v>7852</v>
      </c>
      <c r="H2589" s="5" t="s">
        <v>7853</v>
      </c>
      <c r="I2589" s="5" t="s">
        <v>392</v>
      </c>
      <c r="N2589" s="5" t="s">
        <v>7854</v>
      </c>
      <c r="O2589" s="5">
        <v>27.35</v>
      </c>
      <c r="P2589" s="5">
        <v>27.35</v>
      </c>
      <c r="Q2589" s="5">
        <v>27.35</v>
      </c>
      <c r="R2589" s="5">
        <v>27.35</v>
      </c>
      <c r="S2589" s="5">
        <v>27.35</v>
      </c>
      <c r="T2589" s="5">
        <v>27.35</v>
      </c>
      <c r="V2589" s="5">
        <v>27.35</v>
      </c>
      <c r="Y2589" s="5">
        <v>1600</v>
      </c>
      <c r="Z2589" s="5">
        <v>43760</v>
      </c>
      <c r="AA2589" s="5">
        <v>1</v>
      </c>
      <c r="AB2589" s="5" t="s">
        <v>85</v>
      </c>
      <c r="AC2589" s="5">
        <v>1600</v>
      </c>
    </row>
    <row r="2590" spans="1:29" x14ac:dyDescent="0.3">
      <c r="A2590" s="34">
        <v>46274</v>
      </c>
      <c r="B2590" s="34">
        <v>46274</v>
      </c>
      <c r="C2590" s="5" t="s">
        <v>78</v>
      </c>
      <c r="D2590" s="5" t="s">
        <v>79</v>
      </c>
      <c r="E2590" s="5" t="s">
        <v>80</v>
      </c>
      <c r="F2590" s="5">
        <v>24735</v>
      </c>
      <c r="G2590" s="5" t="s">
        <v>7855</v>
      </c>
      <c r="H2590" s="5" t="s">
        <v>7856</v>
      </c>
      <c r="I2590" s="5" t="s">
        <v>212</v>
      </c>
      <c r="N2590" s="5" t="s">
        <v>7857</v>
      </c>
      <c r="O2590" s="5">
        <v>1694.9</v>
      </c>
      <c r="P2590" s="5">
        <v>1714</v>
      </c>
      <c r="Q2590" s="5">
        <v>1662</v>
      </c>
      <c r="R2590" s="5">
        <v>1670.8</v>
      </c>
      <c r="S2590" s="5">
        <v>1675</v>
      </c>
      <c r="T2590" s="5">
        <v>1692.6</v>
      </c>
      <c r="V2590" s="5">
        <v>1670.81</v>
      </c>
      <c r="Y2590" s="5">
        <v>57819</v>
      </c>
      <c r="Z2590" s="5">
        <v>97375017.099999994</v>
      </c>
      <c r="AA2590" s="5">
        <v>7599</v>
      </c>
      <c r="AB2590" s="5" t="s">
        <v>85</v>
      </c>
      <c r="AC2590" s="5">
        <v>1</v>
      </c>
    </row>
    <row r="2591" spans="1:29" x14ac:dyDescent="0.3">
      <c r="A2591" s="34">
        <v>46274</v>
      </c>
      <c r="B2591" s="34">
        <v>46274</v>
      </c>
      <c r="C2591" s="5" t="s">
        <v>78</v>
      </c>
      <c r="D2591" s="5" t="s">
        <v>79</v>
      </c>
      <c r="E2591" s="5" t="s">
        <v>80</v>
      </c>
      <c r="F2591" s="5">
        <v>9552</v>
      </c>
      <c r="G2591" s="5" t="s">
        <v>7858</v>
      </c>
      <c r="H2591" s="5" t="s">
        <v>7859</v>
      </c>
      <c r="I2591" s="5" t="s">
        <v>212</v>
      </c>
      <c r="N2591" s="5" t="s">
        <v>7860</v>
      </c>
      <c r="O2591" s="5">
        <v>206.82</v>
      </c>
      <c r="P2591" s="5">
        <v>209.45</v>
      </c>
      <c r="Q2591" s="5">
        <v>206.11</v>
      </c>
      <c r="R2591" s="5">
        <v>207</v>
      </c>
      <c r="S2591" s="5">
        <v>207</v>
      </c>
      <c r="T2591" s="5">
        <v>207.5</v>
      </c>
      <c r="V2591" s="5">
        <v>207</v>
      </c>
      <c r="Y2591" s="5">
        <v>3171906</v>
      </c>
      <c r="Z2591" s="5">
        <v>658950760.94000006</v>
      </c>
      <c r="AA2591" s="5">
        <v>30931</v>
      </c>
      <c r="AB2591" s="5" t="s">
        <v>85</v>
      </c>
      <c r="AC2591" s="5">
        <v>1</v>
      </c>
    </row>
    <row r="2592" spans="1:29" x14ac:dyDescent="0.3">
      <c r="A2592" s="34">
        <v>46274</v>
      </c>
      <c r="B2592" s="34">
        <v>46274</v>
      </c>
      <c r="C2592" s="5" t="s">
        <v>78</v>
      </c>
      <c r="D2592" s="5" t="s">
        <v>79</v>
      </c>
      <c r="E2592" s="5" t="s">
        <v>80</v>
      </c>
      <c r="F2592" s="5">
        <v>2431</v>
      </c>
      <c r="G2592" s="5" t="s">
        <v>7861</v>
      </c>
      <c r="H2592" s="5" t="s">
        <v>7862</v>
      </c>
      <c r="I2592" s="5" t="s">
        <v>212</v>
      </c>
      <c r="N2592" s="5" t="s">
        <v>7863</v>
      </c>
      <c r="O2592" s="5">
        <v>267</v>
      </c>
      <c r="P2592" s="5">
        <v>268.14999999999998</v>
      </c>
      <c r="Q2592" s="5">
        <v>262.95</v>
      </c>
      <c r="R2592" s="5">
        <v>263.8</v>
      </c>
      <c r="S2592" s="5">
        <v>264.3</v>
      </c>
      <c r="T2592" s="5">
        <v>266.3</v>
      </c>
      <c r="V2592" s="5">
        <v>263.8</v>
      </c>
      <c r="Y2592" s="5">
        <v>434791</v>
      </c>
      <c r="Z2592" s="5">
        <v>115275511.40000001</v>
      </c>
      <c r="AA2592" s="5">
        <v>10336</v>
      </c>
      <c r="AB2592" s="5" t="s">
        <v>85</v>
      </c>
      <c r="AC2592" s="5">
        <v>1</v>
      </c>
    </row>
    <row r="2593" spans="1:29" x14ac:dyDescent="0.3">
      <c r="A2593" s="34">
        <v>46274</v>
      </c>
      <c r="B2593" s="34">
        <v>46274</v>
      </c>
      <c r="C2593" s="5" t="s">
        <v>78</v>
      </c>
      <c r="D2593" s="5" t="s">
        <v>79</v>
      </c>
      <c r="E2593" s="5" t="s">
        <v>80</v>
      </c>
      <c r="F2593" s="5">
        <v>15337</v>
      </c>
      <c r="G2593" s="5" t="s">
        <v>7864</v>
      </c>
      <c r="H2593" s="5" t="s">
        <v>7865</v>
      </c>
      <c r="I2593" s="5" t="s">
        <v>212</v>
      </c>
      <c r="N2593" s="5" t="s">
        <v>7866</v>
      </c>
      <c r="O2593" s="5">
        <v>219.5</v>
      </c>
      <c r="P2593" s="5">
        <v>230</v>
      </c>
      <c r="Q2593" s="5">
        <v>218.67</v>
      </c>
      <c r="R2593" s="5">
        <v>222.5</v>
      </c>
      <c r="S2593" s="5">
        <v>222.75</v>
      </c>
      <c r="T2593" s="5">
        <v>217.81</v>
      </c>
      <c r="V2593" s="5">
        <v>222.5</v>
      </c>
      <c r="Y2593" s="5">
        <v>11435273</v>
      </c>
      <c r="Z2593" s="5">
        <v>2577635152.5599999</v>
      </c>
      <c r="AA2593" s="5">
        <v>85340</v>
      </c>
      <c r="AB2593" s="5" t="s">
        <v>85</v>
      </c>
      <c r="AC2593" s="5">
        <v>1</v>
      </c>
    </row>
    <row r="2594" spans="1:29" x14ac:dyDescent="0.3">
      <c r="A2594" s="34">
        <v>46274</v>
      </c>
      <c r="B2594" s="34">
        <v>46274</v>
      </c>
      <c r="C2594" s="5" t="s">
        <v>78</v>
      </c>
      <c r="D2594" s="5" t="s">
        <v>79</v>
      </c>
      <c r="E2594" s="5" t="s">
        <v>80</v>
      </c>
      <c r="F2594" s="5">
        <v>9408</v>
      </c>
      <c r="G2594" s="5" t="s">
        <v>7867</v>
      </c>
      <c r="H2594" s="5" t="s">
        <v>7868</v>
      </c>
      <c r="I2594" s="5" t="s">
        <v>212</v>
      </c>
      <c r="N2594" s="5" t="s">
        <v>7869</v>
      </c>
      <c r="O2594" s="5">
        <v>1445</v>
      </c>
      <c r="P2594" s="5">
        <v>1474.7</v>
      </c>
      <c r="Q2594" s="5">
        <v>1440.8</v>
      </c>
      <c r="R2594" s="5">
        <v>1451.1</v>
      </c>
      <c r="S2594" s="5">
        <v>1453</v>
      </c>
      <c r="T2594" s="5">
        <v>1449.9</v>
      </c>
      <c r="V2594" s="5">
        <v>1451.05</v>
      </c>
      <c r="Y2594" s="5">
        <v>97345</v>
      </c>
      <c r="Z2594" s="5">
        <v>141462009.80000001</v>
      </c>
      <c r="AA2594" s="5">
        <v>13654</v>
      </c>
      <c r="AB2594" s="5" t="s">
        <v>85</v>
      </c>
      <c r="AC2594" s="5">
        <v>1</v>
      </c>
    </row>
    <row r="2595" spans="1:29" x14ac:dyDescent="0.3">
      <c r="A2595" s="34">
        <v>46274</v>
      </c>
      <c r="B2595" s="34">
        <v>46274</v>
      </c>
      <c r="C2595" s="5" t="s">
        <v>78</v>
      </c>
      <c r="D2595" s="5" t="s">
        <v>79</v>
      </c>
      <c r="E2595" s="5" t="s">
        <v>80</v>
      </c>
      <c r="F2595" s="5">
        <v>359</v>
      </c>
      <c r="G2595" s="5" t="s">
        <v>7870</v>
      </c>
      <c r="H2595" s="5" t="s">
        <v>7871</v>
      </c>
      <c r="I2595" s="5" t="s">
        <v>212</v>
      </c>
      <c r="N2595" s="5" t="s">
        <v>7872</v>
      </c>
      <c r="O2595" s="5">
        <v>42.36</v>
      </c>
      <c r="P2595" s="5">
        <v>42.39</v>
      </c>
      <c r="Q2595" s="5">
        <v>42</v>
      </c>
      <c r="R2595" s="5">
        <v>42.18</v>
      </c>
      <c r="S2595" s="5">
        <v>42</v>
      </c>
      <c r="T2595" s="5">
        <v>42.26</v>
      </c>
      <c r="V2595" s="5">
        <v>42.18</v>
      </c>
      <c r="Y2595" s="5">
        <v>394</v>
      </c>
      <c r="Z2595" s="5">
        <v>16662.099999999999</v>
      </c>
      <c r="AA2595" s="5">
        <v>12</v>
      </c>
      <c r="AB2595" s="5" t="s">
        <v>85</v>
      </c>
      <c r="AC2595" s="5">
        <v>1</v>
      </c>
    </row>
    <row r="2596" spans="1:29" x14ac:dyDescent="0.3">
      <c r="A2596" s="34">
        <v>46274</v>
      </c>
      <c r="B2596" s="34">
        <v>46274</v>
      </c>
      <c r="C2596" s="5" t="s">
        <v>78</v>
      </c>
      <c r="D2596" s="5" t="s">
        <v>79</v>
      </c>
      <c r="E2596" s="5" t="s">
        <v>80</v>
      </c>
      <c r="F2596" s="5">
        <v>8428</v>
      </c>
      <c r="G2596" s="5" t="s">
        <v>7873</v>
      </c>
      <c r="H2596" s="5" t="s">
        <v>7874</v>
      </c>
      <c r="I2596" s="5" t="s">
        <v>234</v>
      </c>
      <c r="N2596" s="5" t="s">
        <v>7875</v>
      </c>
      <c r="O2596" s="5">
        <v>21.34</v>
      </c>
      <c r="P2596" s="5">
        <v>21.75</v>
      </c>
      <c r="Q2596" s="5">
        <v>21.02</v>
      </c>
      <c r="R2596" s="5">
        <v>21.42</v>
      </c>
      <c r="S2596" s="5">
        <v>21.43</v>
      </c>
      <c r="T2596" s="5">
        <v>21.34</v>
      </c>
      <c r="V2596" s="5">
        <v>21.42</v>
      </c>
      <c r="Y2596" s="5">
        <v>1165</v>
      </c>
      <c r="Z2596" s="5">
        <v>24951.15</v>
      </c>
      <c r="AA2596" s="5">
        <v>60</v>
      </c>
      <c r="AB2596" s="5" t="s">
        <v>85</v>
      </c>
      <c r="AC2596" s="5">
        <v>1</v>
      </c>
    </row>
    <row r="2597" spans="1:29" x14ac:dyDescent="0.3">
      <c r="A2597" s="34">
        <v>46274</v>
      </c>
      <c r="B2597" s="34">
        <v>46274</v>
      </c>
      <c r="C2597" s="5" t="s">
        <v>78</v>
      </c>
      <c r="D2597" s="5" t="s">
        <v>79</v>
      </c>
      <c r="E2597" s="5" t="s">
        <v>80</v>
      </c>
      <c r="F2597" s="5">
        <v>14403</v>
      </c>
      <c r="G2597" s="5" t="s">
        <v>7876</v>
      </c>
      <c r="H2597" s="5" t="s">
        <v>7877</v>
      </c>
      <c r="I2597" s="5" t="s">
        <v>212</v>
      </c>
      <c r="N2597" s="5" t="s">
        <v>7878</v>
      </c>
      <c r="O2597" s="5">
        <v>8.6</v>
      </c>
      <c r="P2597" s="5">
        <v>8.7899999999999991</v>
      </c>
      <c r="Q2597" s="5">
        <v>8.2100000000000009</v>
      </c>
      <c r="R2597" s="5">
        <v>8.2100000000000009</v>
      </c>
      <c r="S2597" s="5">
        <v>8.2100000000000009</v>
      </c>
      <c r="T2597" s="5">
        <v>8.64</v>
      </c>
      <c r="V2597" s="5">
        <v>8.19</v>
      </c>
      <c r="Y2597" s="5">
        <v>103033</v>
      </c>
      <c r="Z2597" s="5">
        <v>849019.8</v>
      </c>
      <c r="AA2597" s="5">
        <v>114</v>
      </c>
      <c r="AB2597" s="5" t="s">
        <v>85</v>
      </c>
      <c r="AC2597" s="5">
        <v>1</v>
      </c>
    </row>
    <row r="2598" spans="1:29" x14ac:dyDescent="0.3">
      <c r="A2598" s="34">
        <v>46274</v>
      </c>
      <c r="B2598" s="34">
        <v>46274</v>
      </c>
      <c r="C2598" s="5" t="s">
        <v>78</v>
      </c>
      <c r="D2598" s="5" t="s">
        <v>79</v>
      </c>
      <c r="E2598" s="5" t="s">
        <v>80</v>
      </c>
      <c r="F2598" s="5">
        <v>762859</v>
      </c>
      <c r="G2598" s="5" t="s">
        <v>7879</v>
      </c>
      <c r="H2598" s="5" t="s">
        <v>7880</v>
      </c>
      <c r="I2598" s="5" t="s">
        <v>212</v>
      </c>
      <c r="N2598" s="5" t="s">
        <v>7881</v>
      </c>
      <c r="O2598" s="5">
        <v>785.05</v>
      </c>
      <c r="P2598" s="5">
        <v>785.05</v>
      </c>
      <c r="Q2598" s="5">
        <v>760</v>
      </c>
      <c r="R2598" s="5">
        <v>762.65</v>
      </c>
      <c r="S2598" s="5">
        <v>765</v>
      </c>
      <c r="T2598" s="5">
        <v>785</v>
      </c>
      <c r="V2598" s="5">
        <v>762.8</v>
      </c>
      <c r="Y2598" s="5">
        <v>4229</v>
      </c>
      <c r="Z2598" s="5">
        <v>3236569.05</v>
      </c>
      <c r="AA2598" s="5">
        <v>144</v>
      </c>
      <c r="AB2598" s="5" t="s">
        <v>85</v>
      </c>
      <c r="AC2598" s="5">
        <v>1</v>
      </c>
    </row>
    <row r="2599" spans="1:29" x14ac:dyDescent="0.3">
      <c r="A2599" s="34">
        <v>46274</v>
      </c>
      <c r="B2599" s="34">
        <v>46274</v>
      </c>
      <c r="C2599" s="5" t="s">
        <v>78</v>
      </c>
      <c r="D2599" s="5" t="s">
        <v>79</v>
      </c>
      <c r="E2599" s="5" t="s">
        <v>80</v>
      </c>
      <c r="F2599" s="5">
        <v>181</v>
      </c>
      <c r="G2599" s="5" t="s">
        <v>7882</v>
      </c>
      <c r="H2599" s="5" t="s">
        <v>7883</v>
      </c>
      <c r="I2599" s="5" t="s">
        <v>212</v>
      </c>
      <c r="N2599" s="5" t="s">
        <v>7884</v>
      </c>
      <c r="O2599" s="5">
        <v>33.22</v>
      </c>
      <c r="P2599" s="5">
        <v>34.99</v>
      </c>
      <c r="Q2599" s="5">
        <v>33</v>
      </c>
      <c r="R2599" s="5">
        <v>34.99</v>
      </c>
      <c r="S2599" s="5">
        <v>34.99</v>
      </c>
      <c r="T2599" s="5">
        <v>33.340000000000003</v>
      </c>
      <c r="V2599" s="5">
        <v>33.729999999999997</v>
      </c>
      <c r="Y2599" s="5">
        <v>924</v>
      </c>
      <c r="Z2599" s="5">
        <v>30889.14</v>
      </c>
      <c r="AA2599" s="5">
        <v>36</v>
      </c>
      <c r="AB2599" s="5" t="s">
        <v>85</v>
      </c>
      <c r="AC2599" s="5">
        <v>1</v>
      </c>
    </row>
    <row r="2600" spans="1:29" x14ac:dyDescent="0.3">
      <c r="A2600" s="34">
        <v>46274</v>
      </c>
      <c r="B2600" s="34">
        <v>46274</v>
      </c>
      <c r="C2600" s="5" t="s">
        <v>78</v>
      </c>
      <c r="D2600" s="5" t="s">
        <v>79</v>
      </c>
      <c r="E2600" s="5" t="s">
        <v>80</v>
      </c>
      <c r="F2600" s="5">
        <v>760461</v>
      </c>
      <c r="G2600" s="5" t="s">
        <v>7885</v>
      </c>
      <c r="H2600" s="5" t="s">
        <v>7886</v>
      </c>
      <c r="I2600" s="5" t="s">
        <v>614</v>
      </c>
      <c r="N2600" s="5" t="s">
        <v>7887</v>
      </c>
      <c r="O2600" s="5">
        <v>80.39</v>
      </c>
      <c r="P2600" s="5">
        <v>82.61</v>
      </c>
      <c r="Q2600" s="5">
        <v>78.56</v>
      </c>
      <c r="R2600" s="5">
        <v>79.05</v>
      </c>
      <c r="S2600" s="5">
        <v>79.34</v>
      </c>
      <c r="T2600" s="5">
        <v>79.61</v>
      </c>
      <c r="V2600" s="5">
        <v>79.08</v>
      </c>
      <c r="Y2600" s="5">
        <v>100479</v>
      </c>
      <c r="Z2600" s="5">
        <v>8051641.71</v>
      </c>
      <c r="AA2600" s="5">
        <v>1104</v>
      </c>
      <c r="AB2600" s="5" t="s">
        <v>85</v>
      </c>
      <c r="AC2600" s="5">
        <v>1</v>
      </c>
    </row>
    <row r="2601" spans="1:29" x14ac:dyDescent="0.3">
      <c r="A2601" s="34">
        <v>46274</v>
      </c>
      <c r="B2601" s="34">
        <v>46274</v>
      </c>
      <c r="C2601" s="5" t="s">
        <v>78</v>
      </c>
      <c r="D2601" s="5" t="s">
        <v>79</v>
      </c>
      <c r="E2601" s="5" t="s">
        <v>80</v>
      </c>
      <c r="F2601" s="5">
        <v>765445</v>
      </c>
      <c r="G2601" s="5" t="s">
        <v>7888</v>
      </c>
      <c r="H2601" s="5" t="s">
        <v>7889</v>
      </c>
      <c r="I2601" s="5" t="s">
        <v>392</v>
      </c>
      <c r="N2601" s="5" t="s">
        <v>7890</v>
      </c>
      <c r="O2601" s="5">
        <v>2.4</v>
      </c>
      <c r="P2601" s="5">
        <v>2.4</v>
      </c>
      <c r="Q2601" s="5">
        <v>2.4</v>
      </c>
      <c r="R2601" s="5">
        <v>2.4</v>
      </c>
      <c r="S2601" s="5">
        <v>2.4</v>
      </c>
      <c r="T2601" s="5">
        <v>3</v>
      </c>
      <c r="V2601" s="5">
        <v>2.4</v>
      </c>
      <c r="Y2601" s="5">
        <v>42000</v>
      </c>
      <c r="Z2601" s="5">
        <v>100800</v>
      </c>
      <c r="AA2601" s="5">
        <v>9</v>
      </c>
      <c r="AB2601" s="5" t="s">
        <v>85</v>
      </c>
      <c r="AC2601" s="5">
        <v>3000</v>
      </c>
    </row>
    <row r="2602" spans="1:29" x14ac:dyDescent="0.3">
      <c r="A2602" s="34">
        <v>46274</v>
      </c>
      <c r="B2602" s="34">
        <v>46274</v>
      </c>
      <c r="C2602" s="5" t="s">
        <v>78</v>
      </c>
      <c r="D2602" s="5" t="s">
        <v>79</v>
      </c>
      <c r="E2602" s="5" t="s">
        <v>80</v>
      </c>
      <c r="F2602" s="5">
        <v>19681</v>
      </c>
      <c r="G2602" s="5" t="s">
        <v>7891</v>
      </c>
      <c r="H2602" s="5" t="s">
        <v>7892</v>
      </c>
      <c r="I2602" s="5" t="s">
        <v>313</v>
      </c>
      <c r="N2602" s="5" t="s">
        <v>7893</v>
      </c>
      <c r="O2602" s="5">
        <v>14.6</v>
      </c>
      <c r="P2602" s="5">
        <v>14.6</v>
      </c>
      <c r="Q2602" s="5">
        <v>14.6</v>
      </c>
      <c r="R2602" s="5">
        <v>14.6</v>
      </c>
      <c r="S2602" s="5">
        <v>14.6</v>
      </c>
      <c r="T2602" s="5">
        <v>14.1</v>
      </c>
      <c r="V2602" s="5">
        <v>14.6</v>
      </c>
      <c r="Y2602" s="5">
        <v>3000</v>
      </c>
      <c r="Z2602" s="5">
        <v>43800</v>
      </c>
      <c r="AA2602" s="5">
        <v>1</v>
      </c>
      <c r="AB2602" s="5" t="s">
        <v>85</v>
      </c>
      <c r="AC2602" s="5">
        <v>3000</v>
      </c>
    </row>
    <row r="2603" spans="1:29" x14ac:dyDescent="0.3">
      <c r="A2603" s="34">
        <v>46274</v>
      </c>
      <c r="B2603" s="34">
        <v>46274</v>
      </c>
      <c r="C2603" s="5" t="s">
        <v>78</v>
      </c>
      <c r="D2603" s="5" t="s">
        <v>79</v>
      </c>
      <c r="E2603" s="5" t="s">
        <v>80</v>
      </c>
      <c r="F2603" s="5">
        <v>2168</v>
      </c>
      <c r="G2603" s="5" t="s">
        <v>7894</v>
      </c>
      <c r="H2603" s="5" t="s">
        <v>7895</v>
      </c>
      <c r="I2603" s="5" t="s">
        <v>212</v>
      </c>
      <c r="N2603" s="5" t="s">
        <v>7896</v>
      </c>
      <c r="O2603" s="5">
        <v>3.32</v>
      </c>
      <c r="P2603" s="5">
        <v>3.35</v>
      </c>
      <c r="Q2603" s="5">
        <v>3.21</v>
      </c>
      <c r="R2603" s="5">
        <v>3.29</v>
      </c>
      <c r="S2603" s="5">
        <v>3.31</v>
      </c>
      <c r="T2603" s="5">
        <v>3.25</v>
      </c>
      <c r="V2603" s="5">
        <v>3.29</v>
      </c>
      <c r="Y2603" s="5">
        <v>350812</v>
      </c>
      <c r="Z2603" s="5">
        <v>1154614.95</v>
      </c>
      <c r="AA2603" s="5">
        <v>922</v>
      </c>
      <c r="AB2603" s="5" t="s">
        <v>85</v>
      </c>
      <c r="AC2603" s="5">
        <v>1</v>
      </c>
    </row>
    <row r="2604" spans="1:29" x14ac:dyDescent="0.3">
      <c r="A2604" s="34">
        <v>46274</v>
      </c>
      <c r="B2604" s="34">
        <v>46274</v>
      </c>
      <c r="C2604" s="5" t="s">
        <v>78</v>
      </c>
      <c r="D2604" s="5" t="s">
        <v>79</v>
      </c>
      <c r="E2604" s="5" t="s">
        <v>80</v>
      </c>
      <c r="F2604" s="5">
        <v>757052</v>
      </c>
      <c r="G2604" s="5" t="s">
        <v>7897</v>
      </c>
      <c r="H2604" s="5" t="s">
        <v>7898</v>
      </c>
      <c r="I2604" s="5" t="s">
        <v>234</v>
      </c>
      <c r="N2604" s="5" t="s">
        <v>7899</v>
      </c>
      <c r="O2604" s="5">
        <v>53.7</v>
      </c>
      <c r="P2604" s="5">
        <v>56.35</v>
      </c>
      <c r="Q2604" s="5">
        <v>52.05</v>
      </c>
      <c r="R2604" s="5">
        <v>55.9</v>
      </c>
      <c r="S2604" s="5">
        <v>56</v>
      </c>
      <c r="T2604" s="5">
        <v>53.7</v>
      </c>
      <c r="V2604" s="5">
        <v>55.91</v>
      </c>
      <c r="Y2604" s="5">
        <v>449747</v>
      </c>
      <c r="Z2604" s="5">
        <v>24686748.030000001</v>
      </c>
      <c r="AA2604" s="5">
        <v>1410</v>
      </c>
      <c r="AB2604" s="5" t="s">
        <v>85</v>
      </c>
      <c r="AC2604" s="5">
        <v>1</v>
      </c>
    </row>
    <row r="2605" spans="1:29" x14ac:dyDescent="0.3">
      <c r="A2605" s="34">
        <v>46274</v>
      </c>
      <c r="B2605" s="34">
        <v>46274</v>
      </c>
      <c r="C2605" s="5" t="s">
        <v>78</v>
      </c>
      <c r="D2605" s="5" t="s">
        <v>79</v>
      </c>
      <c r="E2605" s="5" t="s">
        <v>80</v>
      </c>
      <c r="F2605" s="5">
        <v>27269</v>
      </c>
      <c r="G2605" s="5" t="s">
        <v>7900</v>
      </c>
      <c r="H2605" s="5" t="s">
        <v>7901</v>
      </c>
      <c r="I2605" s="5" t="s">
        <v>313</v>
      </c>
      <c r="N2605" s="5" t="s">
        <v>7902</v>
      </c>
      <c r="O2605" s="5">
        <v>210</v>
      </c>
      <c r="P2605" s="5">
        <v>216</v>
      </c>
      <c r="Q2605" s="5">
        <v>209</v>
      </c>
      <c r="R2605" s="5">
        <v>212</v>
      </c>
      <c r="S2605" s="5">
        <v>212</v>
      </c>
      <c r="T2605" s="5">
        <v>204</v>
      </c>
      <c r="V2605" s="5">
        <v>212</v>
      </c>
      <c r="Y2605" s="5">
        <v>3500</v>
      </c>
      <c r="Z2605" s="5">
        <v>741225</v>
      </c>
      <c r="AA2605" s="5">
        <v>7</v>
      </c>
      <c r="AB2605" s="5" t="s">
        <v>85</v>
      </c>
      <c r="AC2605" s="5">
        <v>500</v>
      </c>
    </row>
    <row r="2606" spans="1:29" x14ac:dyDescent="0.3">
      <c r="A2606" s="34">
        <v>46274</v>
      </c>
      <c r="B2606" s="34">
        <v>46274</v>
      </c>
      <c r="C2606" s="5" t="s">
        <v>78</v>
      </c>
      <c r="D2606" s="5" t="s">
        <v>79</v>
      </c>
      <c r="E2606" s="5" t="s">
        <v>80</v>
      </c>
      <c r="F2606" s="5">
        <v>24707</v>
      </c>
      <c r="G2606" s="5" t="s">
        <v>7903</v>
      </c>
      <c r="H2606" s="5" t="s">
        <v>7904</v>
      </c>
      <c r="I2606" s="5" t="s">
        <v>313</v>
      </c>
      <c r="N2606" s="5" t="s">
        <v>7905</v>
      </c>
      <c r="O2606" s="5">
        <v>62.9</v>
      </c>
      <c r="P2606" s="5">
        <v>67</v>
      </c>
      <c r="Q2606" s="5">
        <v>61.8</v>
      </c>
      <c r="R2606" s="5">
        <v>61.8</v>
      </c>
      <c r="S2606" s="5">
        <v>61.8</v>
      </c>
      <c r="T2606" s="5">
        <v>62.9</v>
      </c>
      <c r="V2606" s="5">
        <v>61.8</v>
      </c>
      <c r="Y2606" s="5">
        <v>16500</v>
      </c>
      <c r="Z2606" s="5">
        <v>1060125</v>
      </c>
      <c r="AA2606" s="5">
        <v>11</v>
      </c>
      <c r="AB2606" s="5" t="s">
        <v>85</v>
      </c>
      <c r="AC2606" s="5">
        <v>1500</v>
      </c>
    </row>
    <row r="2607" spans="1:29" x14ac:dyDescent="0.3">
      <c r="A2607" s="34">
        <v>46274</v>
      </c>
      <c r="B2607" s="34">
        <v>46274</v>
      </c>
      <c r="C2607" s="5" t="s">
        <v>78</v>
      </c>
      <c r="D2607" s="5" t="s">
        <v>79</v>
      </c>
      <c r="E2607" s="5" t="s">
        <v>80</v>
      </c>
      <c r="F2607" s="5">
        <v>761439</v>
      </c>
      <c r="G2607" s="5" t="s">
        <v>7906</v>
      </c>
      <c r="H2607" s="5" t="s">
        <v>7907</v>
      </c>
      <c r="I2607" s="5" t="s">
        <v>212</v>
      </c>
      <c r="N2607" s="5" t="s">
        <v>7908</v>
      </c>
      <c r="O2607" s="5">
        <v>191.75</v>
      </c>
      <c r="P2607" s="5">
        <v>192.77</v>
      </c>
      <c r="Q2607" s="5">
        <v>187.31</v>
      </c>
      <c r="R2607" s="5">
        <v>190.09</v>
      </c>
      <c r="S2607" s="5">
        <v>190.95</v>
      </c>
      <c r="T2607" s="5">
        <v>190.21</v>
      </c>
      <c r="V2607" s="5">
        <v>190.04</v>
      </c>
      <c r="Y2607" s="5">
        <v>144256</v>
      </c>
      <c r="Z2607" s="5">
        <v>27404461.640000001</v>
      </c>
      <c r="AA2607" s="5">
        <v>2932</v>
      </c>
      <c r="AB2607" s="5" t="s">
        <v>85</v>
      </c>
      <c r="AC2607" s="5">
        <v>1</v>
      </c>
    </row>
    <row r="2608" spans="1:29" x14ac:dyDescent="0.3">
      <c r="A2608" s="34">
        <v>46274</v>
      </c>
      <c r="B2608" s="34">
        <v>46274</v>
      </c>
      <c r="C2608" s="5" t="s">
        <v>78</v>
      </c>
      <c r="D2608" s="5" t="s">
        <v>79</v>
      </c>
      <c r="E2608" s="5" t="s">
        <v>80</v>
      </c>
      <c r="F2608" s="5">
        <v>18962</v>
      </c>
      <c r="G2608" s="5" t="s">
        <v>7909</v>
      </c>
      <c r="H2608" s="5" t="s">
        <v>7910</v>
      </c>
      <c r="I2608" s="5" t="s">
        <v>212</v>
      </c>
      <c r="N2608" s="5" t="s">
        <v>7911</v>
      </c>
      <c r="O2608" s="5">
        <v>496.8</v>
      </c>
      <c r="P2608" s="5">
        <v>529.95000000000005</v>
      </c>
      <c r="Q2608" s="5">
        <v>490.55</v>
      </c>
      <c r="R2608" s="5">
        <v>520.85</v>
      </c>
      <c r="S2608" s="5">
        <v>523.65</v>
      </c>
      <c r="T2608" s="5">
        <v>496.8</v>
      </c>
      <c r="V2608" s="5">
        <v>520.84</v>
      </c>
      <c r="Y2608" s="5">
        <v>285802</v>
      </c>
      <c r="Z2608" s="5">
        <v>147717615.84999999</v>
      </c>
      <c r="AA2608" s="5">
        <v>12035</v>
      </c>
      <c r="AB2608" s="5" t="s">
        <v>85</v>
      </c>
      <c r="AC2608" s="5">
        <v>1</v>
      </c>
    </row>
    <row r="2609" spans="1:29" x14ac:dyDescent="0.3">
      <c r="A2609" s="34">
        <v>46274</v>
      </c>
      <c r="B2609" s="34">
        <v>46274</v>
      </c>
      <c r="C2609" s="5" t="s">
        <v>78</v>
      </c>
      <c r="D2609" s="5" t="s">
        <v>79</v>
      </c>
      <c r="E2609" s="5" t="s">
        <v>80</v>
      </c>
      <c r="F2609" s="5">
        <v>6915</v>
      </c>
      <c r="G2609" s="5" t="s">
        <v>7912</v>
      </c>
      <c r="H2609" s="5" t="s">
        <v>7913</v>
      </c>
      <c r="I2609" s="5" t="s">
        <v>234</v>
      </c>
      <c r="N2609" s="5" t="s">
        <v>7914</v>
      </c>
      <c r="O2609" s="5">
        <v>22.78</v>
      </c>
      <c r="P2609" s="5">
        <v>22.78</v>
      </c>
      <c r="Q2609" s="5">
        <v>21.71</v>
      </c>
      <c r="R2609" s="5">
        <v>21.8</v>
      </c>
      <c r="S2609" s="5">
        <v>21.95</v>
      </c>
      <c r="T2609" s="5">
        <v>22.52</v>
      </c>
      <c r="V2609" s="5">
        <v>21.8</v>
      </c>
      <c r="Y2609" s="5">
        <v>39516</v>
      </c>
      <c r="Z2609" s="5">
        <v>871589.73</v>
      </c>
      <c r="AA2609" s="5">
        <v>121</v>
      </c>
      <c r="AB2609" s="5" t="s">
        <v>85</v>
      </c>
      <c r="AC2609" s="5">
        <v>1</v>
      </c>
    </row>
    <row r="2610" spans="1:29" x14ac:dyDescent="0.3">
      <c r="A2610" s="34">
        <v>46274</v>
      </c>
      <c r="B2610" s="34">
        <v>46274</v>
      </c>
      <c r="C2610" s="5" t="s">
        <v>78</v>
      </c>
      <c r="D2610" s="5" t="s">
        <v>79</v>
      </c>
      <c r="E2610" s="5" t="s">
        <v>80</v>
      </c>
      <c r="F2610" s="5">
        <v>2809</v>
      </c>
      <c r="G2610" s="5" t="s">
        <v>7915</v>
      </c>
      <c r="H2610" s="5" t="s">
        <v>7916</v>
      </c>
      <c r="I2610" s="5" t="s">
        <v>212</v>
      </c>
      <c r="N2610" s="5" t="s">
        <v>7917</v>
      </c>
      <c r="O2610" s="5">
        <v>35.03</v>
      </c>
      <c r="P2610" s="5">
        <v>36.19</v>
      </c>
      <c r="Q2610" s="5">
        <v>35.03</v>
      </c>
      <c r="R2610" s="5">
        <v>35.22</v>
      </c>
      <c r="S2610" s="5">
        <v>35.1</v>
      </c>
      <c r="T2610" s="5">
        <v>35.49</v>
      </c>
      <c r="V2610" s="5">
        <v>35.22</v>
      </c>
      <c r="Y2610" s="5">
        <v>26724</v>
      </c>
      <c r="Z2610" s="5">
        <v>948608.64</v>
      </c>
      <c r="AA2610" s="5">
        <v>421</v>
      </c>
      <c r="AB2610" s="5" t="s">
        <v>85</v>
      </c>
      <c r="AC2610" s="5">
        <v>1</v>
      </c>
    </row>
    <row r="2611" spans="1:29" x14ac:dyDescent="0.3">
      <c r="A2611" s="34">
        <v>46274</v>
      </c>
      <c r="B2611" s="34">
        <v>46274</v>
      </c>
      <c r="C2611" s="5" t="s">
        <v>78</v>
      </c>
      <c r="D2611" s="5" t="s">
        <v>79</v>
      </c>
      <c r="E2611" s="5" t="s">
        <v>80</v>
      </c>
      <c r="F2611" s="5">
        <v>2816</v>
      </c>
      <c r="G2611" s="5" t="s">
        <v>7918</v>
      </c>
      <c r="H2611" s="5" t="s">
        <v>7919</v>
      </c>
      <c r="I2611" s="5" t="s">
        <v>212</v>
      </c>
      <c r="N2611" s="5" t="s">
        <v>7920</v>
      </c>
      <c r="O2611" s="5">
        <v>204.5</v>
      </c>
      <c r="P2611" s="5">
        <v>205.75</v>
      </c>
      <c r="Q2611" s="5">
        <v>202.62</v>
      </c>
      <c r="R2611" s="5">
        <v>204.01</v>
      </c>
      <c r="S2611" s="5">
        <v>204.01</v>
      </c>
      <c r="T2611" s="5">
        <v>205.29</v>
      </c>
      <c r="V2611" s="5">
        <v>204.01</v>
      </c>
      <c r="Y2611" s="5">
        <v>450078</v>
      </c>
      <c r="Z2611" s="5">
        <v>91728594.659999996</v>
      </c>
      <c r="AA2611" s="5">
        <v>10358</v>
      </c>
      <c r="AB2611" s="5" t="s">
        <v>85</v>
      </c>
      <c r="AC2611" s="5">
        <v>1</v>
      </c>
    </row>
    <row r="2612" spans="1:29" x14ac:dyDescent="0.3">
      <c r="A2612" s="34">
        <v>46274</v>
      </c>
      <c r="B2612" s="34">
        <v>46274</v>
      </c>
      <c r="C2612" s="5" t="s">
        <v>78</v>
      </c>
      <c r="D2612" s="5" t="s">
        <v>79</v>
      </c>
      <c r="E2612" s="5" t="s">
        <v>80</v>
      </c>
      <c r="F2612" s="5">
        <v>10485</v>
      </c>
      <c r="G2612" s="5" t="s">
        <v>7921</v>
      </c>
      <c r="H2612" s="5" t="s">
        <v>7922</v>
      </c>
      <c r="I2612" s="5" t="s">
        <v>212</v>
      </c>
      <c r="N2612" s="5" t="s">
        <v>7923</v>
      </c>
      <c r="O2612" s="5">
        <v>529.70000000000005</v>
      </c>
      <c r="P2612" s="5">
        <v>538.5</v>
      </c>
      <c r="Q2612" s="5">
        <v>525</v>
      </c>
      <c r="R2612" s="5">
        <v>527.35</v>
      </c>
      <c r="S2612" s="5">
        <v>529.9</v>
      </c>
      <c r="T2612" s="5">
        <v>531.25</v>
      </c>
      <c r="V2612" s="5">
        <v>527.32000000000005</v>
      </c>
      <c r="Y2612" s="5">
        <v>184999</v>
      </c>
      <c r="Z2612" s="5">
        <v>98306128.700000003</v>
      </c>
      <c r="AA2612" s="5">
        <v>7091</v>
      </c>
      <c r="AB2612" s="5" t="s">
        <v>85</v>
      </c>
      <c r="AC2612" s="5">
        <v>1</v>
      </c>
    </row>
    <row r="2613" spans="1:29" x14ac:dyDescent="0.3">
      <c r="A2613" s="34">
        <v>46274</v>
      </c>
      <c r="B2613" s="34">
        <v>46274</v>
      </c>
      <c r="C2613" s="5" t="s">
        <v>78</v>
      </c>
      <c r="D2613" s="5" t="s">
        <v>79</v>
      </c>
      <c r="E2613" s="5" t="s">
        <v>80</v>
      </c>
      <c r="F2613" s="5">
        <v>10568</v>
      </c>
      <c r="G2613" s="5" t="s">
        <v>7924</v>
      </c>
      <c r="H2613" s="5" t="s">
        <v>7925</v>
      </c>
      <c r="I2613" s="5" t="s">
        <v>212</v>
      </c>
      <c r="N2613" s="5" t="s">
        <v>7926</v>
      </c>
      <c r="O2613" s="5">
        <v>124.5</v>
      </c>
      <c r="P2613" s="5">
        <v>125.59</v>
      </c>
      <c r="Q2613" s="5">
        <v>122.55</v>
      </c>
      <c r="R2613" s="5">
        <v>123.07</v>
      </c>
      <c r="S2613" s="5">
        <v>123.78</v>
      </c>
      <c r="T2613" s="5">
        <v>124.74</v>
      </c>
      <c r="V2613" s="5">
        <v>123.07</v>
      </c>
      <c r="Y2613" s="5">
        <v>10645</v>
      </c>
      <c r="Z2613" s="5">
        <v>1318142.1399999999</v>
      </c>
      <c r="AA2613" s="5">
        <v>276</v>
      </c>
      <c r="AB2613" s="5" t="s">
        <v>85</v>
      </c>
      <c r="AC2613" s="5">
        <v>1</v>
      </c>
    </row>
    <row r="2614" spans="1:29" x14ac:dyDescent="0.3">
      <c r="A2614" s="34">
        <v>46274</v>
      </c>
      <c r="B2614" s="34">
        <v>46274</v>
      </c>
      <c r="C2614" s="5" t="s">
        <v>78</v>
      </c>
      <c r="D2614" s="5" t="s">
        <v>79</v>
      </c>
      <c r="E2614" s="5" t="s">
        <v>80</v>
      </c>
      <c r="F2614" s="5">
        <v>10304</v>
      </c>
      <c r="G2614" s="5" t="s">
        <v>7927</v>
      </c>
      <c r="H2614" s="5" t="s">
        <v>7928</v>
      </c>
      <c r="I2614" s="5" t="s">
        <v>234</v>
      </c>
      <c r="N2614" s="5" t="s">
        <v>7929</v>
      </c>
      <c r="O2614" s="5">
        <v>4.09</v>
      </c>
      <c r="P2614" s="5">
        <v>4.09</v>
      </c>
      <c r="Q2614" s="5">
        <v>4.09</v>
      </c>
      <c r="R2614" s="5">
        <v>4.09</v>
      </c>
      <c r="S2614" s="5">
        <v>4.09</v>
      </c>
      <c r="T2614" s="5">
        <v>4.17</v>
      </c>
      <c r="V2614" s="5">
        <v>4.09</v>
      </c>
      <c r="Y2614" s="5">
        <v>1269165</v>
      </c>
      <c r="Z2614" s="5">
        <v>5190884.8499999996</v>
      </c>
      <c r="AA2614" s="5">
        <v>1455</v>
      </c>
      <c r="AB2614" s="5" t="s">
        <v>85</v>
      </c>
      <c r="AC2614" s="5">
        <v>1</v>
      </c>
    </row>
    <row r="2615" spans="1:29" x14ac:dyDescent="0.3">
      <c r="A2615" s="34">
        <v>46274</v>
      </c>
      <c r="B2615" s="34">
        <v>46274</v>
      </c>
      <c r="C2615" s="5" t="s">
        <v>78</v>
      </c>
      <c r="D2615" s="5" t="s">
        <v>79</v>
      </c>
      <c r="E2615" s="5" t="s">
        <v>80</v>
      </c>
      <c r="F2615" s="5">
        <v>757777</v>
      </c>
      <c r="G2615" s="5" t="s">
        <v>7930</v>
      </c>
      <c r="H2615" s="5" t="s">
        <v>7931</v>
      </c>
      <c r="I2615" s="5" t="s">
        <v>313</v>
      </c>
      <c r="N2615" s="5" t="s">
        <v>7932</v>
      </c>
      <c r="O2615" s="5">
        <v>80</v>
      </c>
      <c r="P2615" s="5">
        <v>83.8</v>
      </c>
      <c r="Q2615" s="5">
        <v>77</v>
      </c>
      <c r="R2615" s="5">
        <v>83.8</v>
      </c>
      <c r="S2615" s="5">
        <v>83.8</v>
      </c>
      <c r="T2615" s="5">
        <v>80.05</v>
      </c>
      <c r="V2615" s="5">
        <v>83.8</v>
      </c>
      <c r="Y2615" s="5">
        <v>46000</v>
      </c>
      <c r="Z2615" s="5">
        <v>3699000</v>
      </c>
      <c r="AA2615" s="5">
        <v>22</v>
      </c>
      <c r="AB2615" s="5" t="s">
        <v>85</v>
      </c>
      <c r="AC2615" s="5">
        <v>2000</v>
      </c>
    </row>
    <row r="2616" spans="1:29" x14ac:dyDescent="0.3">
      <c r="A2616" s="34">
        <v>46274</v>
      </c>
      <c r="B2616" s="34">
        <v>46274</v>
      </c>
      <c r="C2616" s="5" t="s">
        <v>78</v>
      </c>
      <c r="D2616" s="5" t="s">
        <v>79</v>
      </c>
      <c r="E2616" s="5" t="s">
        <v>80</v>
      </c>
      <c r="F2616" s="5">
        <v>4587</v>
      </c>
      <c r="G2616" s="5" t="s">
        <v>7933</v>
      </c>
      <c r="H2616" s="5" t="s">
        <v>7934</v>
      </c>
      <c r="I2616" s="5" t="s">
        <v>212</v>
      </c>
      <c r="N2616" s="5" t="s">
        <v>7935</v>
      </c>
      <c r="O2616" s="5">
        <v>320.8</v>
      </c>
      <c r="P2616" s="5">
        <v>321.89999999999998</v>
      </c>
      <c r="Q2616" s="5">
        <v>315.10000000000002</v>
      </c>
      <c r="R2616" s="5">
        <v>319.45</v>
      </c>
      <c r="S2616" s="5">
        <v>320.89999999999998</v>
      </c>
      <c r="T2616" s="5">
        <v>321.5</v>
      </c>
      <c r="V2616" s="5">
        <v>319.5</v>
      </c>
      <c r="Y2616" s="5">
        <v>89199</v>
      </c>
      <c r="Z2616" s="5">
        <v>28404610.850000001</v>
      </c>
      <c r="AA2616" s="5">
        <v>2107</v>
      </c>
      <c r="AB2616" s="5" t="s">
        <v>85</v>
      </c>
      <c r="AC2616" s="5">
        <v>1</v>
      </c>
    </row>
    <row r="2617" spans="1:29" x14ac:dyDescent="0.3">
      <c r="A2617" s="34">
        <v>46274</v>
      </c>
      <c r="B2617" s="34">
        <v>46274</v>
      </c>
      <c r="C2617" s="5" t="s">
        <v>78</v>
      </c>
      <c r="D2617" s="5" t="s">
        <v>79</v>
      </c>
      <c r="E2617" s="5" t="s">
        <v>80</v>
      </c>
      <c r="F2617" s="5">
        <v>7851</v>
      </c>
      <c r="G2617" s="5" t="s">
        <v>7936</v>
      </c>
      <c r="H2617" s="5" t="s">
        <v>7937</v>
      </c>
      <c r="I2617" s="5" t="s">
        <v>212</v>
      </c>
      <c r="N2617" s="5" t="s">
        <v>7938</v>
      </c>
      <c r="O2617" s="5">
        <v>609.15</v>
      </c>
      <c r="P2617" s="5">
        <v>609.5</v>
      </c>
      <c r="Q2617" s="5">
        <v>595</v>
      </c>
      <c r="R2617" s="5">
        <v>596.70000000000005</v>
      </c>
      <c r="S2617" s="5">
        <v>597</v>
      </c>
      <c r="T2617" s="5">
        <v>609.15</v>
      </c>
      <c r="V2617" s="5">
        <v>596.72</v>
      </c>
      <c r="Y2617" s="5">
        <v>58410</v>
      </c>
      <c r="Z2617" s="5">
        <v>35055844.299999997</v>
      </c>
      <c r="AA2617" s="5">
        <v>2661</v>
      </c>
      <c r="AB2617" s="5" t="s">
        <v>85</v>
      </c>
      <c r="AC2617" s="5">
        <v>1</v>
      </c>
    </row>
    <row r="2618" spans="1:29" x14ac:dyDescent="0.3">
      <c r="A2618" s="34">
        <v>46274</v>
      </c>
      <c r="B2618" s="34">
        <v>46274</v>
      </c>
      <c r="C2618" s="5" t="s">
        <v>78</v>
      </c>
      <c r="D2618" s="5" t="s">
        <v>79</v>
      </c>
      <c r="E2618" s="5" t="s">
        <v>80</v>
      </c>
      <c r="F2618" s="5">
        <v>23565</v>
      </c>
      <c r="G2618" s="5" t="s">
        <v>7939</v>
      </c>
      <c r="H2618" s="5" t="s">
        <v>7940</v>
      </c>
      <c r="I2618" s="5" t="s">
        <v>313</v>
      </c>
      <c r="N2618" s="5" t="s">
        <v>7941</v>
      </c>
      <c r="O2618" s="5">
        <v>87</v>
      </c>
      <c r="P2618" s="5">
        <v>89.8</v>
      </c>
      <c r="Q2618" s="5">
        <v>87</v>
      </c>
      <c r="R2618" s="5">
        <v>89.7</v>
      </c>
      <c r="S2618" s="5">
        <v>89.7</v>
      </c>
      <c r="T2618" s="5">
        <v>88</v>
      </c>
      <c r="V2618" s="5">
        <v>89.7</v>
      </c>
      <c r="Y2618" s="5">
        <v>9600</v>
      </c>
      <c r="Z2618" s="5">
        <v>852760</v>
      </c>
      <c r="AA2618" s="5">
        <v>9</v>
      </c>
      <c r="AB2618" s="5" t="s">
        <v>85</v>
      </c>
      <c r="AC2618" s="5">
        <v>800</v>
      </c>
    </row>
    <row r="2619" spans="1:29" x14ac:dyDescent="0.3">
      <c r="A2619" s="34">
        <v>46274</v>
      </c>
      <c r="B2619" s="34">
        <v>46274</v>
      </c>
      <c r="C2619" s="5" t="s">
        <v>78</v>
      </c>
      <c r="D2619" s="5" t="s">
        <v>79</v>
      </c>
      <c r="E2619" s="5" t="s">
        <v>80</v>
      </c>
      <c r="F2619" s="5">
        <v>11411</v>
      </c>
      <c r="G2619" s="5" t="s">
        <v>7942</v>
      </c>
      <c r="H2619" s="5" t="s">
        <v>7943</v>
      </c>
      <c r="I2619" s="5" t="s">
        <v>212</v>
      </c>
      <c r="N2619" s="5" t="s">
        <v>7944</v>
      </c>
      <c r="O2619" s="5">
        <v>701.2</v>
      </c>
      <c r="P2619" s="5">
        <v>728.8</v>
      </c>
      <c r="Q2619" s="5">
        <v>696.4</v>
      </c>
      <c r="R2619" s="5">
        <v>720.7</v>
      </c>
      <c r="S2619" s="5">
        <v>724.05</v>
      </c>
      <c r="T2619" s="5">
        <v>701.3</v>
      </c>
      <c r="V2619" s="5">
        <v>720.73</v>
      </c>
      <c r="Y2619" s="5">
        <v>806230</v>
      </c>
      <c r="Z2619" s="5">
        <v>573402606.54999995</v>
      </c>
      <c r="AA2619" s="5">
        <v>30221</v>
      </c>
      <c r="AB2619" s="5" t="s">
        <v>85</v>
      </c>
      <c r="AC2619" s="5">
        <v>1</v>
      </c>
    </row>
    <row r="2620" spans="1:29" x14ac:dyDescent="0.3">
      <c r="A2620" s="34">
        <v>46274</v>
      </c>
      <c r="B2620" s="34">
        <v>46274</v>
      </c>
      <c r="C2620" s="5" t="s">
        <v>78</v>
      </c>
      <c r="D2620" s="5" t="s">
        <v>79</v>
      </c>
      <c r="E2620" s="5" t="s">
        <v>80</v>
      </c>
      <c r="F2620" s="5">
        <v>20134</v>
      </c>
      <c r="G2620" s="5" t="s">
        <v>7945</v>
      </c>
      <c r="H2620" s="5" t="s">
        <v>7946</v>
      </c>
      <c r="I2620" s="5" t="s">
        <v>212</v>
      </c>
      <c r="N2620" s="5" t="s">
        <v>7947</v>
      </c>
      <c r="O2620" s="5">
        <v>338</v>
      </c>
      <c r="P2620" s="5">
        <v>341.45</v>
      </c>
      <c r="Q2620" s="5">
        <v>336.55</v>
      </c>
      <c r="R2620" s="5">
        <v>339</v>
      </c>
      <c r="S2620" s="5">
        <v>338.5</v>
      </c>
      <c r="T2620" s="5">
        <v>337.6</v>
      </c>
      <c r="V2620" s="5">
        <v>339</v>
      </c>
      <c r="Y2620" s="5">
        <v>15041</v>
      </c>
      <c r="Z2620" s="5">
        <v>5095187.55</v>
      </c>
      <c r="AA2620" s="5">
        <v>963</v>
      </c>
      <c r="AB2620" s="5" t="s">
        <v>85</v>
      </c>
      <c r="AC2620" s="5">
        <v>1</v>
      </c>
    </row>
    <row r="2621" spans="1:29" x14ac:dyDescent="0.3">
      <c r="A2621" s="34">
        <v>46274</v>
      </c>
      <c r="B2621" s="34">
        <v>46274</v>
      </c>
      <c r="C2621" s="5" t="s">
        <v>78</v>
      </c>
      <c r="D2621" s="5" t="s">
        <v>79</v>
      </c>
      <c r="E2621" s="5" t="s">
        <v>80</v>
      </c>
      <c r="F2621" s="5">
        <v>2837</v>
      </c>
      <c r="G2621" s="5" t="s">
        <v>7948</v>
      </c>
      <c r="H2621" s="5" t="s">
        <v>7949</v>
      </c>
      <c r="I2621" s="5" t="s">
        <v>212</v>
      </c>
      <c r="N2621" s="5" t="s">
        <v>7950</v>
      </c>
      <c r="O2621" s="5">
        <v>14.9</v>
      </c>
      <c r="P2621" s="5">
        <v>14.96</v>
      </c>
      <c r="Q2621" s="5">
        <v>14.77</v>
      </c>
      <c r="R2621" s="5">
        <v>14.8</v>
      </c>
      <c r="S2621" s="5">
        <v>14.89</v>
      </c>
      <c r="T2621" s="5">
        <v>14.9</v>
      </c>
      <c r="V2621" s="5">
        <v>14.8</v>
      </c>
      <c r="Y2621" s="5">
        <v>200511</v>
      </c>
      <c r="Z2621" s="5">
        <v>2979142.08</v>
      </c>
      <c r="AA2621" s="5">
        <v>564</v>
      </c>
      <c r="AB2621" s="5" t="s">
        <v>85</v>
      </c>
      <c r="AC2621" s="5">
        <v>1</v>
      </c>
    </row>
    <row r="2622" spans="1:29" x14ac:dyDescent="0.3">
      <c r="A2622" s="34">
        <v>46274</v>
      </c>
      <c r="B2622" s="34">
        <v>46274</v>
      </c>
      <c r="C2622" s="5" t="s">
        <v>78</v>
      </c>
      <c r="D2622" s="5" t="s">
        <v>79</v>
      </c>
      <c r="E2622" s="5" t="s">
        <v>80</v>
      </c>
      <c r="F2622" s="5">
        <v>11975</v>
      </c>
      <c r="G2622" s="5" t="s">
        <v>7951</v>
      </c>
      <c r="H2622" s="5" t="s">
        <v>7952</v>
      </c>
      <c r="I2622" s="5" t="s">
        <v>212</v>
      </c>
      <c r="N2622" s="5" t="s">
        <v>7953</v>
      </c>
      <c r="O2622" s="5">
        <v>1395</v>
      </c>
      <c r="P2622" s="5">
        <v>1408.8</v>
      </c>
      <c r="Q2622" s="5">
        <v>1356.2</v>
      </c>
      <c r="R2622" s="5">
        <v>1364.3</v>
      </c>
      <c r="S2622" s="5">
        <v>1375</v>
      </c>
      <c r="T2622" s="5">
        <v>1390</v>
      </c>
      <c r="V2622" s="5">
        <v>1364.27</v>
      </c>
      <c r="Y2622" s="5">
        <v>77426</v>
      </c>
      <c r="Z2622" s="5">
        <v>106553280.5</v>
      </c>
      <c r="AA2622" s="5">
        <v>6482</v>
      </c>
      <c r="AB2622" s="5" t="s">
        <v>85</v>
      </c>
      <c r="AC2622" s="5">
        <v>1</v>
      </c>
    </row>
    <row r="2623" spans="1:29" x14ac:dyDescent="0.3">
      <c r="A2623" s="34">
        <v>46274</v>
      </c>
      <c r="B2623" s="34">
        <v>46274</v>
      </c>
      <c r="C2623" s="5" t="s">
        <v>78</v>
      </c>
      <c r="D2623" s="5" t="s">
        <v>79</v>
      </c>
      <c r="E2623" s="5" t="s">
        <v>80</v>
      </c>
      <c r="F2623" s="5">
        <v>2844</v>
      </c>
      <c r="G2623" s="5" t="s">
        <v>7954</v>
      </c>
      <c r="H2623" s="5" t="s">
        <v>7955</v>
      </c>
      <c r="I2623" s="5" t="s">
        <v>212</v>
      </c>
      <c r="N2623" s="5" t="s">
        <v>7956</v>
      </c>
      <c r="O2623" s="5">
        <v>1677</v>
      </c>
      <c r="P2623" s="5">
        <v>1703.9</v>
      </c>
      <c r="Q2623" s="5">
        <v>1659</v>
      </c>
      <c r="R2623" s="5">
        <v>1686.4</v>
      </c>
      <c r="S2623" s="5">
        <v>1685</v>
      </c>
      <c r="T2623" s="5">
        <v>1691.8</v>
      </c>
      <c r="V2623" s="5">
        <v>1686.38</v>
      </c>
      <c r="Y2623" s="5">
        <v>15103</v>
      </c>
      <c r="Z2623" s="5">
        <v>25309126.399999999</v>
      </c>
      <c r="AA2623" s="5">
        <v>1945</v>
      </c>
      <c r="AB2623" s="5" t="s">
        <v>85</v>
      </c>
      <c r="AC2623" s="5">
        <v>1</v>
      </c>
    </row>
    <row r="2624" spans="1:29" x14ac:dyDescent="0.3">
      <c r="A2624" s="34">
        <v>46274</v>
      </c>
      <c r="B2624" s="34">
        <v>46274</v>
      </c>
      <c r="C2624" s="5" t="s">
        <v>78</v>
      </c>
      <c r="D2624" s="5" t="s">
        <v>79</v>
      </c>
      <c r="E2624" s="5" t="s">
        <v>80</v>
      </c>
      <c r="F2624" s="5">
        <v>30460</v>
      </c>
      <c r="G2624" s="5" t="s">
        <v>7957</v>
      </c>
      <c r="H2624" s="5" t="s">
        <v>7958</v>
      </c>
      <c r="I2624" s="5" t="s">
        <v>313</v>
      </c>
      <c r="N2624" s="5" t="s">
        <v>7959</v>
      </c>
      <c r="O2624" s="5">
        <v>237.5</v>
      </c>
      <c r="P2624" s="5">
        <v>238.85</v>
      </c>
      <c r="Q2624" s="5">
        <v>236</v>
      </c>
      <c r="R2624" s="5">
        <v>237</v>
      </c>
      <c r="S2624" s="5">
        <v>237</v>
      </c>
      <c r="T2624" s="5">
        <v>236.7</v>
      </c>
      <c r="V2624" s="5">
        <v>237</v>
      </c>
      <c r="Y2624" s="5">
        <v>9000</v>
      </c>
      <c r="Z2624" s="5">
        <v>2143230</v>
      </c>
      <c r="AA2624" s="5">
        <v>15</v>
      </c>
      <c r="AB2624" s="5" t="s">
        <v>85</v>
      </c>
      <c r="AC2624" s="5">
        <v>600</v>
      </c>
    </row>
    <row r="2625" spans="1:29" x14ac:dyDescent="0.3">
      <c r="A2625" s="34">
        <v>46274</v>
      </c>
      <c r="B2625" s="34">
        <v>46274</v>
      </c>
      <c r="C2625" s="5" t="s">
        <v>78</v>
      </c>
      <c r="D2625" s="5" t="s">
        <v>79</v>
      </c>
      <c r="E2625" s="5" t="s">
        <v>80</v>
      </c>
      <c r="F2625" s="5">
        <v>25610</v>
      </c>
      <c r="G2625" s="5" t="s">
        <v>7960</v>
      </c>
      <c r="H2625" s="5" t="s">
        <v>7961</v>
      </c>
      <c r="I2625" s="5" t="s">
        <v>313</v>
      </c>
      <c r="N2625" s="5" t="s">
        <v>7962</v>
      </c>
      <c r="O2625" s="5">
        <v>315</v>
      </c>
      <c r="P2625" s="5">
        <v>318</v>
      </c>
      <c r="Q2625" s="5">
        <v>307</v>
      </c>
      <c r="R2625" s="5">
        <v>308.2</v>
      </c>
      <c r="S2625" s="5">
        <v>308.2</v>
      </c>
      <c r="T2625" s="5">
        <v>303.75</v>
      </c>
      <c r="V2625" s="5">
        <v>308.2</v>
      </c>
      <c r="Y2625" s="5">
        <v>7800</v>
      </c>
      <c r="Z2625" s="5">
        <v>2444430</v>
      </c>
      <c r="AA2625" s="5">
        <v>9</v>
      </c>
      <c r="AB2625" s="5" t="s">
        <v>85</v>
      </c>
      <c r="AC2625" s="5">
        <v>600</v>
      </c>
    </row>
    <row r="2626" spans="1:29" x14ac:dyDescent="0.3">
      <c r="A2626" s="34">
        <v>46274</v>
      </c>
      <c r="B2626" s="34">
        <v>46274</v>
      </c>
      <c r="C2626" s="5" t="s">
        <v>78</v>
      </c>
      <c r="D2626" s="5" t="s">
        <v>79</v>
      </c>
      <c r="E2626" s="5" t="s">
        <v>80</v>
      </c>
      <c r="F2626" s="5">
        <v>22670</v>
      </c>
      <c r="G2626" s="5" t="s">
        <v>7963</v>
      </c>
      <c r="H2626" s="5" t="s">
        <v>7964</v>
      </c>
      <c r="I2626" s="5" t="s">
        <v>212</v>
      </c>
      <c r="N2626" s="5" t="s">
        <v>7965</v>
      </c>
      <c r="O2626" s="5">
        <v>818</v>
      </c>
      <c r="P2626" s="5">
        <v>820.4</v>
      </c>
      <c r="Q2626" s="5">
        <v>784.75</v>
      </c>
      <c r="R2626" s="5">
        <v>794.6</v>
      </c>
      <c r="S2626" s="5">
        <v>791</v>
      </c>
      <c r="T2626" s="5">
        <v>817.95</v>
      </c>
      <c r="V2626" s="5">
        <v>794.63</v>
      </c>
      <c r="Y2626" s="5">
        <v>390735</v>
      </c>
      <c r="Z2626" s="5">
        <v>312317813.60000002</v>
      </c>
      <c r="AA2626" s="5">
        <v>16495</v>
      </c>
      <c r="AB2626" s="5" t="s">
        <v>85</v>
      </c>
      <c r="AC2626" s="5">
        <v>1</v>
      </c>
    </row>
    <row r="2627" spans="1:29" x14ac:dyDescent="0.3">
      <c r="A2627" s="34">
        <v>46274</v>
      </c>
      <c r="B2627" s="34">
        <v>46274</v>
      </c>
      <c r="C2627" s="5" t="s">
        <v>78</v>
      </c>
      <c r="D2627" s="5" t="s">
        <v>79</v>
      </c>
      <c r="E2627" s="5" t="s">
        <v>80</v>
      </c>
      <c r="F2627" s="5">
        <v>2866</v>
      </c>
      <c r="G2627" s="5" t="s">
        <v>7966</v>
      </c>
      <c r="H2627" s="5" t="s">
        <v>7967</v>
      </c>
      <c r="I2627" s="5" t="s">
        <v>212</v>
      </c>
      <c r="N2627" s="5" t="s">
        <v>7968</v>
      </c>
      <c r="O2627" s="5">
        <v>112.6</v>
      </c>
      <c r="P2627" s="5">
        <v>113.19</v>
      </c>
      <c r="Q2627" s="5">
        <v>112.26</v>
      </c>
      <c r="R2627" s="5">
        <v>112.64</v>
      </c>
      <c r="S2627" s="5">
        <v>112.62</v>
      </c>
      <c r="T2627" s="5">
        <v>113.73</v>
      </c>
      <c r="V2627" s="5">
        <v>112.64</v>
      </c>
      <c r="Y2627" s="5">
        <v>668920</v>
      </c>
      <c r="Z2627" s="5">
        <v>75387477.180000007</v>
      </c>
      <c r="AA2627" s="5">
        <v>7638</v>
      </c>
      <c r="AB2627" s="5" t="s">
        <v>85</v>
      </c>
      <c r="AC2627" s="5">
        <v>1</v>
      </c>
    </row>
    <row r="2628" spans="1:29" x14ac:dyDescent="0.3">
      <c r="A2628" s="34">
        <v>46274</v>
      </c>
      <c r="B2628" s="34">
        <v>46274</v>
      </c>
      <c r="C2628" s="5" t="s">
        <v>78</v>
      </c>
      <c r="D2628" s="5" t="s">
        <v>79</v>
      </c>
      <c r="E2628" s="5" t="s">
        <v>80</v>
      </c>
      <c r="F2628" s="5">
        <v>7177</v>
      </c>
      <c r="G2628" s="5" t="s">
        <v>7969</v>
      </c>
      <c r="H2628" s="5" t="s">
        <v>7970</v>
      </c>
      <c r="I2628" s="5" t="s">
        <v>212</v>
      </c>
      <c r="N2628" s="5" t="s">
        <v>7971</v>
      </c>
      <c r="O2628" s="5">
        <v>860</v>
      </c>
      <c r="P2628" s="5">
        <v>862</v>
      </c>
      <c r="Q2628" s="5">
        <v>835</v>
      </c>
      <c r="R2628" s="5">
        <v>841.4</v>
      </c>
      <c r="S2628" s="5">
        <v>841</v>
      </c>
      <c r="T2628" s="5">
        <v>862.7</v>
      </c>
      <c r="V2628" s="5">
        <v>841.41</v>
      </c>
      <c r="Y2628" s="5">
        <v>497731</v>
      </c>
      <c r="Z2628" s="5">
        <v>421391548.85000002</v>
      </c>
      <c r="AA2628" s="5">
        <v>23221</v>
      </c>
      <c r="AB2628" s="5" t="s">
        <v>85</v>
      </c>
      <c r="AC2628" s="5">
        <v>1</v>
      </c>
    </row>
    <row r="2629" spans="1:29" x14ac:dyDescent="0.3">
      <c r="A2629" s="34">
        <v>46274</v>
      </c>
      <c r="B2629" s="34">
        <v>46274</v>
      </c>
      <c r="C2629" s="5" t="s">
        <v>78</v>
      </c>
      <c r="D2629" s="5" t="s">
        <v>79</v>
      </c>
      <c r="E2629" s="5" t="s">
        <v>80</v>
      </c>
      <c r="F2629" s="5">
        <v>13451</v>
      </c>
      <c r="G2629" s="5" t="s">
        <v>7972</v>
      </c>
      <c r="H2629" s="5" t="s">
        <v>7973</v>
      </c>
      <c r="I2629" s="5" t="s">
        <v>212</v>
      </c>
      <c r="N2629" s="5" t="s">
        <v>7974</v>
      </c>
      <c r="O2629" s="5">
        <v>2814.1</v>
      </c>
      <c r="P2629" s="5">
        <v>2873.8</v>
      </c>
      <c r="Q2629" s="5">
        <v>2715.1</v>
      </c>
      <c r="R2629" s="5">
        <v>2859.2</v>
      </c>
      <c r="S2629" s="5">
        <v>2863</v>
      </c>
      <c r="T2629" s="5">
        <v>2803.8</v>
      </c>
      <c r="V2629" s="5">
        <v>2859.3</v>
      </c>
      <c r="Y2629" s="5">
        <v>126387</v>
      </c>
      <c r="Z2629" s="5">
        <v>356028491.39999998</v>
      </c>
      <c r="AA2629" s="5">
        <v>20291</v>
      </c>
      <c r="AB2629" s="5" t="s">
        <v>85</v>
      </c>
      <c r="AC2629" s="5">
        <v>1</v>
      </c>
    </row>
    <row r="2630" spans="1:29" x14ac:dyDescent="0.3">
      <c r="A2630" s="34">
        <v>46274</v>
      </c>
      <c r="B2630" s="34">
        <v>46274</v>
      </c>
      <c r="C2630" s="5" t="s">
        <v>78</v>
      </c>
      <c r="D2630" s="5" t="s">
        <v>79</v>
      </c>
      <c r="E2630" s="5" t="s">
        <v>80</v>
      </c>
      <c r="F2630" s="5">
        <v>18423</v>
      </c>
      <c r="G2630" s="5" t="s">
        <v>7975</v>
      </c>
      <c r="H2630" s="5" t="s">
        <v>7976</v>
      </c>
      <c r="I2630" s="5" t="s">
        <v>212</v>
      </c>
      <c r="N2630" s="5" t="s">
        <v>7977</v>
      </c>
      <c r="O2630" s="5">
        <v>298</v>
      </c>
      <c r="P2630" s="5">
        <v>303</v>
      </c>
      <c r="Q2630" s="5">
        <v>290.8</v>
      </c>
      <c r="R2630" s="5">
        <v>299.89999999999998</v>
      </c>
      <c r="S2630" s="5">
        <v>299</v>
      </c>
      <c r="T2630" s="5">
        <v>297.8</v>
      </c>
      <c r="V2630" s="5">
        <v>299.89999999999998</v>
      </c>
      <c r="Y2630" s="5">
        <v>2550769</v>
      </c>
      <c r="Z2630" s="5">
        <v>760140363.04999995</v>
      </c>
      <c r="AA2630" s="5">
        <v>16786</v>
      </c>
      <c r="AB2630" s="5" t="s">
        <v>85</v>
      </c>
      <c r="AC2630" s="5">
        <v>1</v>
      </c>
    </row>
    <row r="2631" spans="1:29" x14ac:dyDescent="0.3">
      <c r="A2631" s="34">
        <v>46274</v>
      </c>
      <c r="B2631" s="34">
        <v>46274</v>
      </c>
      <c r="C2631" s="5" t="s">
        <v>78</v>
      </c>
      <c r="D2631" s="5" t="s">
        <v>79</v>
      </c>
      <c r="E2631" s="5" t="s">
        <v>80</v>
      </c>
      <c r="F2631" s="5">
        <v>27297</v>
      </c>
      <c r="G2631" s="5" t="s">
        <v>7978</v>
      </c>
      <c r="H2631" s="5" t="s">
        <v>7979</v>
      </c>
      <c r="I2631" s="5" t="s">
        <v>212</v>
      </c>
      <c r="N2631" s="5" t="s">
        <v>7980</v>
      </c>
      <c r="O2631" s="5">
        <v>28.09</v>
      </c>
      <c r="P2631" s="5">
        <v>28.18</v>
      </c>
      <c r="Q2631" s="5">
        <v>27.43</v>
      </c>
      <c r="R2631" s="5">
        <v>27.61</v>
      </c>
      <c r="S2631" s="5">
        <v>27.69</v>
      </c>
      <c r="T2631" s="5">
        <v>28.05</v>
      </c>
      <c r="V2631" s="5">
        <v>27.6</v>
      </c>
      <c r="Y2631" s="5">
        <v>1379212</v>
      </c>
      <c r="Z2631" s="5">
        <v>38067506.520000003</v>
      </c>
      <c r="AA2631" s="5">
        <v>4159</v>
      </c>
      <c r="AB2631" s="5" t="s">
        <v>85</v>
      </c>
      <c r="AC2631" s="5">
        <v>1</v>
      </c>
    </row>
    <row r="2632" spans="1:29" x14ac:dyDescent="0.3">
      <c r="A2632" s="34">
        <v>46274</v>
      </c>
      <c r="B2632" s="34">
        <v>46274</v>
      </c>
      <c r="C2632" s="5" t="s">
        <v>78</v>
      </c>
      <c r="D2632" s="5" t="s">
        <v>79</v>
      </c>
      <c r="E2632" s="5" t="s">
        <v>80</v>
      </c>
      <c r="F2632" s="5">
        <v>17520</v>
      </c>
      <c r="G2632" s="5" t="s">
        <v>7981</v>
      </c>
      <c r="H2632" s="5" t="s">
        <v>7982</v>
      </c>
      <c r="I2632" s="5" t="s">
        <v>212</v>
      </c>
      <c r="N2632" s="5" t="s">
        <v>7983</v>
      </c>
      <c r="O2632" s="5">
        <v>7.27</v>
      </c>
      <c r="P2632" s="5">
        <v>7.4</v>
      </c>
      <c r="Q2632" s="5">
        <v>7.23</v>
      </c>
      <c r="R2632" s="5">
        <v>7.25</v>
      </c>
      <c r="S2632" s="5">
        <v>7.27</v>
      </c>
      <c r="T2632" s="5">
        <v>7.28</v>
      </c>
      <c r="V2632" s="5">
        <v>7.25</v>
      </c>
      <c r="Y2632" s="5">
        <v>18178604</v>
      </c>
      <c r="Z2632" s="5">
        <v>132693868.17</v>
      </c>
      <c r="AA2632" s="5">
        <v>16002</v>
      </c>
      <c r="AB2632" s="5" t="s">
        <v>85</v>
      </c>
      <c r="AC2632" s="5">
        <v>1</v>
      </c>
    </row>
    <row r="2633" spans="1:29" x14ac:dyDescent="0.3">
      <c r="A2633" s="34">
        <v>46274</v>
      </c>
      <c r="B2633" s="34">
        <v>46274</v>
      </c>
      <c r="C2633" s="5" t="s">
        <v>78</v>
      </c>
      <c r="D2633" s="5" t="s">
        <v>79</v>
      </c>
      <c r="E2633" s="5" t="s">
        <v>80</v>
      </c>
      <c r="F2633" s="5">
        <v>20950</v>
      </c>
      <c r="G2633" s="5" t="s">
        <v>7984</v>
      </c>
      <c r="H2633" s="5" t="s">
        <v>7985</v>
      </c>
      <c r="I2633" s="5" t="s">
        <v>212</v>
      </c>
      <c r="N2633" s="5" t="s">
        <v>7986</v>
      </c>
      <c r="O2633" s="5">
        <v>18.36</v>
      </c>
      <c r="P2633" s="5">
        <v>18.36</v>
      </c>
      <c r="Q2633" s="5">
        <v>18.2</v>
      </c>
      <c r="R2633" s="5">
        <v>18.21</v>
      </c>
      <c r="S2633" s="5">
        <v>18.25</v>
      </c>
      <c r="T2633" s="5">
        <v>18.36</v>
      </c>
      <c r="V2633" s="5">
        <v>18.21</v>
      </c>
      <c r="Y2633" s="5">
        <v>5500</v>
      </c>
      <c r="Z2633" s="5">
        <v>100341.66</v>
      </c>
      <c r="AA2633" s="5">
        <v>81</v>
      </c>
      <c r="AB2633" s="5" t="s">
        <v>85</v>
      </c>
      <c r="AC2633" s="5">
        <v>1</v>
      </c>
    </row>
    <row r="2634" spans="1:29" x14ac:dyDescent="0.3">
      <c r="A2634" s="34">
        <v>46274</v>
      </c>
      <c r="B2634" s="34">
        <v>46274</v>
      </c>
      <c r="C2634" s="5" t="s">
        <v>78</v>
      </c>
      <c r="D2634" s="5" t="s">
        <v>79</v>
      </c>
      <c r="E2634" s="5" t="s">
        <v>80</v>
      </c>
      <c r="F2634" s="5">
        <v>1565</v>
      </c>
      <c r="G2634" s="5" t="s">
        <v>7987</v>
      </c>
      <c r="H2634" s="5" t="s">
        <v>7988</v>
      </c>
      <c r="I2634" s="5" t="s">
        <v>212</v>
      </c>
      <c r="N2634" s="5" t="s">
        <v>7989</v>
      </c>
      <c r="O2634" s="5">
        <v>40</v>
      </c>
      <c r="P2634" s="5">
        <v>42</v>
      </c>
      <c r="Q2634" s="5">
        <v>39.75</v>
      </c>
      <c r="R2634" s="5">
        <v>40.229999999999997</v>
      </c>
      <c r="S2634" s="5">
        <v>40.770000000000003</v>
      </c>
      <c r="T2634" s="5">
        <v>39.99</v>
      </c>
      <c r="V2634" s="5">
        <v>40.229999999999997</v>
      </c>
      <c r="Y2634" s="5">
        <v>9927</v>
      </c>
      <c r="Z2634" s="5">
        <v>404041.36</v>
      </c>
      <c r="AA2634" s="5">
        <v>90</v>
      </c>
      <c r="AB2634" s="5" t="s">
        <v>85</v>
      </c>
      <c r="AC2634" s="5">
        <v>1</v>
      </c>
    </row>
    <row r="2635" spans="1:29" x14ac:dyDescent="0.3">
      <c r="A2635" s="34">
        <v>46274</v>
      </c>
      <c r="B2635" s="34">
        <v>46274</v>
      </c>
      <c r="C2635" s="5" t="s">
        <v>78</v>
      </c>
      <c r="D2635" s="5" t="s">
        <v>79</v>
      </c>
      <c r="E2635" s="5" t="s">
        <v>80</v>
      </c>
      <c r="F2635" s="5">
        <v>24596</v>
      </c>
      <c r="G2635" s="5" t="s">
        <v>7990</v>
      </c>
      <c r="H2635" s="5" t="s">
        <v>7991</v>
      </c>
      <c r="I2635" s="5" t="s">
        <v>212</v>
      </c>
      <c r="N2635" s="5" t="s">
        <v>7992</v>
      </c>
      <c r="O2635" s="5">
        <v>154.9</v>
      </c>
      <c r="P2635" s="5">
        <v>156.69</v>
      </c>
      <c r="Q2635" s="5">
        <v>150.5</v>
      </c>
      <c r="R2635" s="5">
        <v>151.94</v>
      </c>
      <c r="S2635" s="5">
        <v>152</v>
      </c>
      <c r="T2635" s="5">
        <v>155.38999999999999</v>
      </c>
      <c r="V2635" s="5">
        <v>151.94</v>
      </c>
      <c r="Y2635" s="5">
        <v>99769</v>
      </c>
      <c r="Z2635" s="5">
        <v>15244197.83</v>
      </c>
      <c r="AA2635" s="5">
        <v>2238</v>
      </c>
      <c r="AB2635" s="5" t="s">
        <v>85</v>
      </c>
      <c r="AC2635" s="5">
        <v>1</v>
      </c>
    </row>
    <row r="2636" spans="1:29" x14ac:dyDescent="0.3">
      <c r="A2636" s="34">
        <v>46274</v>
      </c>
      <c r="B2636" s="34">
        <v>46274</v>
      </c>
      <c r="C2636" s="5" t="s">
        <v>78</v>
      </c>
      <c r="D2636" s="5" t="s">
        <v>79</v>
      </c>
      <c r="E2636" s="5" t="s">
        <v>80</v>
      </c>
      <c r="F2636" s="5">
        <v>25073</v>
      </c>
      <c r="G2636" s="5" t="s">
        <v>7993</v>
      </c>
      <c r="H2636" s="5" t="s">
        <v>7994</v>
      </c>
      <c r="I2636" s="5" t="s">
        <v>212</v>
      </c>
      <c r="N2636" s="5" t="s">
        <v>7995</v>
      </c>
      <c r="O2636" s="5">
        <v>720</v>
      </c>
      <c r="P2636" s="5">
        <v>732</v>
      </c>
      <c r="Q2636" s="5">
        <v>664.5</v>
      </c>
      <c r="R2636" s="5">
        <v>670.45</v>
      </c>
      <c r="S2636" s="5">
        <v>673.3</v>
      </c>
      <c r="T2636" s="5">
        <v>696.85</v>
      </c>
      <c r="V2636" s="5">
        <v>670.45</v>
      </c>
      <c r="Y2636" s="5">
        <v>1149008</v>
      </c>
      <c r="Z2636" s="5">
        <v>795676792.79999995</v>
      </c>
      <c r="AA2636" s="5">
        <v>46083</v>
      </c>
      <c r="AB2636" s="5" t="s">
        <v>85</v>
      </c>
      <c r="AC2636" s="5">
        <v>1</v>
      </c>
    </row>
    <row r="2637" spans="1:29" x14ac:dyDescent="0.3">
      <c r="A2637" s="34">
        <v>46274</v>
      </c>
      <c r="B2637" s="34">
        <v>46274</v>
      </c>
      <c r="C2637" s="5" t="s">
        <v>78</v>
      </c>
      <c r="D2637" s="5" t="s">
        <v>79</v>
      </c>
      <c r="E2637" s="5" t="s">
        <v>80</v>
      </c>
      <c r="F2637" s="5">
        <v>2859</v>
      </c>
      <c r="G2637" s="5" t="s">
        <v>7996</v>
      </c>
      <c r="H2637" s="5" t="s">
        <v>7997</v>
      </c>
      <c r="I2637" s="5" t="s">
        <v>212</v>
      </c>
      <c r="N2637" s="5" t="s">
        <v>7998</v>
      </c>
      <c r="O2637" s="5">
        <v>834.5</v>
      </c>
      <c r="P2637" s="5">
        <v>834.5</v>
      </c>
      <c r="Q2637" s="5">
        <v>773.5</v>
      </c>
      <c r="R2637" s="5">
        <v>808.45</v>
      </c>
      <c r="S2637" s="5">
        <v>811.45</v>
      </c>
      <c r="T2637" s="5">
        <v>857.8</v>
      </c>
      <c r="V2637" s="5">
        <v>808.47</v>
      </c>
      <c r="Y2637" s="5">
        <v>5497465</v>
      </c>
      <c r="Z2637" s="5">
        <v>4396377209.0500002</v>
      </c>
      <c r="AA2637" s="5">
        <v>134605</v>
      </c>
      <c r="AB2637" s="5" t="s">
        <v>85</v>
      </c>
      <c r="AC2637" s="5">
        <v>1</v>
      </c>
    </row>
    <row r="2638" spans="1:29" x14ac:dyDescent="0.3">
      <c r="A2638" s="34">
        <v>46274</v>
      </c>
      <c r="B2638" s="34">
        <v>46274</v>
      </c>
      <c r="C2638" s="5" t="s">
        <v>78</v>
      </c>
      <c r="D2638" s="5" t="s">
        <v>79</v>
      </c>
      <c r="E2638" s="5" t="s">
        <v>80</v>
      </c>
      <c r="F2638" s="5">
        <v>758551</v>
      </c>
      <c r="G2638" s="5" t="s">
        <v>7999</v>
      </c>
      <c r="H2638" s="5" t="s">
        <v>8000</v>
      </c>
      <c r="I2638" s="5" t="s">
        <v>212</v>
      </c>
      <c r="N2638" s="5" t="s">
        <v>8001</v>
      </c>
      <c r="O2638" s="5">
        <v>586</v>
      </c>
      <c r="P2638" s="5">
        <v>596.15</v>
      </c>
      <c r="Q2638" s="5">
        <v>563.6</v>
      </c>
      <c r="R2638" s="5">
        <v>580.65</v>
      </c>
      <c r="S2638" s="5">
        <v>575.29999999999995</v>
      </c>
      <c r="T2638" s="5">
        <v>582.5</v>
      </c>
      <c r="V2638" s="5">
        <v>580.66</v>
      </c>
      <c r="Y2638" s="5">
        <v>684383</v>
      </c>
      <c r="Z2638" s="5">
        <v>396925405.60000002</v>
      </c>
      <c r="AA2638" s="5">
        <v>23663</v>
      </c>
      <c r="AB2638" s="5" t="s">
        <v>85</v>
      </c>
      <c r="AC2638" s="5">
        <v>1</v>
      </c>
    </row>
    <row r="2639" spans="1:29" x14ac:dyDescent="0.3">
      <c r="A2639" s="34">
        <v>46274</v>
      </c>
      <c r="B2639" s="34">
        <v>46274</v>
      </c>
      <c r="C2639" s="5" t="s">
        <v>78</v>
      </c>
      <c r="D2639" s="5" t="s">
        <v>79</v>
      </c>
      <c r="E2639" s="5" t="s">
        <v>80</v>
      </c>
      <c r="F2639" s="5">
        <v>765937</v>
      </c>
      <c r="G2639" s="5" t="s">
        <v>8002</v>
      </c>
      <c r="H2639" s="5" t="s">
        <v>8003</v>
      </c>
      <c r="I2639" s="5" t="s">
        <v>234</v>
      </c>
      <c r="N2639" s="5" t="s">
        <v>8004</v>
      </c>
      <c r="O2639" s="5">
        <v>222</v>
      </c>
      <c r="P2639" s="5">
        <v>236</v>
      </c>
      <c r="Q2639" s="5">
        <v>216.93</v>
      </c>
      <c r="R2639" s="5">
        <v>229.81</v>
      </c>
      <c r="S2639" s="5">
        <v>230.9</v>
      </c>
      <c r="T2639" s="5">
        <v>228.34</v>
      </c>
      <c r="V2639" s="5">
        <v>230.02</v>
      </c>
      <c r="Y2639" s="5">
        <v>420436</v>
      </c>
      <c r="Z2639" s="5">
        <v>95394613.549999997</v>
      </c>
      <c r="AA2639" s="5">
        <v>4077</v>
      </c>
      <c r="AB2639" s="5" t="s">
        <v>85</v>
      </c>
      <c r="AC2639" s="5">
        <v>1</v>
      </c>
    </row>
    <row r="2640" spans="1:29" x14ac:dyDescent="0.3">
      <c r="A2640" s="34">
        <v>46274</v>
      </c>
      <c r="B2640" s="34">
        <v>46274</v>
      </c>
      <c r="C2640" s="5" t="s">
        <v>78</v>
      </c>
      <c r="D2640" s="5" t="s">
        <v>79</v>
      </c>
      <c r="E2640" s="5" t="s">
        <v>80</v>
      </c>
      <c r="F2640" s="5">
        <v>18391</v>
      </c>
      <c r="G2640" s="5" t="s">
        <v>8005</v>
      </c>
      <c r="H2640" s="5" t="s">
        <v>8006</v>
      </c>
      <c r="I2640" s="5" t="s">
        <v>212</v>
      </c>
      <c r="N2640" s="5" t="s">
        <v>8007</v>
      </c>
      <c r="O2640" s="5">
        <v>415.3</v>
      </c>
      <c r="P2640" s="5">
        <v>420.4</v>
      </c>
      <c r="Q2640" s="5">
        <v>414.7</v>
      </c>
      <c r="R2640" s="5">
        <v>416</v>
      </c>
      <c r="S2640" s="5">
        <v>416</v>
      </c>
      <c r="T2640" s="5">
        <v>418.5</v>
      </c>
      <c r="V2640" s="5">
        <v>416</v>
      </c>
      <c r="Y2640" s="5">
        <v>3908840</v>
      </c>
      <c r="Z2640" s="5">
        <v>1633237686</v>
      </c>
      <c r="AA2640" s="5">
        <v>44022</v>
      </c>
      <c r="AB2640" s="5" t="s">
        <v>85</v>
      </c>
      <c r="AC2640" s="5">
        <v>1</v>
      </c>
    </row>
    <row r="2641" spans="1:29" x14ac:dyDescent="0.3">
      <c r="A2641" s="34">
        <v>46274</v>
      </c>
      <c r="B2641" s="34">
        <v>46274</v>
      </c>
      <c r="C2641" s="5" t="s">
        <v>78</v>
      </c>
      <c r="D2641" s="5" t="s">
        <v>79</v>
      </c>
      <c r="E2641" s="5" t="s">
        <v>80</v>
      </c>
      <c r="F2641" s="5">
        <v>13570</v>
      </c>
      <c r="G2641" s="5" t="s">
        <v>8008</v>
      </c>
      <c r="H2641" s="5" t="s">
        <v>8009</v>
      </c>
      <c r="I2641" s="5" t="s">
        <v>313</v>
      </c>
      <c r="N2641" s="5" t="s">
        <v>8010</v>
      </c>
      <c r="O2641" s="5">
        <v>286</v>
      </c>
      <c r="P2641" s="5">
        <v>330.9</v>
      </c>
      <c r="Q2641" s="5">
        <v>286</v>
      </c>
      <c r="R2641" s="5">
        <v>318.89999999999998</v>
      </c>
      <c r="S2641" s="5">
        <v>319.95</v>
      </c>
      <c r="T2641" s="5">
        <v>275.75</v>
      </c>
      <c r="V2641" s="5">
        <v>318.89999999999998</v>
      </c>
      <c r="Y2641" s="5">
        <v>252000</v>
      </c>
      <c r="Z2641" s="5">
        <v>79627410</v>
      </c>
      <c r="AA2641" s="5">
        <v>936</v>
      </c>
      <c r="AB2641" s="5" t="s">
        <v>85</v>
      </c>
      <c r="AC2641" s="5">
        <v>200</v>
      </c>
    </row>
    <row r="2642" spans="1:29" x14ac:dyDescent="0.3">
      <c r="A2642" s="34">
        <v>46274</v>
      </c>
      <c r="B2642" s="34">
        <v>46274</v>
      </c>
      <c r="C2642" s="5" t="s">
        <v>78</v>
      </c>
      <c r="D2642" s="5" t="s">
        <v>79</v>
      </c>
      <c r="E2642" s="5" t="s">
        <v>80</v>
      </c>
      <c r="F2642" s="5">
        <v>20893</v>
      </c>
      <c r="G2642" s="5" t="s">
        <v>8011</v>
      </c>
      <c r="H2642" s="5" t="s">
        <v>8012</v>
      </c>
      <c r="I2642" s="5" t="s">
        <v>234</v>
      </c>
      <c r="N2642" s="5" t="s">
        <v>8013</v>
      </c>
      <c r="O2642" s="5">
        <v>179.5</v>
      </c>
      <c r="P2642" s="5">
        <v>189</v>
      </c>
      <c r="Q2642" s="5">
        <v>172.13</v>
      </c>
      <c r="R2642" s="5">
        <v>173.6</v>
      </c>
      <c r="S2642" s="5">
        <v>173.93</v>
      </c>
      <c r="T2642" s="5">
        <v>181.18</v>
      </c>
      <c r="V2642" s="5">
        <v>173.65</v>
      </c>
      <c r="Y2642" s="5">
        <v>240256</v>
      </c>
      <c r="Z2642" s="5">
        <v>42186587.770000003</v>
      </c>
      <c r="AA2642" s="5">
        <v>1531</v>
      </c>
      <c r="AB2642" s="5" t="s">
        <v>85</v>
      </c>
      <c r="AC2642" s="5">
        <v>1</v>
      </c>
    </row>
    <row r="2643" spans="1:29" x14ac:dyDescent="0.3">
      <c r="A2643" s="34">
        <v>46274</v>
      </c>
      <c r="B2643" s="34">
        <v>46274</v>
      </c>
      <c r="C2643" s="5" t="s">
        <v>78</v>
      </c>
      <c r="D2643" s="5" t="s">
        <v>79</v>
      </c>
      <c r="E2643" s="5" t="s">
        <v>80</v>
      </c>
      <c r="F2643" s="5">
        <v>764850</v>
      </c>
      <c r="G2643" s="5" t="s">
        <v>8014</v>
      </c>
      <c r="H2643" s="5" t="s">
        <v>8015</v>
      </c>
      <c r="I2643" s="5" t="s">
        <v>212</v>
      </c>
      <c r="N2643" s="5" t="s">
        <v>8016</v>
      </c>
      <c r="O2643" s="5">
        <v>130</v>
      </c>
      <c r="P2643" s="5">
        <v>133</v>
      </c>
      <c r="Q2643" s="5">
        <v>130</v>
      </c>
      <c r="R2643" s="5">
        <v>132.04</v>
      </c>
      <c r="S2643" s="5">
        <v>132</v>
      </c>
      <c r="T2643" s="5">
        <v>130.01</v>
      </c>
      <c r="V2643" s="5">
        <v>132.38999999999999</v>
      </c>
      <c r="Y2643" s="5">
        <v>450</v>
      </c>
      <c r="Z2643" s="5">
        <v>59387</v>
      </c>
      <c r="AA2643" s="5">
        <v>13</v>
      </c>
      <c r="AB2643" s="5" t="s">
        <v>85</v>
      </c>
      <c r="AC2643" s="5">
        <v>1</v>
      </c>
    </row>
    <row r="2644" spans="1:29" x14ac:dyDescent="0.3">
      <c r="A2644" s="34">
        <v>46274</v>
      </c>
      <c r="B2644" s="34">
        <v>46274</v>
      </c>
      <c r="C2644" s="5" t="s">
        <v>78</v>
      </c>
      <c r="D2644" s="5" t="s">
        <v>79</v>
      </c>
      <c r="E2644" s="5" t="s">
        <v>80</v>
      </c>
      <c r="F2644" s="5">
        <v>29561</v>
      </c>
      <c r="G2644" s="5" t="s">
        <v>8017</v>
      </c>
      <c r="H2644" s="5" t="s">
        <v>8018</v>
      </c>
      <c r="I2644" s="5" t="s">
        <v>313</v>
      </c>
      <c r="N2644" s="5" t="s">
        <v>8019</v>
      </c>
      <c r="O2644" s="5">
        <v>72.5</v>
      </c>
      <c r="P2644" s="5">
        <v>72.5</v>
      </c>
      <c r="Q2644" s="5">
        <v>67</v>
      </c>
      <c r="R2644" s="5">
        <v>68.5</v>
      </c>
      <c r="S2644" s="5">
        <v>69</v>
      </c>
      <c r="T2644" s="5">
        <v>73.099999999999994</v>
      </c>
      <c r="V2644" s="5">
        <v>68.5</v>
      </c>
      <c r="Y2644" s="5">
        <v>90000</v>
      </c>
      <c r="Z2644" s="5">
        <v>6275900</v>
      </c>
      <c r="AA2644" s="5">
        <v>69</v>
      </c>
      <c r="AB2644" s="5" t="s">
        <v>85</v>
      </c>
      <c r="AC2644" s="5">
        <v>1000</v>
      </c>
    </row>
    <row r="2645" spans="1:29" x14ac:dyDescent="0.3">
      <c r="A2645" s="34">
        <v>46274</v>
      </c>
      <c r="B2645" s="34">
        <v>46274</v>
      </c>
      <c r="C2645" s="5" t="s">
        <v>78</v>
      </c>
      <c r="D2645" s="5" t="s">
        <v>79</v>
      </c>
      <c r="E2645" s="5" t="s">
        <v>80</v>
      </c>
      <c r="F2645" s="5">
        <v>15355</v>
      </c>
      <c r="G2645" s="5" t="s">
        <v>8020</v>
      </c>
      <c r="H2645" s="5" t="s">
        <v>8021</v>
      </c>
      <c r="I2645" s="5" t="s">
        <v>212</v>
      </c>
      <c r="N2645" s="5" t="s">
        <v>8022</v>
      </c>
      <c r="O2645" s="5">
        <v>316.55</v>
      </c>
      <c r="P2645" s="5">
        <v>317.35000000000002</v>
      </c>
      <c r="Q2645" s="5">
        <v>313.60000000000002</v>
      </c>
      <c r="R2645" s="5">
        <v>314.5</v>
      </c>
      <c r="S2645" s="5">
        <v>314.5</v>
      </c>
      <c r="T2645" s="5">
        <v>317.85000000000002</v>
      </c>
      <c r="V2645" s="5">
        <v>314.5</v>
      </c>
      <c r="Y2645" s="5">
        <v>3145078</v>
      </c>
      <c r="Z2645" s="5">
        <v>994303524.29999995</v>
      </c>
      <c r="AA2645" s="5">
        <v>27012</v>
      </c>
      <c r="AB2645" s="5" t="s">
        <v>85</v>
      </c>
      <c r="AC2645" s="5">
        <v>1</v>
      </c>
    </row>
    <row r="2646" spans="1:29" x14ac:dyDescent="0.3">
      <c r="A2646" s="34">
        <v>46274</v>
      </c>
      <c r="B2646" s="34">
        <v>46274</v>
      </c>
      <c r="C2646" s="5" t="s">
        <v>78</v>
      </c>
      <c r="D2646" s="5" t="s">
        <v>79</v>
      </c>
      <c r="E2646" s="5" t="s">
        <v>80</v>
      </c>
      <c r="F2646" s="5">
        <v>14255</v>
      </c>
      <c r="G2646" s="5" t="s">
        <v>8023</v>
      </c>
      <c r="H2646" s="5" t="s">
        <v>8024</v>
      </c>
      <c r="I2646" s="5" t="s">
        <v>212</v>
      </c>
      <c r="N2646" s="5" t="s">
        <v>8025</v>
      </c>
      <c r="O2646" s="5">
        <v>376</v>
      </c>
      <c r="P2646" s="5">
        <v>382.7</v>
      </c>
      <c r="Q2646" s="5">
        <v>374.05</v>
      </c>
      <c r="R2646" s="5">
        <v>378.05</v>
      </c>
      <c r="S2646" s="5">
        <v>378.5</v>
      </c>
      <c r="T2646" s="5">
        <v>373.55</v>
      </c>
      <c r="V2646" s="5">
        <v>378.04</v>
      </c>
      <c r="Y2646" s="5">
        <v>4173283</v>
      </c>
      <c r="Z2646" s="5">
        <v>1579198984.3499999</v>
      </c>
      <c r="AA2646" s="5">
        <v>61667</v>
      </c>
      <c r="AB2646" s="5" t="s">
        <v>85</v>
      </c>
      <c r="AC2646" s="5">
        <v>1</v>
      </c>
    </row>
    <row r="2647" spans="1:29" x14ac:dyDescent="0.3">
      <c r="A2647" s="34">
        <v>46274</v>
      </c>
      <c r="B2647" s="34">
        <v>46274</v>
      </c>
      <c r="C2647" s="5" t="s">
        <v>78</v>
      </c>
      <c r="D2647" s="5" t="s">
        <v>79</v>
      </c>
      <c r="E2647" s="5" t="s">
        <v>80</v>
      </c>
      <c r="F2647" s="5">
        <v>17859</v>
      </c>
      <c r="G2647" s="5" t="s">
        <v>8026</v>
      </c>
      <c r="H2647" s="5" t="s">
        <v>8027</v>
      </c>
      <c r="I2647" s="5" t="s">
        <v>212</v>
      </c>
      <c r="N2647" s="5" t="s">
        <v>8028</v>
      </c>
      <c r="O2647" s="5">
        <v>115</v>
      </c>
      <c r="P2647" s="5">
        <v>117.15</v>
      </c>
      <c r="Q2647" s="5">
        <v>113.15</v>
      </c>
      <c r="R2647" s="5">
        <v>116.57</v>
      </c>
      <c r="S2647" s="5">
        <v>117.15</v>
      </c>
      <c r="T2647" s="5">
        <v>115.58</v>
      </c>
      <c r="V2647" s="5">
        <v>116.57</v>
      </c>
      <c r="Y2647" s="5">
        <v>321602</v>
      </c>
      <c r="Z2647" s="5">
        <v>37147755.950000003</v>
      </c>
      <c r="AA2647" s="5">
        <v>6630</v>
      </c>
      <c r="AB2647" s="5" t="s">
        <v>85</v>
      </c>
      <c r="AC2647" s="5">
        <v>1</v>
      </c>
    </row>
    <row r="2648" spans="1:29" x14ac:dyDescent="0.3">
      <c r="A2648" s="34">
        <v>46274</v>
      </c>
      <c r="B2648" s="34">
        <v>46274</v>
      </c>
      <c r="C2648" s="5" t="s">
        <v>78</v>
      </c>
      <c r="D2648" s="5" t="s">
        <v>79</v>
      </c>
      <c r="E2648" s="5" t="s">
        <v>80</v>
      </c>
      <c r="F2648" s="5">
        <v>17764</v>
      </c>
      <c r="G2648" s="5" t="s">
        <v>8029</v>
      </c>
      <c r="H2648" s="5" t="s">
        <v>8030</v>
      </c>
      <c r="I2648" s="5" t="s">
        <v>212</v>
      </c>
      <c r="N2648" s="5" t="s">
        <v>8031</v>
      </c>
      <c r="O2648" s="5">
        <v>275.25</v>
      </c>
      <c r="P2648" s="5">
        <v>276.75</v>
      </c>
      <c r="Q2648" s="5">
        <v>271.10000000000002</v>
      </c>
      <c r="R2648" s="5">
        <v>273.14999999999998</v>
      </c>
      <c r="S2648" s="5">
        <v>275</v>
      </c>
      <c r="T2648" s="5">
        <v>275.85000000000002</v>
      </c>
      <c r="V2648" s="5">
        <v>273.14999999999998</v>
      </c>
      <c r="Y2648" s="5">
        <v>177778</v>
      </c>
      <c r="Z2648" s="5">
        <v>48620008.799999997</v>
      </c>
      <c r="AA2648" s="5">
        <v>5192</v>
      </c>
      <c r="AB2648" s="5" t="s">
        <v>85</v>
      </c>
      <c r="AC2648" s="5">
        <v>1</v>
      </c>
    </row>
    <row r="2649" spans="1:29" x14ac:dyDescent="0.3">
      <c r="A2649" s="34">
        <v>46274</v>
      </c>
      <c r="B2649" s="34">
        <v>46274</v>
      </c>
      <c r="C2649" s="5" t="s">
        <v>78</v>
      </c>
      <c r="D2649" s="5" t="s">
        <v>79</v>
      </c>
      <c r="E2649" s="5" t="s">
        <v>80</v>
      </c>
      <c r="F2649" s="5">
        <v>23718</v>
      </c>
      <c r="G2649" s="5" t="s">
        <v>8032</v>
      </c>
      <c r="H2649" s="5" t="s">
        <v>8033</v>
      </c>
      <c r="I2649" s="5" t="s">
        <v>313</v>
      </c>
      <c r="N2649" s="5" t="s">
        <v>8034</v>
      </c>
      <c r="O2649" s="5">
        <v>23.5</v>
      </c>
      <c r="P2649" s="5">
        <v>24.05</v>
      </c>
      <c r="Q2649" s="5">
        <v>23.5</v>
      </c>
      <c r="R2649" s="5">
        <v>23.85</v>
      </c>
      <c r="S2649" s="5">
        <v>23.7</v>
      </c>
      <c r="T2649" s="5">
        <v>24.1</v>
      </c>
      <c r="V2649" s="5">
        <v>23.85</v>
      </c>
      <c r="Y2649" s="5">
        <v>12000</v>
      </c>
      <c r="Z2649" s="5">
        <v>285850</v>
      </c>
      <c r="AA2649" s="5">
        <v>10</v>
      </c>
      <c r="AB2649" s="5" t="s">
        <v>85</v>
      </c>
      <c r="AC2649" s="5">
        <v>1000</v>
      </c>
    </row>
    <row r="2650" spans="1:29" x14ac:dyDescent="0.3">
      <c r="A2650" s="34">
        <v>46274</v>
      </c>
      <c r="B2650" s="34">
        <v>46274</v>
      </c>
      <c r="C2650" s="5" t="s">
        <v>78</v>
      </c>
      <c r="D2650" s="5" t="s">
        <v>79</v>
      </c>
      <c r="E2650" s="5" t="s">
        <v>80</v>
      </c>
      <c r="F2650" s="5">
        <v>758680</v>
      </c>
      <c r="G2650" s="5" t="s">
        <v>8035</v>
      </c>
      <c r="H2650" s="5" t="s">
        <v>8036</v>
      </c>
      <c r="I2650" s="5" t="s">
        <v>212</v>
      </c>
      <c r="N2650" s="5" t="s">
        <v>8037</v>
      </c>
      <c r="O2650" s="5">
        <v>87.87</v>
      </c>
      <c r="P2650" s="5">
        <v>87.87</v>
      </c>
      <c r="Q2650" s="5">
        <v>84.5</v>
      </c>
      <c r="R2650" s="5">
        <v>85.8</v>
      </c>
      <c r="S2650" s="5">
        <v>86.26</v>
      </c>
      <c r="T2650" s="5">
        <v>87.3</v>
      </c>
      <c r="V2650" s="5">
        <v>85.75</v>
      </c>
      <c r="Y2650" s="5">
        <v>260510</v>
      </c>
      <c r="Z2650" s="5">
        <v>22397841</v>
      </c>
      <c r="AA2650" s="5">
        <v>2037</v>
      </c>
      <c r="AB2650" s="5" t="s">
        <v>85</v>
      </c>
      <c r="AC2650" s="5">
        <v>1</v>
      </c>
    </row>
    <row r="2651" spans="1:29" x14ac:dyDescent="0.3">
      <c r="A2651" s="34">
        <v>46274</v>
      </c>
      <c r="B2651" s="34">
        <v>46274</v>
      </c>
      <c r="C2651" s="5" t="s">
        <v>78</v>
      </c>
      <c r="D2651" s="5" t="s">
        <v>79</v>
      </c>
      <c r="E2651" s="5" t="s">
        <v>80</v>
      </c>
      <c r="F2651" s="5">
        <v>4130</v>
      </c>
      <c r="G2651" s="5" t="s">
        <v>8038</v>
      </c>
      <c r="H2651" s="5" t="s">
        <v>8039</v>
      </c>
      <c r="I2651" s="5" t="s">
        <v>212</v>
      </c>
      <c r="N2651" s="5" t="s">
        <v>8040</v>
      </c>
      <c r="O2651" s="5">
        <v>33.56</v>
      </c>
      <c r="P2651" s="5">
        <v>35.869999999999997</v>
      </c>
      <c r="Q2651" s="5">
        <v>32.51</v>
      </c>
      <c r="R2651" s="5">
        <v>35.49</v>
      </c>
      <c r="S2651" s="5">
        <v>35.5</v>
      </c>
      <c r="T2651" s="5">
        <v>34.229999999999997</v>
      </c>
      <c r="V2651" s="5">
        <v>35.49</v>
      </c>
      <c r="Y2651" s="5">
        <v>2140</v>
      </c>
      <c r="Z2651" s="5">
        <v>74753.09</v>
      </c>
      <c r="AA2651" s="5">
        <v>60</v>
      </c>
      <c r="AB2651" s="5" t="s">
        <v>85</v>
      </c>
      <c r="AC2651" s="5">
        <v>1</v>
      </c>
    </row>
    <row r="2652" spans="1:29" x14ac:dyDescent="0.3">
      <c r="A2652" s="34">
        <v>46274</v>
      </c>
      <c r="B2652" s="34">
        <v>46274</v>
      </c>
      <c r="C2652" s="5" t="s">
        <v>78</v>
      </c>
      <c r="D2652" s="5" t="s">
        <v>79</v>
      </c>
      <c r="E2652" s="5" t="s">
        <v>80</v>
      </c>
      <c r="F2652" s="5">
        <v>24225</v>
      </c>
      <c r="G2652" s="5" t="s">
        <v>8041</v>
      </c>
      <c r="H2652" s="5" t="s">
        <v>8042</v>
      </c>
      <c r="I2652" s="5" t="s">
        <v>212</v>
      </c>
      <c r="N2652" s="5" t="s">
        <v>8043</v>
      </c>
      <c r="O2652" s="5">
        <v>332.25</v>
      </c>
      <c r="P2652" s="5">
        <v>333.9</v>
      </c>
      <c r="Q2652" s="5">
        <v>325.10000000000002</v>
      </c>
      <c r="R2652" s="5">
        <v>326.10000000000002</v>
      </c>
      <c r="S2652" s="5">
        <v>328</v>
      </c>
      <c r="T2652" s="5">
        <v>333.7</v>
      </c>
      <c r="V2652" s="5">
        <v>326.16000000000003</v>
      </c>
      <c r="Y2652" s="5">
        <v>121497</v>
      </c>
      <c r="Z2652" s="5">
        <v>39836449.200000003</v>
      </c>
      <c r="AA2652" s="5">
        <v>6169</v>
      </c>
      <c r="AB2652" s="5" t="s">
        <v>85</v>
      </c>
      <c r="AC2652" s="5">
        <v>1</v>
      </c>
    </row>
    <row r="2653" spans="1:29" x14ac:dyDescent="0.3">
      <c r="A2653" s="34">
        <v>46274</v>
      </c>
      <c r="B2653" s="34">
        <v>46274</v>
      </c>
      <c r="C2653" s="5" t="s">
        <v>78</v>
      </c>
      <c r="D2653" s="5" t="s">
        <v>79</v>
      </c>
      <c r="E2653" s="5" t="s">
        <v>80</v>
      </c>
      <c r="F2653" s="5">
        <v>3172</v>
      </c>
      <c r="G2653" s="5" t="s">
        <v>8044</v>
      </c>
      <c r="H2653" s="5" t="s">
        <v>8045</v>
      </c>
      <c r="I2653" s="5" t="s">
        <v>212</v>
      </c>
      <c r="N2653" s="5" t="s">
        <v>8046</v>
      </c>
      <c r="O2653" s="5">
        <v>66.33</v>
      </c>
      <c r="P2653" s="5">
        <v>66.48</v>
      </c>
      <c r="Q2653" s="5">
        <v>66.260000000000005</v>
      </c>
      <c r="R2653" s="5">
        <v>66.36</v>
      </c>
      <c r="S2653" s="5">
        <v>66.319999999999993</v>
      </c>
      <c r="T2653" s="5">
        <v>66.33</v>
      </c>
      <c r="V2653" s="5">
        <v>66.36</v>
      </c>
      <c r="Y2653" s="5">
        <v>181566</v>
      </c>
      <c r="Z2653" s="5">
        <v>12059425.83</v>
      </c>
      <c r="AA2653" s="5">
        <v>412</v>
      </c>
      <c r="AB2653" s="5" t="s">
        <v>85</v>
      </c>
      <c r="AC2653" s="5">
        <v>1</v>
      </c>
    </row>
    <row r="2654" spans="1:29" x14ac:dyDescent="0.3">
      <c r="A2654" s="34">
        <v>46274</v>
      </c>
      <c r="B2654" s="34">
        <v>46274</v>
      </c>
      <c r="C2654" s="5" t="s">
        <v>78</v>
      </c>
      <c r="D2654" s="5" t="s">
        <v>79</v>
      </c>
      <c r="E2654" s="5" t="s">
        <v>80</v>
      </c>
      <c r="F2654" s="5">
        <v>24378</v>
      </c>
      <c r="G2654" s="5" t="s">
        <v>8047</v>
      </c>
      <c r="H2654" s="5" t="s">
        <v>8048</v>
      </c>
      <c r="I2654" s="5" t="s">
        <v>212</v>
      </c>
      <c r="N2654" s="5" t="s">
        <v>8049</v>
      </c>
      <c r="O2654" s="5">
        <v>141.93</v>
      </c>
      <c r="P2654" s="5">
        <v>142.5</v>
      </c>
      <c r="Q2654" s="5">
        <v>133.21</v>
      </c>
      <c r="R2654" s="5">
        <v>135.9</v>
      </c>
      <c r="S2654" s="5">
        <v>137</v>
      </c>
      <c r="T2654" s="5">
        <v>140.66999999999999</v>
      </c>
      <c r="V2654" s="5">
        <v>135.88</v>
      </c>
      <c r="Y2654" s="5">
        <v>26731</v>
      </c>
      <c r="Z2654" s="5">
        <v>3695764.66</v>
      </c>
      <c r="AA2654" s="5">
        <v>1253</v>
      </c>
      <c r="AB2654" s="5" t="s">
        <v>85</v>
      </c>
      <c r="AC2654" s="5">
        <v>1</v>
      </c>
    </row>
    <row r="2655" spans="1:29" x14ac:dyDescent="0.3">
      <c r="A2655" s="34">
        <v>46274</v>
      </c>
      <c r="B2655" s="34">
        <v>46274</v>
      </c>
      <c r="C2655" s="5" t="s">
        <v>78</v>
      </c>
      <c r="D2655" s="5" t="s">
        <v>79</v>
      </c>
      <c r="E2655" s="5" t="s">
        <v>80</v>
      </c>
      <c r="F2655" s="5">
        <v>9652</v>
      </c>
      <c r="G2655" s="5" t="s">
        <v>8050</v>
      </c>
      <c r="H2655" s="5" t="s">
        <v>8051</v>
      </c>
      <c r="I2655" s="5" t="s">
        <v>212</v>
      </c>
      <c r="N2655" s="5" t="s">
        <v>8052</v>
      </c>
      <c r="O2655" s="5">
        <v>116</v>
      </c>
      <c r="P2655" s="5">
        <v>116</v>
      </c>
      <c r="Q2655" s="5">
        <v>113.3</v>
      </c>
      <c r="R2655" s="5">
        <v>115.38</v>
      </c>
      <c r="S2655" s="5">
        <v>115.4</v>
      </c>
      <c r="T2655" s="5">
        <v>114.09</v>
      </c>
      <c r="V2655" s="5">
        <v>115.34</v>
      </c>
      <c r="Y2655" s="5">
        <v>994</v>
      </c>
      <c r="Z2655" s="5">
        <v>114704.96000000001</v>
      </c>
      <c r="AA2655" s="5">
        <v>41</v>
      </c>
      <c r="AB2655" s="5" t="s">
        <v>85</v>
      </c>
      <c r="AC2655" s="5">
        <v>1</v>
      </c>
    </row>
    <row r="2656" spans="1:29" x14ac:dyDescent="0.3">
      <c r="A2656" s="34">
        <v>46274</v>
      </c>
      <c r="B2656" s="34">
        <v>46274</v>
      </c>
      <c r="C2656" s="5" t="s">
        <v>78</v>
      </c>
      <c r="D2656" s="5" t="s">
        <v>79</v>
      </c>
      <c r="E2656" s="5" t="s">
        <v>80</v>
      </c>
      <c r="F2656" s="5">
        <v>13188</v>
      </c>
      <c r="G2656" s="5" t="s">
        <v>8053</v>
      </c>
      <c r="H2656" s="5" t="s">
        <v>8054</v>
      </c>
      <c r="I2656" s="5" t="s">
        <v>234</v>
      </c>
      <c r="N2656" s="5" t="s">
        <v>8055</v>
      </c>
      <c r="O2656" s="5">
        <v>0.92</v>
      </c>
      <c r="P2656" s="5">
        <v>0.93</v>
      </c>
      <c r="Q2656" s="5">
        <v>0.91</v>
      </c>
      <c r="R2656" s="5">
        <v>0.93</v>
      </c>
      <c r="S2656" s="5">
        <v>0.93</v>
      </c>
      <c r="T2656" s="5">
        <v>0.89</v>
      </c>
      <c r="V2656" s="5">
        <v>0.93</v>
      </c>
      <c r="Y2656" s="5">
        <v>4345641</v>
      </c>
      <c r="Z2656" s="5">
        <v>4035566.61</v>
      </c>
      <c r="AA2656" s="5">
        <v>1992</v>
      </c>
      <c r="AB2656" s="5" t="s">
        <v>85</v>
      </c>
      <c r="AC2656" s="5">
        <v>1</v>
      </c>
    </row>
    <row r="2657" spans="1:29" x14ac:dyDescent="0.3">
      <c r="A2657" s="34">
        <v>46274</v>
      </c>
      <c r="B2657" s="34">
        <v>46274</v>
      </c>
      <c r="C2657" s="5" t="s">
        <v>78</v>
      </c>
      <c r="D2657" s="5" t="s">
        <v>79</v>
      </c>
      <c r="E2657" s="5" t="s">
        <v>80</v>
      </c>
      <c r="F2657" s="5">
        <v>759204</v>
      </c>
      <c r="G2657" s="5" t="s">
        <v>8056</v>
      </c>
      <c r="H2657" s="5" t="s">
        <v>8057</v>
      </c>
      <c r="I2657" s="5" t="s">
        <v>614</v>
      </c>
      <c r="N2657" s="5" t="s">
        <v>8058</v>
      </c>
      <c r="O2657" s="5">
        <v>1.84</v>
      </c>
      <c r="P2657" s="5">
        <v>1.84</v>
      </c>
      <c r="Q2657" s="5">
        <v>1.77</v>
      </c>
      <c r="R2657" s="5">
        <v>1.8</v>
      </c>
      <c r="S2657" s="5">
        <v>1.79</v>
      </c>
      <c r="T2657" s="5">
        <v>1.81</v>
      </c>
      <c r="V2657" s="5">
        <v>1.8</v>
      </c>
      <c r="Y2657" s="5">
        <v>467505</v>
      </c>
      <c r="Z2657" s="5">
        <v>839575.39</v>
      </c>
      <c r="AA2657" s="5">
        <v>755</v>
      </c>
      <c r="AB2657" s="5" t="s">
        <v>85</v>
      </c>
      <c r="AC2657" s="5">
        <v>1</v>
      </c>
    </row>
    <row r="2658" spans="1:29" x14ac:dyDescent="0.3">
      <c r="A2658" s="34">
        <v>46274</v>
      </c>
      <c r="B2658" s="34">
        <v>46274</v>
      </c>
      <c r="C2658" s="5" t="s">
        <v>78</v>
      </c>
      <c r="D2658" s="5" t="s">
        <v>79</v>
      </c>
      <c r="E2658" s="5" t="s">
        <v>80</v>
      </c>
      <c r="F2658" s="5">
        <v>2912</v>
      </c>
      <c r="G2658" s="5" t="s">
        <v>8059</v>
      </c>
      <c r="H2658" s="5" t="s">
        <v>8060</v>
      </c>
      <c r="I2658" s="5" t="s">
        <v>212</v>
      </c>
      <c r="N2658" s="5" t="s">
        <v>8061</v>
      </c>
      <c r="O2658" s="5">
        <v>730.8</v>
      </c>
      <c r="P2658" s="5">
        <v>738.3</v>
      </c>
      <c r="Q2658" s="5">
        <v>723.3</v>
      </c>
      <c r="R2658" s="5">
        <v>724.95</v>
      </c>
      <c r="S2658" s="5">
        <v>723.5</v>
      </c>
      <c r="T2658" s="5">
        <v>729.7</v>
      </c>
      <c r="V2658" s="5">
        <v>724.93</v>
      </c>
      <c r="Y2658" s="5">
        <v>44392</v>
      </c>
      <c r="Z2658" s="5">
        <v>32355116.350000001</v>
      </c>
      <c r="AA2658" s="5">
        <v>2101</v>
      </c>
      <c r="AB2658" s="5" t="s">
        <v>85</v>
      </c>
      <c r="AC2658" s="5">
        <v>1</v>
      </c>
    </row>
    <row r="2659" spans="1:29" x14ac:dyDescent="0.3">
      <c r="A2659" s="34">
        <v>46274</v>
      </c>
      <c r="B2659" s="34">
        <v>46274</v>
      </c>
      <c r="C2659" s="5" t="s">
        <v>78</v>
      </c>
      <c r="D2659" s="5" t="s">
        <v>79</v>
      </c>
      <c r="E2659" s="5" t="s">
        <v>80</v>
      </c>
      <c r="F2659" s="5">
        <v>2885</v>
      </c>
      <c r="G2659" s="5" t="s">
        <v>8062</v>
      </c>
      <c r="H2659" s="5" t="s">
        <v>8063</v>
      </c>
      <c r="I2659" s="5" t="s">
        <v>212</v>
      </c>
      <c r="N2659" s="5" t="s">
        <v>8064</v>
      </c>
      <c r="O2659" s="5">
        <v>1283.5</v>
      </c>
      <c r="P2659" s="5">
        <v>1294.7</v>
      </c>
      <c r="Q2659" s="5">
        <v>1277.2</v>
      </c>
      <c r="R2659" s="5">
        <v>1279</v>
      </c>
      <c r="S2659" s="5">
        <v>1279</v>
      </c>
      <c r="T2659" s="5">
        <v>1294.9000000000001</v>
      </c>
      <c r="V2659" s="5">
        <v>1279.02</v>
      </c>
      <c r="Y2659" s="5">
        <v>12152819</v>
      </c>
      <c r="Z2659" s="5">
        <v>15627965472.1</v>
      </c>
      <c r="AA2659" s="5">
        <v>248577</v>
      </c>
      <c r="AB2659" s="5" t="s">
        <v>85</v>
      </c>
      <c r="AC2659" s="5">
        <v>1</v>
      </c>
    </row>
    <row r="2660" spans="1:29" x14ac:dyDescent="0.3">
      <c r="A2660" s="34">
        <v>46274</v>
      </c>
      <c r="B2660" s="34">
        <v>46274</v>
      </c>
      <c r="C2660" s="5" t="s">
        <v>78</v>
      </c>
      <c r="D2660" s="5" t="s">
        <v>79</v>
      </c>
      <c r="E2660" s="5" t="s">
        <v>80</v>
      </c>
      <c r="F2660" s="5">
        <v>4791</v>
      </c>
      <c r="G2660" s="5" t="s">
        <v>8065</v>
      </c>
      <c r="H2660" s="5" t="s">
        <v>8066</v>
      </c>
      <c r="I2660" s="5" t="s">
        <v>234</v>
      </c>
      <c r="N2660" s="5" t="s">
        <v>8067</v>
      </c>
      <c r="O2660" s="5">
        <v>57</v>
      </c>
      <c r="P2660" s="5">
        <v>58</v>
      </c>
      <c r="Q2660" s="5">
        <v>55.86</v>
      </c>
      <c r="R2660" s="5">
        <v>55.86</v>
      </c>
      <c r="S2660" s="5">
        <v>55.86</v>
      </c>
      <c r="T2660" s="5">
        <v>57</v>
      </c>
      <c r="V2660" s="5">
        <v>55.86</v>
      </c>
      <c r="Y2660" s="5">
        <v>231937</v>
      </c>
      <c r="Z2660" s="5">
        <v>13113239.43</v>
      </c>
      <c r="AA2660" s="5">
        <v>1612</v>
      </c>
      <c r="AB2660" s="5" t="s">
        <v>85</v>
      </c>
      <c r="AC2660" s="5">
        <v>1</v>
      </c>
    </row>
    <row r="2661" spans="1:29" x14ac:dyDescent="0.3">
      <c r="A2661" s="34">
        <v>46274</v>
      </c>
      <c r="B2661" s="34">
        <v>46274</v>
      </c>
      <c r="C2661" s="5" t="s">
        <v>78</v>
      </c>
      <c r="D2661" s="5" t="s">
        <v>79</v>
      </c>
      <c r="E2661" s="5" t="s">
        <v>80</v>
      </c>
      <c r="F2661" s="5">
        <v>15259</v>
      </c>
      <c r="G2661" s="5" t="s">
        <v>8068</v>
      </c>
      <c r="H2661" s="5" t="s">
        <v>8069</v>
      </c>
      <c r="I2661" s="5" t="s">
        <v>212</v>
      </c>
      <c r="N2661" s="5" t="s">
        <v>8070</v>
      </c>
      <c r="O2661" s="5">
        <v>21.69</v>
      </c>
      <c r="P2661" s="5">
        <v>22.9</v>
      </c>
      <c r="Q2661" s="5">
        <v>21.62</v>
      </c>
      <c r="R2661" s="5">
        <v>22.01</v>
      </c>
      <c r="S2661" s="5">
        <v>22.01</v>
      </c>
      <c r="T2661" s="5">
        <v>21.71</v>
      </c>
      <c r="V2661" s="5">
        <v>22.01</v>
      </c>
      <c r="Y2661" s="5">
        <v>72139512</v>
      </c>
      <c r="Z2661" s="5">
        <v>1612896369.97</v>
      </c>
      <c r="AA2661" s="5">
        <v>84223</v>
      </c>
      <c r="AB2661" s="5" t="s">
        <v>85</v>
      </c>
      <c r="AC2661" s="5">
        <v>1</v>
      </c>
    </row>
    <row r="2662" spans="1:29" x14ac:dyDescent="0.3">
      <c r="A2662" s="34">
        <v>46274</v>
      </c>
      <c r="B2662" s="34">
        <v>46274</v>
      </c>
      <c r="C2662" s="5" t="s">
        <v>78</v>
      </c>
      <c r="D2662" s="5" t="s">
        <v>79</v>
      </c>
      <c r="E2662" s="5" t="s">
        <v>80</v>
      </c>
      <c r="F2662" s="5">
        <v>765330</v>
      </c>
      <c r="G2662" s="5" t="s">
        <v>8071</v>
      </c>
      <c r="H2662" s="5" t="s">
        <v>8072</v>
      </c>
      <c r="I2662" s="5" t="s">
        <v>212</v>
      </c>
      <c r="N2662" s="5" t="s">
        <v>8073</v>
      </c>
      <c r="O2662" s="5">
        <v>56.49</v>
      </c>
      <c r="P2662" s="5">
        <v>56.51</v>
      </c>
      <c r="Q2662" s="5">
        <v>56.39</v>
      </c>
      <c r="R2662" s="5">
        <v>56.42</v>
      </c>
      <c r="S2662" s="5">
        <v>56.39</v>
      </c>
      <c r="T2662" s="5">
        <v>56.8</v>
      </c>
      <c r="V2662" s="5">
        <v>56.42</v>
      </c>
      <c r="Y2662" s="5">
        <v>650</v>
      </c>
      <c r="Z2662" s="5">
        <v>36682.89</v>
      </c>
      <c r="AA2662" s="5">
        <v>22</v>
      </c>
      <c r="AB2662" s="5" t="s">
        <v>85</v>
      </c>
      <c r="AC2662" s="5">
        <v>1</v>
      </c>
    </row>
    <row r="2663" spans="1:29" x14ac:dyDescent="0.3">
      <c r="A2663" s="34">
        <v>46274</v>
      </c>
      <c r="B2663" s="34">
        <v>46274</v>
      </c>
      <c r="C2663" s="5" t="s">
        <v>78</v>
      </c>
      <c r="D2663" s="5" t="s">
        <v>79</v>
      </c>
      <c r="E2663" s="5" t="s">
        <v>80</v>
      </c>
      <c r="F2663" s="5">
        <v>765327</v>
      </c>
      <c r="G2663" s="5" t="s">
        <v>8074</v>
      </c>
      <c r="H2663" s="5" t="s">
        <v>8075</v>
      </c>
      <c r="I2663" s="5" t="s">
        <v>212</v>
      </c>
      <c r="N2663" s="5" t="s">
        <v>8076</v>
      </c>
      <c r="O2663" s="5">
        <v>77.27</v>
      </c>
      <c r="P2663" s="5">
        <v>77.27</v>
      </c>
      <c r="Q2663" s="5">
        <v>74.89</v>
      </c>
      <c r="R2663" s="5">
        <v>75.06</v>
      </c>
      <c r="S2663" s="5">
        <v>75.040000000000006</v>
      </c>
      <c r="T2663" s="5">
        <v>75.81</v>
      </c>
      <c r="V2663" s="5">
        <v>75.06</v>
      </c>
      <c r="Y2663" s="5">
        <v>4373</v>
      </c>
      <c r="Z2663" s="5">
        <v>328330.78999999998</v>
      </c>
      <c r="AA2663" s="5">
        <v>35</v>
      </c>
      <c r="AB2663" s="5" t="s">
        <v>85</v>
      </c>
      <c r="AC2663" s="5">
        <v>1</v>
      </c>
    </row>
    <row r="2664" spans="1:29" x14ac:dyDescent="0.3">
      <c r="A2664" s="34">
        <v>46274</v>
      </c>
      <c r="B2664" s="34">
        <v>46274</v>
      </c>
      <c r="C2664" s="5" t="s">
        <v>78</v>
      </c>
      <c r="D2664" s="5" t="s">
        <v>79</v>
      </c>
      <c r="E2664" s="5" t="s">
        <v>80</v>
      </c>
      <c r="F2664" s="5">
        <v>15068</v>
      </c>
      <c r="G2664" s="5" t="s">
        <v>8077</v>
      </c>
      <c r="H2664" s="5" t="s">
        <v>8078</v>
      </c>
      <c r="I2664" s="5" t="s">
        <v>212</v>
      </c>
      <c r="N2664" s="5" t="s">
        <v>8079</v>
      </c>
      <c r="O2664" s="5">
        <v>252.47</v>
      </c>
      <c r="P2664" s="5">
        <v>257.44</v>
      </c>
      <c r="Q2664" s="5">
        <v>248.68</v>
      </c>
      <c r="R2664" s="5">
        <v>256.64999999999998</v>
      </c>
      <c r="S2664" s="5">
        <v>256.43</v>
      </c>
      <c r="T2664" s="5">
        <v>254.61</v>
      </c>
      <c r="V2664" s="5">
        <v>256.64999999999998</v>
      </c>
      <c r="Y2664" s="5">
        <v>1660145</v>
      </c>
      <c r="Z2664" s="5">
        <v>422236766.75</v>
      </c>
      <c r="AA2664" s="5">
        <v>21451</v>
      </c>
      <c r="AB2664" s="5" t="s">
        <v>85</v>
      </c>
      <c r="AC2664" s="5">
        <v>1</v>
      </c>
    </row>
    <row r="2665" spans="1:29" x14ac:dyDescent="0.3">
      <c r="A2665" s="34">
        <v>46274</v>
      </c>
      <c r="B2665" s="34">
        <v>46274</v>
      </c>
      <c r="C2665" s="5" t="s">
        <v>78</v>
      </c>
      <c r="D2665" s="5" t="s">
        <v>79</v>
      </c>
      <c r="E2665" s="5" t="s">
        <v>80</v>
      </c>
      <c r="F2665" s="5">
        <v>3965</v>
      </c>
      <c r="G2665" s="5" t="s">
        <v>8080</v>
      </c>
      <c r="H2665" s="5" t="s">
        <v>8081</v>
      </c>
      <c r="I2665" s="5" t="s">
        <v>212</v>
      </c>
      <c r="N2665" s="5" t="s">
        <v>8082</v>
      </c>
      <c r="O2665" s="5">
        <v>97.82</v>
      </c>
      <c r="P2665" s="5">
        <v>99.13</v>
      </c>
      <c r="Q2665" s="5">
        <v>96.32</v>
      </c>
      <c r="R2665" s="5">
        <v>98.1</v>
      </c>
      <c r="S2665" s="5">
        <v>98.2</v>
      </c>
      <c r="T2665" s="5">
        <v>97.26</v>
      </c>
      <c r="V2665" s="5">
        <v>98.09</v>
      </c>
      <c r="Y2665" s="5">
        <v>54465</v>
      </c>
      <c r="Z2665" s="5">
        <v>5328350.07</v>
      </c>
      <c r="AA2665" s="5">
        <v>2018</v>
      </c>
      <c r="AB2665" s="5" t="s">
        <v>85</v>
      </c>
      <c r="AC2665" s="5">
        <v>1</v>
      </c>
    </row>
    <row r="2666" spans="1:29" x14ac:dyDescent="0.3">
      <c r="A2666" s="34">
        <v>46274</v>
      </c>
      <c r="B2666" s="34">
        <v>46274</v>
      </c>
      <c r="C2666" s="5" t="s">
        <v>78</v>
      </c>
      <c r="D2666" s="5" t="s">
        <v>79</v>
      </c>
      <c r="E2666" s="5" t="s">
        <v>80</v>
      </c>
      <c r="F2666" s="5">
        <v>16154</v>
      </c>
      <c r="G2666" s="5" t="s">
        <v>8083</v>
      </c>
      <c r="H2666" s="5" t="s">
        <v>8084</v>
      </c>
      <c r="I2666" s="5" t="s">
        <v>313</v>
      </c>
      <c r="N2666" s="5" t="s">
        <v>8085</v>
      </c>
      <c r="O2666" s="5">
        <v>894.5</v>
      </c>
      <c r="P2666" s="5">
        <v>932</v>
      </c>
      <c r="Q2666" s="5">
        <v>894.5</v>
      </c>
      <c r="R2666" s="5">
        <v>928.85</v>
      </c>
      <c r="S2666" s="5">
        <v>930</v>
      </c>
      <c r="T2666" s="5">
        <v>912.75</v>
      </c>
      <c r="V2666" s="5">
        <v>928.85</v>
      </c>
      <c r="Y2666" s="5">
        <v>11700</v>
      </c>
      <c r="Z2666" s="5">
        <v>10756455</v>
      </c>
      <c r="AA2666" s="5">
        <v>78</v>
      </c>
      <c r="AB2666" s="5" t="s">
        <v>85</v>
      </c>
      <c r="AC2666" s="5">
        <v>100</v>
      </c>
    </row>
    <row r="2667" spans="1:29" x14ac:dyDescent="0.3">
      <c r="A2667" s="34">
        <v>46274</v>
      </c>
      <c r="B2667" s="34">
        <v>46274</v>
      </c>
      <c r="C2667" s="5" t="s">
        <v>78</v>
      </c>
      <c r="D2667" s="5" t="s">
        <v>79</v>
      </c>
      <c r="E2667" s="5" t="s">
        <v>80</v>
      </c>
      <c r="F2667" s="5">
        <v>15129</v>
      </c>
      <c r="G2667" s="5" t="s">
        <v>8086</v>
      </c>
      <c r="H2667" s="5" t="s">
        <v>8087</v>
      </c>
      <c r="I2667" s="5" t="s">
        <v>212</v>
      </c>
      <c r="N2667" s="5" t="s">
        <v>8088</v>
      </c>
      <c r="O2667" s="5">
        <v>149.01</v>
      </c>
      <c r="P2667" s="5">
        <v>150.9</v>
      </c>
      <c r="Q2667" s="5">
        <v>145.25</v>
      </c>
      <c r="R2667" s="5">
        <v>147.19</v>
      </c>
      <c r="S2667" s="5">
        <v>146.44999999999999</v>
      </c>
      <c r="T2667" s="5">
        <v>150</v>
      </c>
      <c r="V2667" s="5">
        <v>147.16999999999999</v>
      </c>
      <c r="Y2667" s="5">
        <v>394708</v>
      </c>
      <c r="Z2667" s="5">
        <v>58624481.950000003</v>
      </c>
      <c r="AA2667" s="5">
        <v>5142</v>
      </c>
      <c r="AB2667" s="5" t="s">
        <v>85</v>
      </c>
      <c r="AC2667" s="5">
        <v>1</v>
      </c>
    </row>
    <row r="2668" spans="1:29" x14ac:dyDescent="0.3">
      <c r="A2668" s="34">
        <v>46274</v>
      </c>
      <c r="B2668" s="34">
        <v>46274</v>
      </c>
      <c r="C2668" s="5" t="s">
        <v>78</v>
      </c>
      <c r="D2668" s="5" t="s">
        <v>79</v>
      </c>
      <c r="E2668" s="5" t="s">
        <v>80</v>
      </c>
      <c r="F2668" s="5">
        <v>758157</v>
      </c>
      <c r="G2668" s="5" t="s">
        <v>8089</v>
      </c>
      <c r="H2668" s="5" t="s">
        <v>8090</v>
      </c>
      <c r="I2668" s="5" t="s">
        <v>313</v>
      </c>
      <c r="N2668" s="5" t="s">
        <v>8091</v>
      </c>
      <c r="O2668" s="5">
        <v>70.2</v>
      </c>
      <c r="P2668" s="5">
        <v>70.849999999999994</v>
      </c>
      <c r="Q2668" s="5">
        <v>68.5</v>
      </c>
      <c r="R2668" s="5">
        <v>68.5</v>
      </c>
      <c r="S2668" s="5">
        <v>68.5</v>
      </c>
      <c r="T2668" s="5">
        <v>72.099999999999994</v>
      </c>
      <c r="V2668" s="5">
        <v>68.5</v>
      </c>
      <c r="Y2668" s="5">
        <v>25200</v>
      </c>
      <c r="Z2668" s="5">
        <v>1743660</v>
      </c>
      <c r="AA2668" s="5">
        <v>21</v>
      </c>
      <c r="AB2668" s="5" t="s">
        <v>85</v>
      </c>
      <c r="AC2668" s="5">
        <v>1200</v>
      </c>
    </row>
    <row r="2669" spans="1:29" x14ac:dyDescent="0.3">
      <c r="A2669" s="34">
        <v>46274</v>
      </c>
      <c r="B2669" s="34">
        <v>46274</v>
      </c>
      <c r="C2669" s="5" t="s">
        <v>78</v>
      </c>
      <c r="D2669" s="5" t="s">
        <v>79</v>
      </c>
      <c r="E2669" s="5" t="s">
        <v>80</v>
      </c>
      <c r="F2669" s="5">
        <v>29598</v>
      </c>
      <c r="G2669" s="5" t="s">
        <v>8092</v>
      </c>
      <c r="H2669" s="5" t="s">
        <v>8093</v>
      </c>
      <c r="I2669" s="5" t="s">
        <v>212</v>
      </c>
      <c r="N2669" s="5" t="s">
        <v>8094</v>
      </c>
      <c r="O2669" s="5">
        <v>364.85</v>
      </c>
      <c r="P2669" s="5">
        <v>364.85</v>
      </c>
      <c r="Q2669" s="5">
        <v>355.35</v>
      </c>
      <c r="R2669" s="5">
        <v>356.8</v>
      </c>
      <c r="S2669" s="5">
        <v>356</v>
      </c>
      <c r="T2669" s="5">
        <v>361.35</v>
      </c>
      <c r="V2669" s="5">
        <v>356.83</v>
      </c>
      <c r="Y2669" s="5">
        <v>94098</v>
      </c>
      <c r="Z2669" s="5">
        <v>33764580.200000003</v>
      </c>
      <c r="AA2669" s="5">
        <v>2321</v>
      </c>
      <c r="AB2669" s="5" t="s">
        <v>85</v>
      </c>
      <c r="AC2669" s="5">
        <v>1</v>
      </c>
    </row>
    <row r="2670" spans="1:29" x14ac:dyDescent="0.3">
      <c r="A2670" s="34">
        <v>46274</v>
      </c>
      <c r="B2670" s="34">
        <v>46274</v>
      </c>
      <c r="C2670" s="5" t="s">
        <v>78</v>
      </c>
      <c r="D2670" s="5" t="s">
        <v>79</v>
      </c>
      <c r="E2670" s="5" t="s">
        <v>80</v>
      </c>
      <c r="F2670" s="5">
        <v>13126</v>
      </c>
      <c r="G2670" s="5" t="s">
        <v>8095</v>
      </c>
      <c r="H2670" s="5" t="s">
        <v>8096</v>
      </c>
      <c r="I2670" s="5" t="s">
        <v>212</v>
      </c>
      <c r="N2670" s="5" t="s">
        <v>8097</v>
      </c>
      <c r="O2670" s="5">
        <v>321.64999999999998</v>
      </c>
      <c r="P2670" s="5">
        <v>321.8</v>
      </c>
      <c r="Q2670" s="5">
        <v>312</v>
      </c>
      <c r="R2670" s="5">
        <v>314</v>
      </c>
      <c r="S2670" s="5">
        <v>315.10000000000002</v>
      </c>
      <c r="T2670" s="5">
        <v>319.39999999999998</v>
      </c>
      <c r="V2670" s="5">
        <v>314</v>
      </c>
      <c r="Y2670" s="5">
        <v>2610</v>
      </c>
      <c r="Z2670" s="5">
        <v>824933.6</v>
      </c>
      <c r="AA2670" s="5">
        <v>202</v>
      </c>
      <c r="AB2670" s="5" t="s">
        <v>85</v>
      </c>
      <c r="AC2670" s="5">
        <v>1</v>
      </c>
    </row>
    <row r="2671" spans="1:29" x14ac:dyDescent="0.3">
      <c r="A2671" s="34">
        <v>46274</v>
      </c>
      <c r="B2671" s="34">
        <v>46274</v>
      </c>
      <c r="C2671" s="5" t="s">
        <v>78</v>
      </c>
      <c r="D2671" s="5" t="s">
        <v>79</v>
      </c>
      <c r="E2671" s="5" t="s">
        <v>80</v>
      </c>
      <c r="F2671" s="5">
        <v>20323</v>
      </c>
      <c r="G2671" s="5" t="s">
        <v>8098</v>
      </c>
      <c r="H2671" s="5" t="s">
        <v>8099</v>
      </c>
      <c r="I2671" s="5" t="s">
        <v>212</v>
      </c>
      <c r="N2671" s="5" t="s">
        <v>8100</v>
      </c>
      <c r="O2671" s="5">
        <v>147.15</v>
      </c>
      <c r="P2671" s="5">
        <v>175.2</v>
      </c>
      <c r="Q2671" s="5">
        <v>144.88</v>
      </c>
      <c r="R2671" s="5">
        <v>169.59</v>
      </c>
      <c r="S2671" s="5">
        <v>168.5</v>
      </c>
      <c r="T2671" s="5">
        <v>148.22999999999999</v>
      </c>
      <c r="V2671" s="5">
        <v>169.59</v>
      </c>
      <c r="Y2671" s="5">
        <v>12729406</v>
      </c>
      <c r="Z2671" s="5">
        <v>2144333226.8299999</v>
      </c>
      <c r="AA2671" s="5">
        <v>97103</v>
      </c>
      <c r="AB2671" s="5" t="s">
        <v>85</v>
      </c>
      <c r="AC2671" s="5">
        <v>1</v>
      </c>
    </row>
    <row r="2672" spans="1:29" x14ac:dyDescent="0.3">
      <c r="A2672" s="34">
        <v>46274</v>
      </c>
      <c r="B2672" s="34">
        <v>46274</v>
      </c>
      <c r="C2672" s="5" t="s">
        <v>78</v>
      </c>
      <c r="D2672" s="5" t="s">
        <v>79</v>
      </c>
      <c r="E2672" s="5" t="s">
        <v>80</v>
      </c>
      <c r="F2672" s="5">
        <v>1494</v>
      </c>
      <c r="G2672" s="5" t="s">
        <v>8101</v>
      </c>
      <c r="H2672" s="5" t="s">
        <v>8102</v>
      </c>
      <c r="I2672" s="5" t="s">
        <v>212</v>
      </c>
      <c r="N2672" s="5" t="s">
        <v>8103</v>
      </c>
      <c r="O2672" s="5">
        <v>95</v>
      </c>
      <c r="P2672" s="5">
        <v>101.25</v>
      </c>
      <c r="Q2672" s="5">
        <v>94.64</v>
      </c>
      <c r="R2672" s="5">
        <v>100.5</v>
      </c>
      <c r="S2672" s="5">
        <v>100.92</v>
      </c>
      <c r="T2672" s="5">
        <v>95.54</v>
      </c>
      <c r="V2672" s="5">
        <v>100.5</v>
      </c>
      <c r="Y2672" s="5">
        <v>7327768</v>
      </c>
      <c r="Z2672" s="5">
        <v>730255090.75999999</v>
      </c>
      <c r="AA2672" s="5">
        <v>38221</v>
      </c>
      <c r="AB2672" s="5" t="s">
        <v>85</v>
      </c>
      <c r="AC2672" s="5">
        <v>1</v>
      </c>
    </row>
    <row r="2673" spans="1:29" x14ac:dyDescent="0.3">
      <c r="A2673" s="34">
        <v>46274</v>
      </c>
      <c r="B2673" s="34">
        <v>46274</v>
      </c>
      <c r="C2673" s="5" t="s">
        <v>78</v>
      </c>
      <c r="D2673" s="5" t="s">
        <v>79</v>
      </c>
      <c r="E2673" s="5" t="s">
        <v>80</v>
      </c>
      <c r="F2673" s="5">
        <v>25157</v>
      </c>
      <c r="G2673" s="5" t="s">
        <v>8104</v>
      </c>
      <c r="H2673" s="5" t="s">
        <v>8105</v>
      </c>
      <c r="I2673" s="5" t="s">
        <v>212</v>
      </c>
      <c r="N2673" s="5" t="s">
        <v>8106</v>
      </c>
      <c r="O2673" s="5">
        <v>752.45</v>
      </c>
      <c r="P2673" s="5">
        <v>799</v>
      </c>
      <c r="Q2673" s="5">
        <v>752.45</v>
      </c>
      <c r="R2673" s="5">
        <v>787.3</v>
      </c>
      <c r="S2673" s="5">
        <v>787</v>
      </c>
      <c r="T2673" s="5">
        <v>752.45</v>
      </c>
      <c r="V2673" s="5">
        <v>787.3</v>
      </c>
      <c r="Y2673" s="5">
        <v>4161</v>
      </c>
      <c r="Z2673" s="5">
        <v>3258142.7</v>
      </c>
      <c r="AA2673" s="5">
        <v>314</v>
      </c>
      <c r="AB2673" s="5" t="s">
        <v>85</v>
      </c>
      <c r="AC2673" s="5">
        <v>1</v>
      </c>
    </row>
    <row r="2674" spans="1:29" x14ac:dyDescent="0.3">
      <c r="A2674" s="34">
        <v>46274</v>
      </c>
      <c r="B2674" s="34">
        <v>46274</v>
      </c>
      <c r="C2674" s="5" t="s">
        <v>78</v>
      </c>
      <c r="D2674" s="5" t="s">
        <v>79</v>
      </c>
      <c r="E2674" s="5" t="s">
        <v>80</v>
      </c>
      <c r="F2674" s="5">
        <v>29270</v>
      </c>
      <c r="G2674" s="5" t="s">
        <v>8107</v>
      </c>
      <c r="H2674" s="5" t="s">
        <v>8108</v>
      </c>
      <c r="I2674" s="5" t="s">
        <v>313</v>
      </c>
      <c r="N2674" s="5" t="s">
        <v>8109</v>
      </c>
      <c r="O2674" s="5">
        <v>38.4</v>
      </c>
      <c r="P2674" s="5">
        <v>38.950000000000003</v>
      </c>
      <c r="Q2674" s="5">
        <v>37.4</v>
      </c>
      <c r="R2674" s="5">
        <v>37.4</v>
      </c>
      <c r="S2674" s="5">
        <v>37.4</v>
      </c>
      <c r="T2674" s="5">
        <v>37.450000000000003</v>
      </c>
      <c r="V2674" s="5">
        <v>37.4</v>
      </c>
      <c r="Y2674" s="5">
        <v>5000</v>
      </c>
      <c r="Z2674" s="5">
        <v>191900</v>
      </c>
      <c r="AA2674" s="5">
        <v>5</v>
      </c>
      <c r="AB2674" s="5" t="s">
        <v>85</v>
      </c>
      <c r="AC2674" s="5">
        <v>1000</v>
      </c>
    </row>
    <row r="2675" spans="1:29" x14ac:dyDescent="0.3">
      <c r="A2675" s="34">
        <v>46274</v>
      </c>
      <c r="B2675" s="34">
        <v>46274</v>
      </c>
      <c r="C2675" s="5" t="s">
        <v>78</v>
      </c>
      <c r="D2675" s="5" t="s">
        <v>79</v>
      </c>
      <c r="E2675" s="5" t="s">
        <v>80</v>
      </c>
      <c r="F2675" s="5">
        <v>763468</v>
      </c>
      <c r="G2675" s="5" t="s">
        <v>8110</v>
      </c>
      <c r="H2675" s="5" t="s">
        <v>8111</v>
      </c>
      <c r="I2675" s="5" t="s">
        <v>392</v>
      </c>
      <c r="N2675" s="5" t="s">
        <v>8112</v>
      </c>
      <c r="O2675" s="5">
        <v>88</v>
      </c>
      <c r="P2675" s="5">
        <v>91.35</v>
      </c>
      <c r="Q2675" s="5">
        <v>88</v>
      </c>
      <c r="R2675" s="5">
        <v>91.35</v>
      </c>
      <c r="S2675" s="5">
        <v>91.35</v>
      </c>
      <c r="T2675" s="5">
        <v>87</v>
      </c>
      <c r="V2675" s="5">
        <v>91.35</v>
      </c>
      <c r="Y2675" s="5">
        <v>6000</v>
      </c>
      <c r="Z2675" s="5">
        <v>538050</v>
      </c>
      <c r="AA2675" s="5">
        <v>2</v>
      </c>
      <c r="AB2675" s="5" t="s">
        <v>85</v>
      </c>
      <c r="AC2675" s="5">
        <v>3000</v>
      </c>
    </row>
    <row r="2676" spans="1:29" x14ac:dyDescent="0.3">
      <c r="A2676" s="34">
        <v>46274</v>
      </c>
      <c r="B2676" s="34">
        <v>46274</v>
      </c>
      <c r="C2676" s="5" t="s">
        <v>78</v>
      </c>
      <c r="D2676" s="5" t="s">
        <v>79</v>
      </c>
      <c r="E2676" s="5" t="s">
        <v>80</v>
      </c>
      <c r="F2676" s="5">
        <v>759062</v>
      </c>
      <c r="G2676" s="5" t="s">
        <v>8113</v>
      </c>
      <c r="H2676" s="5" t="s">
        <v>8114</v>
      </c>
      <c r="I2676" s="5" t="s">
        <v>212</v>
      </c>
      <c r="N2676" s="5" t="s">
        <v>8115</v>
      </c>
      <c r="O2676" s="5">
        <v>28.51</v>
      </c>
      <c r="P2676" s="5">
        <v>28.9</v>
      </c>
      <c r="Q2676" s="5">
        <v>26.6</v>
      </c>
      <c r="R2676" s="5">
        <v>26.6</v>
      </c>
      <c r="S2676" s="5">
        <v>26.6</v>
      </c>
      <c r="T2676" s="5">
        <v>28</v>
      </c>
      <c r="V2676" s="5">
        <v>26.6</v>
      </c>
      <c r="Y2676" s="5">
        <v>55311416</v>
      </c>
      <c r="Z2676" s="5">
        <v>1560286672.0599999</v>
      </c>
      <c r="AA2676" s="5">
        <v>17099</v>
      </c>
      <c r="AB2676" s="5" t="s">
        <v>85</v>
      </c>
      <c r="AC2676" s="5">
        <v>1</v>
      </c>
    </row>
    <row r="2677" spans="1:29" x14ac:dyDescent="0.3">
      <c r="A2677" s="34">
        <v>46274</v>
      </c>
      <c r="B2677" s="34">
        <v>46274</v>
      </c>
      <c r="C2677" s="5" t="s">
        <v>78</v>
      </c>
      <c r="D2677" s="5" t="s">
        <v>79</v>
      </c>
      <c r="E2677" s="5" t="s">
        <v>80</v>
      </c>
      <c r="F2677" s="5">
        <v>31163</v>
      </c>
      <c r="G2677" s="5" t="s">
        <v>8116</v>
      </c>
      <c r="H2677" s="5" t="s">
        <v>8117</v>
      </c>
      <c r="I2677" s="5" t="s">
        <v>212</v>
      </c>
      <c r="N2677" s="5" t="s">
        <v>8118</v>
      </c>
      <c r="O2677" s="5">
        <v>373</v>
      </c>
      <c r="P2677" s="5">
        <v>387.55</v>
      </c>
      <c r="Q2677" s="5">
        <v>370.05</v>
      </c>
      <c r="R2677" s="5">
        <v>376.9</v>
      </c>
      <c r="S2677" s="5">
        <v>376.45</v>
      </c>
      <c r="T2677" s="5">
        <v>371.7</v>
      </c>
      <c r="V2677" s="5">
        <v>376.89</v>
      </c>
      <c r="Y2677" s="5">
        <v>559435</v>
      </c>
      <c r="Z2677" s="5">
        <v>212689746.30000001</v>
      </c>
      <c r="AA2677" s="5">
        <v>17843</v>
      </c>
      <c r="AB2677" s="5" t="s">
        <v>85</v>
      </c>
      <c r="AC2677" s="5">
        <v>1</v>
      </c>
    </row>
    <row r="2678" spans="1:29" x14ac:dyDescent="0.3">
      <c r="A2678" s="34">
        <v>46274</v>
      </c>
      <c r="B2678" s="34">
        <v>46274</v>
      </c>
      <c r="C2678" s="5" t="s">
        <v>78</v>
      </c>
      <c r="D2678" s="5" t="s">
        <v>79</v>
      </c>
      <c r="E2678" s="5" t="s">
        <v>80</v>
      </c>
      <c r="F2678" s="5">
        <v>8212</v>
      </c>
      <c r="G2678" s="5" t="s">
        <v>8119</v>
      </c>
      <c r="H2678" s="5" t="s">
        <v>8120</v>
      </c>
      <c r="I2678" s="5" t="s">
        <v>392</v>
      </c>
      <c r="N2678" s="5" t="s">
        <v>8121</v>
      </c>
      <c r="O2678" s="5">
        <v>71</v>
      </c>
      <c r="P2678" s="5">
        <v>72.45</v>
      </c>
      <c r="Q2678" s="5">
        <v>71</v>
      </c>
      <c r="R2678" s="5">
        <v>72.45</v>
      </c>
      <c r="S2678" s="5">
        <v>72.45</v>
      </c>
      <c r="T2678" s="5">
        <v>71</v>
      </c>
      <c r="V2678" s="5">
        <v>72.45</v>
      </c>
      <c r="Y2678" s="5">
        <v>3000</v>
      </c>
      <c r="Z2678" s="5">
        <v>215900</v>
      </c>
      <c r="AA2678" s="5">
        <v>3</v>
      </c>
      <c r="AB2678" s="5" t="s">
        <v>85</v>
      </c>
      <c r="AC2678" s="5">
        <v>1000</v>
      </c>
    </row>
    <row r="2679" spans="1:29" x14ac:dyDescent="0.3">
      <c r="A2679" s="34">
        <v>46274</v>
      </c>
      <c r="B2679" s="34">
        <v>46274</v>
      </c>
      <c r="C2679" s="5" t="s">
        <v>78</v>
      </c>
      <c r="D2679" s="5" t="s">
        <v>79</v>
      </c>
      <c r="E2679" s="5" t="s">
        <v>80</v>
      </c>
      <c r="F2679" s="5">
        <v>2909</v>
      </c>
      <c r="G2679" s="5" t="s">
        <v>8122</v>
      </c>
      <c r="H2679" s="5" t="s">
        <v>8123</v>
      </c>
      <c r="I2679" s="5" t="s">
        <v>212</v>
      </c>
      <c r="N2679" s="5" t="s">
        <v>8124</v>
      </c>
      <c r="O2679" s="5">
        <v>132.38</v>
      </c>
      <c r="P2679" s="5">
        <v>133.19999999999999</v>
      </c>
      <c r="Q2679" s="5">
        <v>129.36000000000001</v>
      </c>
      <c r="R2679" s="5">
        <v>130.41999999999999</v>
      </c>
      <c r="S2679" s="5">
        <v>130.66999999999999</v>
      </c>
      <c r="T2679" s="5">
        <v>132.38</v>
      </c>
      <c r="V2679" s="5">
        <v>130.41999999999999</v>
      </c>
      <c r="Y2679" s="5">
        <v>679050</v>
      </c>
      <c r="Z2679" s="5">
        <v>89059447.730000004</v>
      </c>
      <c r="AA2679" s="5">
        <v>7703</v>
      </c>
      <c r="AB2679" s="5" t="s">
        <v>85</v>
      </c>
      <c r="AC2679" s="5">
        <v>1</v>
      </c>
    </row>
    <row r="2680" spans="1:29" x14ac:dyDescent="0.3">
      <c r="A2680" s="34">
        <v>46274</v>
      </c>
      <c r="B2680" s="34">
        <v>46274</v>
      </c>
      <c r="C2680" s="5" t="s">
        <v>78</v>
      </c>
      <c r="D2680" s="5" t="s">
        <v>79</v>
      </c>
      <c r="E2680" s="5" t="s">
        <v>80</v>
      </c>
      <c r="F2680" s="5">
        <v>764121</v>
      </c>
      <c r="G2680" s="5" t="s">
        <v>8125</v>
      </c>
      <c r="H2680" s="5" t="s">
        <v>8126</v>
      </c>
      <c r="I2680" s="5" t="s">
        <v>212</v>
      </c>
      <c r="N2680" s="5" t="s">
        <v>8127</v>
      </c>
      <c r="O2680" s="5">
        <v>185</v>
      </c>
      <c r="P2680" s="5">
        <v>191.5</v>
      </c>
      <c r="Q2680" s="5">
        <v>181.82</v>
      </c>
      <c r="R2680" s="5">
        <v>184.9</v>
      </c>
      <c r="S2680" s="5">
        <v>183.95</v>
      </c>
      <c r="T2680" s="5">
        <v>183.84</v>
      </c>
      <c r="V2680" s="5">
        <v>184.9</v>
      </c>
      <c r="Y2680" s="5">
        <v>932071</v>
      </c>
      <c r="Z2680" s="5">
        <v>173878441.47999999</v>
      </c>
      <c r="AA2680" s="5">
        <v>14010</v>
      </c>
      <c r="AB2680" s="5" t="s">
        <v>85</v>
      </c>
      <c r="AC2680" s="5">
        <v>1</v>
      </c>
    </row>
    <row r="2681" spans="1:29" x14ac:dyDescent="0.3">
      <c r="A2681" s="34">
        <v>46274</v>
      </c>
      <c r="B2681" s="34">
        <v>46274</v>
      </c>
      <c r="C2681" s="5" t="s">
        <v>78</v>
      </c>
      <c r="D2681" s="5" t="s">
        <v>79</v>
      </c>
      <c r="E2681" s="5" t="s">
        <v>80</v>
      </c>
      <c r="F2681" s="5">
        <v>18417</v>
      </c>
      <c r="G2681" s="5" t="s">
        <v>8128</v>
      </c>
      <c r="H2681" s="5" t="s">
        <v>8129</v>
      </c>
      <c r="I2681" s="5" t="s">
        <v>212</v>
      </c>
      <c r="N2681" s="5" t="s">
        <v>8130</v>
      </c>
      <c r="O2681" s="5">
        <v>802</v>
      </c>
      <c r="P2681" s="5">
        <v>852</v>
      </c>
      <c r="Q2681" s="5">
        <v>802</v>
      </c>
      <c r="R2681" s="5">
        <v>815.9</v>
      </c>
      <c r="S2681" s="5">
        <v>816.85</v>
      </c>
      <c r="T2681" s="5">
        <v>808.3</v>
      </c>
      <c r="V2681" s="5">
        <v>815.91</v>
      </c>
      <c r="Y2681" s="5">
        <v>379932</v>
      </c>
      <c r="Z2681" s="5">
        <v>315337120.55000001</v>
      </c>
      <c r="AA2681" s="5">
        <v>17141</v>
      </c>
      <c r="AB2681" s="5" t="s">
        <v>85</v>
      </c>
      <c r="AC2681" s="5">
        <v>1</v>
      </c>
    </row>
    <row r="2682" spans="1:29" x14ac:dyDescent="0.3">
      <c r="A2682" s="34">
        <v>46274</v>
      </c>
      <c r="B2682" s="34">
        <v>46274</v>
      </c>
      <c r="C2682" s="5" t="s">
        <v>78</v>
      </c>
      <c r="D2682" s="5" t="s">
        <v>79</v>
      </c>
      <c r="E2682" s="5" t="s">
        <v>80</v>
      </c>
      <c r="F2682" s="5">
        <v>8944</v>
      </c>
      <c r="G2682" s="5" t="s">
        <v>8131</v>
      </c>
      <c r="H2682" s="5" t="s">
        <v>8132</v>
      </c>
      <c r="I2682" s="5" t="s">
        <v>212</v>
      </c>
      <c r="N2682" s="5" t="s">
        <v>8133</v>
      </c>
      <c r="O2682" s="5">
        <v>322.89999999999998</v>
      </c>
      <c r="P2682" s="5">
        <v>327.7</v>
      </c>
      <c r="Q2682" s="5">
        <v>312</v>
      </c>
      <c r="R2682" s="5">
        <v>317.45</v>
      </c>
      <c r="S2682" s="5">
        <v>314.89999999999998</v>
      </c>
      <c r="T2682" s="5">
        <v>318.45</v>
      </c>
      <c r="V2682" s="5">
        <v>317.39999999999998</v>
      </c>
      <c r="Y2682" s="5">
        <v>142503</v>
      </c>
      <c r="Z2682" s="5">
        <v>45556804.799999997</v>
      </c>
      <c r="AA2682" s="5">
        <v>4843</v>
      </c>
      <c r="AB2682" s="5" t="s">
        <v>85</v>
      </c>
      <c r="AC2682" s="5">
        <v>1</v>
      </c>
    </row>
    <row r="2683" spans="1:29" x14ac:dyDescent="0.3">
      <c r="A2683" s="34">
        <v>46274</v>
      </c>
      <c r="B2683" s="34">
        <v>46274</v>
      </c>
      <c r="C2683" s="5" t="s">
        <v>78</v>
      </c>
      <c r="D2683" s="5" t="s">
        <v>79</v>
      </c>
      <c r="E2683" s="5" t="s">
        <v>80</v>
      </c>
      <c r="F2683" s="5">
        <v>11910</v>
      </c>
      <c r="G2683" s="5" t="s">
        <v>8134</v>
      </c>
      <c r="H2683" s="5" t="s">
        <v>8135</v>
      </c>
      <c r="I2683" s="5" t="s">
        <v>313</v>
      </c>
      <c r="N2683" s="5" t="s">
        <v>8136</v>
      </c>
      <c r="O2683" s="5">
        <v>22.55</v>
      </c>
      <c r="P2683" s="5">
        <v>22.55</v>
      </c>
      <c r="Q2683" s="5">
        <v>22.55</v>
      </c>
      <c r="R2683" s="5">
        <v>22.55</v>
      </c>
      <c r="S2683" s="5">
        <v>22.55</v>
      </c>
      <c r="T2683" s="5">
        <v>22.5</v>
      </c>
      <c r="V2683" s="5">
        <v>22.55</v>
      </c>
      <c r="Y2683" s="5">
        <v>1600</v>
      </c>
      <c r="Z2683" s="5">
        <v>36080</v>
      </c>
      <c r="AA2683" s="5">
        <v>1</v>
      </c>
      <c r="AB2683" s="5" t="s">
        <v>85</v>
      </c>
      <c r="AC2683" s="5">
        <v>1600</v>
      </c>
    </row>
    <row r="2684" spans="1:29" x14ac:dyDescent="0.3">
      <c r="A2684" s="34">
        <v>46274</v>
      </c>
      <c r="B2684" s="34">
        <v>46274</v>
      </c>
      <c r="C2684" s="5" t="s">
        <v>78</v>
      </c>
      <c r="D2684" s="5" t="s">
        <v>79</v>
      </c>
      <c r="E2684" s="5" t="s">
        <v>80</v>
      </c>
      <c r="F2684" s="5">
        <v>3761</v>
      </c>
      <c r="G2684" s="5" t="s">
        <v>8137</v>
      </c>
      <c r="H2684" s="5" t="s">
        <v>8138</v>
      </c>
      <c r="I2684" s="5" t="s">
        <v>212</v>
      </c>
      <c r="N2684" s="5" t="s">
        <v>8139</v>
      </c>
      <c r="O2684" s="5">
        <v>212.12</v>
      </c>
      <c r="P2684" s="5">
        <v>213.5</v>
      </c>
      <c r="Q2684" s="5">
        <v>210.63</v>
      </c>
      <c r="R2684" s="5">
        <v>211.13</v>
      </c>
      <c r="S2684" s="5">
        <v>213</v>
      </c>
      <c r="T2684" s="5">
        <v>212.97</v>
      </c>
      <c r="V2684" s="5">
        <v>211.13</v>
      </c>
      <c r="Y2684" s="5">
        <v>329531</v>
      </c>
      <c r="Z2684" s="5">
        <v>69773203.280000001</v>
      </c>
      <c r="AA2684" s="5">
        <v>7495</v>
      </c>
      <c r="AB2684" s="5" t="s">
        <v>85</v>
      </c>
      <c r="AC2684" s="5">
        <v>1</v>
      </c>
    </row>
    <row r="2685" spans="1:29" x14ac:dyDescent="0.3">
      <c r="A2685" s="34">
        <v>46274</v>
      </c>
      <c r="B2685" s="34">
        <v>46274</v>
      </c>
      <c r="C2685" s="5" t="s">
        <v>78</v>
      </c>
      <c r="D2685" s="5" t="s">
        <v>79</v>
      </c>
      <c r="E2685" s="5" t="s">
        <v>80</v>
      </c>
      <c r="F2685" s="5">
        <v>1547</v>
      </c>
      <c r="G2685" s="5" t="s">
        <v>8140</v>
      </c>
      <c r="H2685" s="5" t="s">
        <v>8141</v>
      </c>
      <c r="I2685" s="5" t="s">
        <v>212</v>
      </c>
      <c r="N2685" s="5" t="s">
        <v>8142</v>
      </c>
      <c r="O2685" s="5">
        <v>20.2</v>
      </c>
      <c r="P2685" s="5">
        <v>20.8</v>
      </c>
      <c r="Q2685" s="5">
        <v>19.75</v>
      </c>
      <c r="R2685" s="5">
        <v>19.96</v>
      </c>
      <c r="S2685" s="5">
        <v>20</v>
      </c>
      <c r="T2685" s="5">
        <v>20.45</v>
      </c>
      <c r="V2685" s="5">
        <v>19.96</v>
      </c>
      <c r="Y2685" s="5">
        <v>40247</v>
      </c>
      <c r="Z2685" s="5">
        <v>814117.18</v>
      </c>
      <c r="AA2685" s="5">
        <v>391</v>
      </c>
      <c r="AB2685" s="5" t="s">
        <v>85</v>
      </c>
      <c r="AC2685" s="5">
        <v>1</v>
      </c>
    </row>
    <row r="2686" spans="1:29" x14ac:dyDescent="0.3">
      <c r="A2686" s="34">
        <v>46274</v>
      </c>
      <c r="B2686" s="34">
        <v>46274</v>
      </c>
      <c r="C2686" s="5" t="s">
        <v>78</v>
      </c>
      <c r="D2686" s="5" t="s">
        <v>79</v>
      </c>
      <c r="E2686" s="5" t="s">
        <v>80</v>
      </c>
      <c r="F2686" s="5">
        <v>762346</v>
      </c>
      <c r="G2686" s="5" t="s">
        <v>8143</v>
      </c>
      <c r="H2686" s="5" t="s">
        <v>8144</v>
      </c>
      <c r="I2686" s="5" t="s">
        <v>212</v>
      </c>
      <c r="N2686" s="5" t="s">
        <v>8145</v>
      </c>
      <c r="O2686" s="5">
        <v>226.19</v>
      </c>
      <c r="P2686" s="5">
        <v>229.66</v>
      </c>
      <c r="Q2686" s="5">
        <v>220.2</v>
      </c>
      <c r="R2686" s="5">
        <v>222.51</v>
      </c>
      <c r="S2686" s="5">
        <v>223.74</v>
      </c>
      <c r="T2686" s="5">
        <v>226.19</v>
      </c>
      <c r="V2686" s="5">
        <v>222.53</v>
      </c>
      <c r="Y2686" s="5">
        <v>49359</v>
      </c>
      <c r="Z2686" s="5">
        <v>11099436.779999999</v>
      </c>
      <c r="AA2686" s="5">
        <v>1444</v>
      </c>
      <c r="AB2686" s="5" t="s">
        <v>85</v>
      </c>
      <c r="AC2686" s="5">
        <v>1</v>
      </c>
    </row>
    <row r="2687" spans="1:29" x14ac:dyDescent="0.3">
      <c r="A2687" s="34">
        <v>46274</v>
      </c>
      <c r="B2687" s="34">
        <v>46274</v>
      </c>
      <c r="C2687" s="5" t="s">
        <v>78</v>
      </c>
      <c r="D2687" s="5" t="s">
        <v>79</v>
      </c>
      <c r="E2687" s="5" t="s">
        <v>80</v>
      </c>
      <c r="F2687" s="5">
        <v>24589</v>
      </c>
      <c r="G2687" s="5" t="s">
        <v>8146</v>
      </c>
      <c r="H2687" s="5" t="s">
        <v>8147</v>
      </c>
      <c r="I2687" s="5" t="s">
        <v>313</v>
      </c>
      <c r="N2687" s="5" t="s">
        <v>8148</v>
      </c>
      <c r="O2687" s="5">
        <v>329.95</v>
      </c>
      <c r="P2687" s="5">
        <v>333</v>
      </c>
      <c r="Q2687" s="5">
        <v>318</v>
      </c>
      <c r="R2687" s="5">
        <v>324.05</v>
      </c>
      <c r="S2687" s="5">
        <v>324</v>
      </c>
      <c r="T2687" s="5">
        <v>322.55</v>
      </c>
      <c r="V2687" s="5">
        <v>324.05</v>
      </c>
      <c r="Y2687" s="5">
        <v>80400</v>
      </c>
      <c r="Z2687" s="5">
        <v>26226810</v>
      </c>
      <c r="AA2687" s="5">
        <v>103</v>
      </c>
      <c r="AB2687" s="5" t="s">
        <v>85</v>
      </c>
      <c r="AC2687" s="5">
        <v>600</v>
      </c>
    </row>
    <row r="2688" spans="1:29" x14ac:dyDescent="0.3">
      <c r="A2688" s="34">
        <v>46274</v>
      </c>
      <c r="B2688" s="34">
        <v>46274</v>
      </c>
      <c r="C2688" s="5" t="s">
        <v>78</v>
      </c>
      <c r="D2688" s="5" t="s">
        <v>79</v>
      </c>
      <c r="E2688" s="5" t="s">
        <v>80</v>
      </c>
      <c r="F2688" s="5">
        <v>15157</v>
      </c>
      <c r="G2688" s="5" t="s">
        <v>8149</v>
      </c>
      <c r="H2688" s="5" t="s">
        <v>8150</v>
      </c>
      <c r="I2688" s="5" t="s">
        <v>212</v>
      </c>
      <c r="N2688" s="5" t="s">
        <v>8151</v>
      </c>
      <c r="O2688" s="5">
        <v>165.5</v>
      </c>
      <c r="P2688" s="5">
        <v>169</v>
      </c>
      <c r="Q2688" s="5">
        <v>165.5</v>
      </c>
      <c r="R2688" s="5">
        <v>167</v>
      </c>
      <c r="S2688" s="5">
        <v>167</v>
      </c>
      <c r="T2688" s="5">
        <v>166.66</v>
      </c>
      <c r="V2688" s="5">
        <v>166.25</v>
      </c>
      <c r="Y2688" s="5">
        <v>532</v>
      </c>
      <c r="Z2688" s="5">
        <v>89823.4</v>
      </c>
      <c r="AA2688" s="5">
        <v>16</v>
      </c>
      <c r="AB2688" s="5" t="s">
        <v>85</v>
      </c>
      <c r="AC2688" s="5">
        <v>1</v>
      </c>
    </row>
    <row r="2689" spans="1:29" x14ac:dyDescent="0.3">
      <c r="A2689" s="34">
        <v>46274</v>
      </c>
      <c r="B2689" s="34">
        <v>46274</v>
      </c>
      <c r="C2689" s="5" t="s">
        <v>78</v>
      </c>
      <c r="D2689" s="5" t="s">
        <v>79</v>
      </c>
      <c r="E2689" s="5" t="s">
        <v>80</v>
      </c>
      <c r="F2689" s="5">
        <v>20289</v>
      </c>
      <c r="G2689" s="5" t="s">
        <v>8152</v>
      </c>
      <c r="H2689" s="5" t="s">
        <v>8153</v>
      </c>
      <c r="I2689" s="5" t="s">
        <v>313</v>
      </c>
      <c r="N2689" s="5" t="s">
        <v>8154</v>
      </c>
      <c r="O2689" s="5">
        <v>224</v>
      </c>
      <c r="P2689" s="5">
        <v>224</v>
      </c>
      <c r="Q2689" s="5">
        <v>222</v>
      </c>
      <c r="R2689" s="5">
        <v>222.95</v>
      </c>
      <c r="S2689" s="5">
        <v>223.9</v>
      </c>
      <c r="T2689" s="5">
        <v>218.4</v>
      </c>
      <c r="V2689" s="5">
        <v>222.95</v>
      </c>
      <c r="Y2689" s="5">
        <v>1250</v>
      </c>
      <c r="Z2689" s="5">
        <v>279462.5</v>
      </c>
      <c r="AA2689" s="5">
        <v>5</v>
      </c>
      <c r="AB2689" s="5" t="s">
        <v>85</v>
      </c>
      <c r="AC2689" s="5">
        <v>250</v>
      </c>
    </row>
    <row r="2690" spans="1:29" x14ac:dyDescent="0.3">
      <c r="A2690" s="34">
        <v>46274</v>
      </c>
      <c r="B2690" s="34">
        <v>46274</v>
      </c>
      <c r="C2690" s="5" t="s">
        <v>78</v>
      </c>
      <c r="D2690" s="5" t="s">
        <v>79</v>
      </c>
      <c r="E2690" s="5" t="s">
        <v>80</v>
      </c>
      <c r="F2690" s="5">
        <v>5279</v>
      </c>
      <c r="G2690" s="5" t="s">
        <v>8155</v>
      </c>
      <c r="H2690" s="5" t="s">
        <v>8156</v>
      </c>
      <c r="I2690" s="5" t="s">
        <v>212</v>
      </c>
      <c r="N2690" s="5" t="s">
        <v>8157</v>
      </c>
      <c r="O2690" s="5">
        <v>175.3</v>
      </c>
      <c r="P2690" s="5">
        <v>177.89</v>
      </c>
      <c r="Q2690" s="5">
        <v>172.82</v>
      </c>
      <c r="R2690" s="5">
        <v>175.47</v>
      </c>
      <c r="S2690" s="5">
        <v>175.86</v>
      </c>
      <c r="T2690" s="5">
        <v>175.52</v>
      </c>
      <c r="V2690" s="5">
        <v>175.48</v>
      </c>
      <c r="Y2690" s="5">
        <v>946177</v>
      </c>
      <c r="Z2690" s="5">
        <v>165409761.69</v>
      </c>
      <c r="AA2690" s="5">
        <v>10694</v>
      </c>
      <c r="AB2690" s="5" t="s">
        <v>85</v>
      </c>
      <c r="AC2690" s="5">
        <v>1</v>
      </c>
    </row>
    <row r="2691" spans="1:29" x14ac:dyDescent="0.3">
      <c r="A2691" s="34">
        <v>46274</v>
      </c>
      <c r="B2691" s="34">
        <v>46274</v>
      </c>
      <c r="C2691" s="5" t="s">
        <v>78</v>
      </c>
      <c r="D2691" s="5" t="s">
        <v>79</v>
      </c>
      <c r="E2691" s="5" t="s">
        <v>80</v>
      </c>
      <c r="F2691" s="5">
        <v>19108</v>
      </c>
      <c r="G2691" s="5" t="s">
        <v>8158</v>
      </c>
      <c r="H2691" s="5" t="s">
        <v>8159</v>
      </c>
      <c r="I2691" s="5" t="s">
        <v>234</v>
      </c>
      <c r="N2691" s="5" t="s">
        <v>8160</v>
      </c>
      <c r="O2691" s="5">
        <v>4.95</v>
      </c>
      <c r="P2691" s="5">
        <v>4.95</v>
      </c>
      <c r="Q2691" s="5">
        <v>4.5599999999999996</v>
      </c>
      <c r="R2691" s="5">
        <v>4.7</v>
      </c>
      <c r="S2691" s="5">
        <v>4.75</v>
      </c>
      <c r="T2691" s="5">
        <v>4.8</v>
      </c>
      <c r="V2691" s="5">
        <v>4.7</v>
      </c>
      <c r="Y2691" s="5">
        <v>763266</v>
      </c>
      <c r="Z2691" s="5">
        <v>3571389.82</v>
      </c>
      <c r="AA2691" s="5">
        <v>673</v>
      </c>
      <c r="AB2691" s="5" t="s">
        <v>85</v>
      </c>
      <c r="AC2691" s="5">
        <v>1</v>
      </c>
    </row>
    <row r="2692" spans="1:29" x14ac:dyDescent="0.3">
      <c r="A2692" s="34">
        <v>46274</v>
      </c>
      <c r="B2692" s="34">
        <v>46274</v>
      </c>
      <c r="C2692" s="5" t="s">
        <v>78</v>
      </c>
      <c r="D2692" s="5" t="s">
        <v>79</v>
      </c>
      <c r="E2692" s="5" t="s">
        <v>80</v>
      </c>
      <c r="F2692" s="5">
        <v>19410</v>
      </c>
      <c r="G2692" s="5" t="s">
        <v>8161</v>
      </c>
      <c r="H2692" s="5" t="s">
        <v>8162</v>
      </c>
      <c r="I2692" s="5" t="s">
        <v>212</v>
      </c>
      <c r="N2692" s="5" t="s">
        <v>8163</v>
      </c>
      <c r="O2692" s="5">
        <v>454.6</v>
      </c>
      <c r="P2692" s="5">
        <v>459.45</v>
      </c>
      <c r="Q2692" s="5">
        <v>450.3</v>
      </c>
      <c r="R2692" s="5">
        <v>452.1</v>
      </c>
      <c r="S2692" s="5">
        <v>452</v>
      </c>
      <c r="T2692" s="5">
        <v>454.6</v>
      </c>
      <c r="V2692" s="5">
        <v>452.12</v>
      </c>
      <c r="Y2692" s="5">
        <v>42336</v>
      </c>
      <c r="Z2692" s="5">
        <v>19193894.25</v>
      </c>
      <c r="AA2692" s="5">
        <v>2390</v>
      </c>
      <c r="AB2692" s="5" t="s">
        <v>85</v>
      </c>
      <c r="AC2692" s="5">
        <v>1</v>
      </c>
    </row>
    <row r="2693" spans="1:29" x14ac:dyDescent="0.3">
      <c r="A2693" s="34">
        <v>46274</v>
      </c>
      <c r="B2693" s="34">
        <v>46274</v>
      </c>
      <c r="C2693" s="5" t="s">
        <v>78</v>
      </c>
      <c r="D2693" s="5" t="s">
        <v>79</v>
      </c>
      <c r="E2693" s="5" t="s">
        <v>80</v>
      </c>
      <c r="F2693" s="5">
        <v>28913</v>
      </c>
      <c r="G2693" s="5" t="s">
        <v>8164</v>
      </c>
      <c r="H2693" s="5" t="s">
        <v>8165</v>
      </c>
      <c r="I2693" s="5" t="s">
        <v>212</v>
      </c>
      <c r="N2693" s="5" t="s">
        <v>8166</v>
      </c>
      <c r="O2693" s="5">
        <v>56.1</v>
      </c>
      <c r="P2693" s="5">
        <v>57.65</v>
      </c>
      <c r="Q2693" s="5">
        <v>55</v>
      </c>
      <c r="R2693" s="5">
        <v>57.19</v>
      </c>
      <c r="S2693" s="5">
        <v>56.95</v>
      </c>
      <c r="T2693" s="5">
        <v>56.51</v>
      </c>
      <c r="V2693" s="5">
        <v>57.19</v>
      </c>
      <c r="Y2693" s="5">
        <v>66742</v>
      </c>
      <c r="Z2693" s="5">
        <v>3774104.82</v>
      </c>
      <c r="AA2693" s="5">
        <v>1548</v>
      </c>
      <c r="AB2693" s="5" t="s">
        <v>85</v>
      </c>
      <c r="AC2693" s="5">
        <v>1</v>
      </c>
    </row>
    <row r="2694" spans="1:29" x14ac:dyDescent="0.3">
      <c r="A2694" s="34">
        <v>46274</v>
      </c>
      <c r="B2694" s="34">
        <v>46274</v>
      </c>
      <c r="C2694" s="5" t="s">
        <v>78</v>
      </c>
      <c r="D2694" s="5" t="s">
        <v>79</v>
      </c>
      <c r="E2694" s="5" t="s">
        <v>80</v>
      </c>
      <c r="F2694" s="5">
        <v>27353</v>
      </c>
      <c r="G2694" s="5" t="s">
        <v>8167</v>
      </c>
      <c r="H2694" s="5" t="s">
        <v>8168</v>
      </c>
      <c r="I2694" s="5" t="s">
        <v>212</v>
      </c>
      <c r="N2694" s="5" t="s">
        <v>8169</v>
      </c>
      <c r="O2694" s="5">
        <v>1220</v>
      </c>
      <c r="P2694" s="5">
        <v>1241.7</v>
      </c>
      <c r="Q2694" s="5">
        <v>1185.5</v>
      </c>
      <c r="R2694" s="5">
        <v>1193.7</v>
      </c>
      <c r="S2694" s="5">
        <v>1185.5</v>
      </c>
      <c r="T2694" s="5">
        <v>1218</v>
      </c>
      <c r="V2694" s="5">
        <v>1193.75</v>
      </c>
      <c r="Y2694" s="5">
        <v>189157</v>
      </c>
      <c r="Z2694" s="5">
        <v>230001361.09999999</v>
      </c>
      <c r="AA2694" s="5">
        <v>14967</v>
      </c>
      <c r="AB2694" s="5" t="s">
        <v>85</v>
      </c>
      <c r="AC2694" s="5">
        <v>1</v>
      </c>
    </row>
    <row r="2695" spans="1:29" x14ac:dyDescent="0.3">
      <c r="A2695" s="34">
        <v>46274</v>
      </c>
      <c r="B2695" s="34">
        <v>46274</v>
      </c>
      <c r="C2695" s="5" t="s">
        <v>78</v>
      </c>
      <c r="D2695" s="5" t="s">
        <v>79</v>
      </c>
      <c r="E2695" s="5" t="s">
        <v>80</v>
      </c>
      <c r="F2695" s="5">
        <v>9049</v>
      </c>
      <c r="G2695" s="5" t="s">
        <v>8170</v>
      </c>
      <c r="H2695" s="5" t="s">
        <v>8171</v>
      </c>
      <c r="I2695" s="5" t="s">
        <v>212</v>
      </c>
      <c r="N2695" s="5" t="s">
        <v>8172</v>
      </c>
      <c r="O2695" s="5">
        <v>65.44</v>
      </c>
      <c r="P2695" s="5">
        <v>67.400000000000006</v>
      </c>
      <c r="Q2695" s="5">
        <v>64.37</v>
      </c>
      <c r="R2695" s="5">
        <v>65.67</v>
      </c>
      <c r="S2695" s="5">
        <v>65.599999999999994</v>
      </c>
      <c r="T2695" s="5">
        <v>65.44</v>
      </c>
      <c r="V2695" s="5">
        <v>65.650000000000006</v>
      </c>
      <c r="Y2695" s="5">
        <v>863803</v>
      </c>
      <c r="Z2695" s="5">
        <v>57315457.259999998</v>
      </c>
      <c r="AA2695" s="5">
        <v>6560</v>
      </c>
      <c r="AB2695" s="5" t="s">
        <v>85</v>
      </c>
      <c r="AC2695" s="5">
        <v>1</v>
      </c>
    </row>
    <row r="2696" spans="1:29" x14ac:dyDescent="0.3">
      <c r="A2696" s="34">
        <v>46274</v>
      </c>
      <c r="B2696" s="34">
        <v>46274</v>
      </c>
      <c r="C2696" s="5" t="s">
        <v>78</v>
      </c>
      <c r="D2696" s="5" t="s">
        <v>79</v>
      </c>
      <c r="E2696" s="5" t="s">
        <v>80</v>
      </c>
      <c r="F2696" s="5">
        <v>128</v>
      </c>
      <c r="G2696" s="5" t="s">
        <v>8173</v>
      </c>
      <c r="H2696" s="5" t="s">
        <v>8174</v>
      </c>
      <c r="I2696" s="5" t="s">
        <v>212</v>
      </c>
      <c r="N2696" s="5" t="s">
        <v>8175</v>
      </c>
      <c r="O2696" s="5">
        <v>500</v>
      </c>
      <c r="P2696" s="5">
        <v>506.3</v>
      </c>
      <c r="Q2696" s="5">
        <v>497.1</v>
      </c>
      <c r="R2696" s="5">
        <v>502.75</v>
      </c>
      <c r="S2696" s="5">
        <v>502</v>
      </c>
      <c r="T2696" s="5">
        <v>502.55</v>
      </c>
      <c r="V2696" s="5">
        <v>502.77</v>
      </c>
      <c r="Y2696" s="5">
        <v>76517</v>
      </c>
      <c r="Z2696" s="5">
        <v>38387021.5</v>
      </c>
      <c r="AA2696" s="5">
        <v>3168</v>
      </c>
      <c r="AB2696" s="5" t="s">
        <v>85</v>
      </c>
      <c r="AC2696" s="5">
        <v>1</v>
      </c>
    </row>
    <row r="2697" spans="1:29" x14ac:dyDescent="0.3">
      <c r="A2697" s="34">
        <v>46274</v>
      </c>
      <c r="B2697" s="34">
        <v>46274</v>
      </c>
      <c r="C2697" s="5" t="s">
        <v>78</v>
      </c>
      <c r="D2697" s="5" t="s">
        <v>79</v>
      </c>
      <c r="E2697" s="5" t="s">
        <v>80</v>
      </c>
      <c r="F2697" s="5">
        <v>20167</v>
      </c>
      <c r="G2697" s="5" t="s">
        <v>8176</v>
      </c>
      <c r="H2697" s="5" t="s">
        <v>8177</v>
      </c>
      <c r="I2697" s="5" t="s">
        <v>313</v>
      </c>
      <c r="N2697" s="5" t="s">
        <v>8178</v>
      </c>
      <c r="O2697" s="5">
        <v>46.2</v>
      </c>
      <c r="P2697" s="5">
        <v>47.45</v>
      </c>
      <c r="Q2697" s="5">
        <v>46.05</v>
      </c>
      <c r="R2697" s="5">
        <v>46.5</v>
      </c>
      <c r="S2697" s="5">
        <v>46.5</v>
      </c>
      <c r="T2697" s="5">
        <v>47.55</v>
      </c>
      <c r="V2697" s="5">
        <v>46.5</v>
      </c>
      <c r="Y2697" s="5">
        <v>14400</v>
      </c>
      <c r="Z2697" s="5">
        <v>670240</v>
      </c>
      <c r="AA2697" s="5">
        <v>9</v>
      </c>
      <c r="AB2697" s="5" t="s">
        <v>85</v>
      </c>
      <c r="AC2697" s="5">
        <v>1600</v>
      </c>
    </row>
    <row r="2698" spans="1:29" x14ac:dyDescent="0.3">
      <c r="A2698" s="34">
        <v>46274</v>
      </c>
      <c r="B2698" s="34">
        <v>46274</v>
      </c>
      <c r="C2698" s="5" t="s">
        <v>78</v>
      </c>
      <c r="D2698" s="5" t="s">
        <v>79</v>
      </c>
      <c r="E2698" s="5" t="s">
        <v>80</v>
      </c>
      <c r="F2698" s="5">
        <v>13182</v>
      </c>
      <c r="G2698" s="5" t="s">
        <v>8179</v>
      </c>
      <c r="H2698" s="5" t="s">
        <v>8180</v>
      </c>
      <c r="I2698" s="5" t="s">
        <v>212</v>
      </c>
      <c r="N2698" s="5" t="s">
        <v>8181</v>
      </c>
      <c r="O2698" s="5">
        <v>313.8</v>
      </c>
      <c r="P2698" s="5">
        <v>313.8</v>
      </c>
      <c r="Q2698" s="5">
        <v>302.39999999999998</v>
      </c>
      <c r="R2698" s="5">
        <v>304.75</v>
      </c>
      <c r="S2698" s="5">
        <v>304</v>
      </c>
      <c r="T2698" s="5">
        <v>308</v>
      </c>
      <c r="V2698" s="5">
        <v>304.76</v>
      </c>
      <c r="Y2698" s="5">
        <v>16081</v>
      </c>
      <c r="Z2698" s="5">
        <v>4912701.9000000004</v>
      </c>
      <c r="AA2698" s="5">
        <v>762</v>
      </c>
      <c r="AB2698" s="5" t="s">
        <v>85</v>
      </c>
      <c r="AC2698" s="5">
        <v>1</v>
      </c>
    </row>
    <row r="2699" spans="1:29" x14ac:dyDescent="0.3">
      <c r="A2699" s="34">
        <v>46274</v>
      </c>
      <c r="B2699" s="34">
        <v>46274</v>
      </c>
      <c r="C2699" s="5" t="s">
        <v>78</v>
      </c>
      <c r="D2699" s="5" t="s">
        <v>79</v>
      </c>
      <c r="E2699" s="5" t="s">
        <v>80</v>
      </c>
      <c r="F2699" s="5">
        <v>16725</v>
      </c>
      <c r="G2699" s="5" t="s">
        <v>8182</v>
      </c>
      <c r="H2699" s="5" t="s">
        <v>8183</v>
      </c>
      <c r="I2699" s="5" t="s">
        <v>212</v>
      </c>
      <c r="N2699" s="5" t="s">
        <v>8184</v>
      </c>
      <c r="O2699" s="5">
        <v>2848</v>
      </c>
      <c r="P2699" s="5">
        <v>2961.9</v>
      </c>
      <c r="Q2699" s="5">
        <v>2796.1</v>
      </c>
      <c r="R2699" s="5">
        <v>2812</v>
      </c>
      <c r="S2699" s="5">
        <v>2796.1</v>
      </c>
      <c r="T2699" s="5">
        <v>2802.6</v>
      </c>
      <c r="V2699" s="5">
        <v>2812.21</v>
      </c>
      <c r="Y2699" s="5">
        <v>51216</v>
      </c>
      <c r="Z2699" s="5">
        <v>147311601.09999999</v>
      </c>
      <c r="AA2699" s="5">
        <v>6807</v>
      </c>
      <c r="AB2699" s="5" t="s">
        <v>85</v>
      </c>
      <c r="AC2699" s="5">
        <v>1</v>
      </c>
    </row>
    <row r="2700" spans="1:29" x14ac:dyDescent="0.3">
      <c r="A2700" s="34">
        <v>46274</v>
      </c>
      <c r="B2700" s="34">
        <v>46274</v>
      </c>
      <c r="C2700" s="5" t="s">
        <v>78</v>
      </c>
      <c r="D2700" s="5" t="s">
        <v>79</v>
      </c>
      <c r="E2700" s="5" t="s">
        <v>80</v>
      </c>
      <c r="F2700" s="5">
        <v>8119</v>
      </c>
      <c r="G2700" s="5" t="s">
        <v>8185</v>
      </c>
      <c r="H2700" s="5" t="s">
        <v>8186</v>
      </c>
      <c r="I2700" s="5" t="s">
        <v>212</v>
      </c>
      <c r="N2700" s="5" t="s">
        <v>8187</v>
      </c>
      <c r="O2700" s="5">
        <v>810</v>
      </c>
      <c r="P2700" s="5">
        <v>888.8</v>
      </c>
      <c r="Q2700" s="5">
        <v>803.15</v>
      </c>
      <c r="R2700" s="5">
        <v>863.7</v>
      </c>
      <c r="S2700" s="5">
        <v>865.45</v>
      </c>
      <c r="T2700" s="5">
        <v>819.05</v>
      </c>
      <c r="V2700" s="5">
        <v>863.7</v>
      </c>
      <c r="Y2700" s="5">
        <v>136757</v>
      </c>
      <c r="Z2700" s="5">
        <v>118778256.40000001</v>
      </c>
      <c r="AA2700" s="5">
        <v>6380</v>
      </c>
      <c r="AB2700" s="5" t="s">
        <v>85</v>
      </c>
      <c r="AC2700" s="5">
        <v>1</v>
      </c>
    </row>
    <row r="2701" spans="1:29" x14ac:dyDescent="0.3">
      <c r="A2701" s="34">
        <v>46274</v>
      </c>
      <c r="B2701" s="34">
        <v>46274</v>
      </c>
      <c r="C2701" s="5" t="s">
        <v>78</v>
      </c>
      <c r="D2701" s="5" t="s">
        <v>79</v>
      </c>
      <c r="E2701" s="5" t="s">
        <v>80</v>
      </c>
      <c r="F2701" s="5">
        <v>7292</v>
      </c>
      <c r="G2701" s="5" t="s">
        <v>8188</v>
      </c>
      <c r="H2701" s="5" t="s">
        <v>8189</v>
      </c>
      <c r="I2701" s="5" t="s">
        <v>234</v>
      </c>
      <c r="N2701" s="5" t="s">
        <v>8190</v>
      </c>
      <c r="O2701" s="5">
        <v>223.3</v>
      </c>
      <c r="P2701" s="5">
        <v>225</v>
      </c>
      <c r="Q2701" s="5">
        <v>215.5</v>
      </c>
      <c r="R2701" s="5">
        <v>218.2</v>
      </c>
      <c r="S2701" s="5">
        <v>219.99</v>
      </c>
      <c r="T2701" s="5">
        <v>225.7</v>
      </c>
      <c r="V2701" s="5">
        <v>218.16</v>
      </c>
      <c r="Y2701" s="5">
        <v>58589</v>
      </c>
      <c r="Z2701" s="5">
        <v>12877501.859999999</v>
      </c>
      <c r="AA2701" s="5">
        <v>334</v>
      </c>
      <c r="AB2701" s="5" t="s">
        <v>85</v>
      </c>
      <c r="AC2701" s="5">
        <v>1</v>
      </c>
    </row>
    <row r="2702" spans="1:29" x14ac:dyDescent="0.3">
      <c r="A2702" s="34">
        <v>46274</v>
      </c>
      <c r="B2702" s="34">
        <v>46274</v>
      </c>
      <c r="C2702" s="5" t="s">
        <v>78</v>
      </c>
      <c r="D2702" s="5" t="s">
        <v>79</v>
      </c>
      <c r="E2702" s="5" t="s">
        <v>80</v>
      </c>
      <c r="F2702" s="5">
        <v>24730</v>
      </c>
      <c r="G2702" s="5" t="s">
        <v>8191</v>
      </c>
      <c r="H2702" s="5" t="s">
        <v>8192</v>
      </c>
      <c r="I2702" s="5" t="s">
        <v>212</v>
      </c>
      <c r="N2702" s="5" t="s">
        <v>8193</v>
      </c>
      <c r="O2702" s="5">
        <v>70.44</v>
      </c>
      <c r="P2702" s="5">
        <v>70.94</v>
      </c>
      <c r="Q2702" s="5">
        <v>67.5</v>
      </c>
      <c r="R2702" s="5">
        <v>67.89</v>
      </c>
      <c r="S2702" s="5">
        <v>68</v>
      </c>
      <c r="T2702" s="5">
        <v>70.180000000000007</v>
      </c>
      <c r="V2702" s="5">
        <v>67.97</v>
      </c>
      <c r="Y2702" s="5">
        <v>99559</v>
      </c>
      <c r="Z2702" s="5">
        <v>6884954.5099999998</v>
      </c>
      <c r="AA2702" s="5">
        <v>1286</v>
      </c>
      <c r="AB2702" s="5" t="s">
        <v>85</v>
      </c>
      <c r="AC2702" s="5">
        <v>1</v>
      </c>
    </row>
    <row r="2703" spans="1:29" x14ac:dyDescent="0.3">
      <c r="A2703" s="34">
        <v>46274</v>
      </c>
      <c r="B2703" s="34">
        <v>46274</v>
      </c>
      <c r="C2703" s="5" t="s">
        <v>78</v>
      </c>
      <c r="D2703" s="5" t="s">
        <v>79</v>
      </c>
      <c r="E2703" s="5" t="s">
        <v>80</v>
      </c>
      <c r="F2703" s="5">
        <v>759316</v>
      </c>
      <c r="G2703" s="5" t="s">
        <v>8194</v>
      </c>
      <c r="H2703" s="5" t="s">
        <v>8195</v>
      </c>
      <c r="I2703" s="5" t="s">
        <v>212</v>
      </c>
      <c r="N2703" s="5" t="s">
        <v>8196</v>
      </c>
      <c r="O2703" s="5">
        <v>1868.1</v>
      </c>
      <c r="P2703" s="5">
        <v>1868.2</v>
      </c>
      <c r="Q2703" s="5">
        <v>1792.5</v>
      </c>
      <c r="R2703" s="5">
        <v>1810.5</v>
      </c>
      <c r="S2703" s="5">
        <v>1811.7</v>
      </c>
      <c r="T2703" s="5">
        <v>1860.6</v>
      </c>
      <c r="V2703" s="5">
        <v>1810.46</v>
      </c>
      <c r="Y2703" s="5">
        <v>189015</v>
      </c>
      <c r="Z2703" s="5">
        <v>345239674.80000001</v>
      </c>
      <c r="AA2703" s="5">
        <v>18425</v>
      </c>
      <c r="AB2703" s="5" t="s">
        <v>85</v>
      </c>
      <c r="AC2703" s="5">
        <v>1</v>
      </c>
    </row>
    <row r="2704" spans="1:29" x14ac:dyDescent="0.3">
      <c r="A2704" s="34">
        <v>46274</v>
      </c>
      <c r="B2704" s="34">
        <v>46274</v>
      </c>
      <c r="C2704" s="5" t="s">
        <v>78</v>
      </c>
      <c r="D2704" s="5" t="s">
        <v>79</v>
      </c>
      <c r="E2704" s="5" t="s">
        <v>80</v>
      </c>
      <c r="F2704" s="5">
        <v>4566</v>
      </c>
      <c r="G2704" s="5" t="s">
        <v>8197</v>
      </c>
      <c r="H2704" s="5" t="s">
        <v>8198</v>
      </c>
      <c r="I2704" s="5" t="s">
        <v>212</v>
      </c>
      <c r="N2704" s="5" t="s">
        <v>8199</v>
      </c>
      <c r="O2704" s="5">
        <v>5.74</v>
      </c>
      <c r="P2704" s="5">
        <v>5.74</v>
      </c>
      <c r="Q2704" s="5">
        <v>5.53</v>
      </c>
      <c r="R2704" s="5">
        <v>5.6</v>
      </c>
      <c r="S2704" s="5">
        <v>5.6</v>
      </c>
      <c r="T2704" s="5">
        <v>5.63</v>
      </c>
      <c r="V2704" s="5">
        <v>5.6</v>
      </c>
      <c r="Y2704" s="5">
        <v>39452</v>
      </c>
      <c r="Z2704" s="5">
        <v>222400.16</v>
      </c>
      <c r="AA2704" s="5">
        <v>163</v>
      </c>
      <c r="AB2704" s="5" t="s">
        <v>85</v>
      </c>
      <c r="AC2704" s="5">
        <v>1</v>
      </c>
    </row>
    <row r="2705" spans="1:29" x14ac:dyDescent="0.3">
      <c r="A2705" s="34">
        <v>46274</v>
      </c>
      <c r="B2705" s="34">
        <v>46274</v>
      </c>
      <c r="C2705" s="5" t="s">
        <v>78</v>
      </c>
      <c r="D2705" s="5" t="s">
        <v>79</v>
      </c>
      <c r="E2705" s="5" t="s">
        <v>80</v>
      </c>
      <c r="F2705" s="5">
        <v>13821</v>
      </c>
      <c r="G2705" s="5" t="s">
        <v>8200</v>
      </c>
      <c r="H2705" s="5" t="s">
        <v>8201</v>
      </c>
      <c r="I2705" s="5" t="s">
        <v>212</v>
      </c>
      <c r="N2705" s="5" t="s">
        <v>8202</v>
      </c>
      <c r="O2705" s="5">
        <v>112.15</v>
      </c>
      <c r="P2705" s="5">
        <v>112.15</v>
      </c>
      <c r="Q2705" s="5">
        <v>109.11</v>
      </c>
      <c r="R2705" s="5">
        <v>109.8</v>
      </c>
      <c r="S2705" s="5">
        <v>110.15</v>
      </c>
      <c r="T2705" s="5">
        <v>112.17</v>
      </c>
      <c r="V2705" s="5">
        <v>109.8</v>
      </c>
      <c r="Y2705" s="5">
        <v>53343</v>
      </c>
      <c r="Z2705" s="5">
        <v>5897734.7400000002</v>
      </c>
      <c r="AA2705" s="5">
        <v>773</v>
      </c>
      <c r="AB2705" s="5" t="s">
        <v>85</v>
      </c>
      <c r="AC2705" s="5">
        <v>1</v>
      </c>
    </row>
    <row r="2706" spans="1:29" x14ac:dyDescent="0.3">
      <c r="A2706" s="34">
        <v>46274</v>
      </c>
      <c r="B2706" s="34">
        <v>46274</v>
      </c>
      <c r="C2706" s="5" t="s">
        <v>78</v>
      </c>
      <c r="D2706" s="5" t="s">
        <v>79</v>
      </c>
      <c r="E2706" s="5" t="s">
        <v>80</v>
      </c>
      <c r="F2706" s="5">
        <v>760392</v>
      </c>
      <c r="G2706" s="5" t="s">
        <v>8203</v>
      </c>
      <c r="H2706" s="5" t="s">
        <v>8204</v>
      </c>
      <c r="I2706" s="5" t="s">
        <v>212</v>
      </c>
      <c r="N2706" s="5" t="s">
        <v>8205</v>
      </c>
      <c r="O2706" s="5">
        <v>19.78</v>
      </c>
      <c r="P2706" s="5">
        <v>20.329999999999998</v>
      </c>
      <c r="Q2706" s="5">
        <v>19.75</v>
      </c>
      <c r="R2706" s="5">
        <v>19.98</v>
      </c>
      <c r="S2706" s="5">
        <v>20.23</v>
      </c>
      <c r="T2706" s="5">
        <v>19.77</v>
      </c>
      <c r="V2706" s="5">
        <v>19.98</v>
      </c>
      <c r="Y2706" s="5">
        <v>25516</v>
      </c>
      <c r="Z2706" s="5">
        <v>510357.03</v>
      </c>
      <c r="AA2706" s="5">
        <v>148</v>
      </c>
      <c r="AB2706" s="5" t="s">
        <v>85</v>
      </c>
      <c r="AC2706" s="5">
        <v>1</v>
      </c>
    </row>
    <row r="2707" spans="1:29" x14ac:dyDescent="0.3">
      <c r="A2707" s="34">
        <v>46274</v>
      </c>
      <c r="B2707" s="34">
        <v>46274</v>
      </c>
      <c r="C2707" s="5" t="s">
        <v>78</v>
      </c>
      <c r="D2707" s="5" t="s">
        <v>79</v>
      </c>
      <c r="E2707" s="5" t="s">
        <v>80</v>
      </c>
      <c r="F2707" s="5">
        <v>1486</v>
      </c>
      <c r="G2707" s="5" t="s">
        <v>8206</v>
      </c>
      <c r="H2707" s="5" t="s">
        <v>8207</v>
      </c>
      <c r="I2707" s="5" t="s">
        <v>234</v>
      </c>
      <c r="N2707" s="5" t="s">
        <v>8208</v>
      </c>
      <c r="O2707" s="5">
        <v>61</v>
      </c>
      <c r="P2707" s="5">
        <v>62.5</v>
      </c>
      <c r="Q2707" s="5">
        <v>60.1</v>
      </c>
      <c r="R2707" s="5">
        <v>60.1</v>
      </c>
      <c r="S2707" s="5">
        <v>60.1</v>
      </c>
      <c r="T2707" s="5">
        <v>61</v>
      </c>
      <c r="V2707" s="5">
        <v>60.1</v>
      </c>
      <c r="Y2707" s="5">
        <v>2275</v>
      </c>
      <c r="Z2707" s="5">
        <v>138784.32999999999</v>
      </c>
      <c r="AA2707" s="5">
        <v>29</v>
      </c>
      <c r="AB2707" s="5" t="s">
        <v>85</v>
      </c>
      <c r="AC2707" s="5">
        <v>1</v>
      </c>
    </row>
    <row r="2708" spans="1:29" x14ac:dyDescent="0.3">
      <c r="A2708" s="34">
        <v>46274</v>
      </c>
      <c r="B2708" s="34">
        <v>46274</v>
      </c>
      <c r="C2708" s="5" t="s">
        <v>78</v>
      </c>
      <c r="D2708" s="5" t="s">
        <v>79</v>
      </c>
      <c r="E2708" s="5" t="s">
        <v>80</v>
      </c>
      <c r="F2708" s="5">
        <v>23830</v>
      </c>
      <c r="G2708" s="5" t="s">
        <v>8209</v>
      </c>
      <c r="H2708" s="5" t="s">
        <v>8210</v>
      </c>
      <c r="I2708" s="5" t="s">
        <v>313</v>
      </c>
      <c r="N2708" s="5" t="s">
        <v>8211</v>
      </c>
      <c r="O2708" s="5">
        <v>109</v>
      </c>
      <c r="P2708" s="5">
        <v>110</v>
      </c>
      <c r="Q2708" s="5">
        <v>107</v>
      </c>
      <c r="R2708" s="5">
        <v>110</v>
      </c>
      <c r="S2708" s="5">
        <v>110</v>
      </c>
      <c r="T2708" s="5">
        <v>110</v>
      </c>
      <c r="V2708" s="5">
        <v>110</v>
      </c>
      <c r="Y2708" s="5">
        <v>1500</v>
      </c>
      <c r="Z2708" s="5">
        <v>163200</v>
      </c>
      <c r="AA2708" s="5">
        <v>5</v>
      </c>
      <c r="AB2708" s="5" t="s">
        <v>85</v>
      </c>
      <c r="AC2708" s="5">
        <v>300</v>
      </c>
    </row>
    <row r="2709" spans="1:29" x14ac:dyDescent="0.3">
      <c r="A2709" s="34">
        <v>46274</v>
      </c>
      <c r="B2709" s="34">
        <v>46274</v>
      </c>
      <c r="C2709" s="5" t="s">
        <v>78</v>
      </c>
      <c r="D2709" s="5" t="s">
        <v>79</v>
      </c>
      <c r="E2709" s="5" t="s">
        <v>80</v>
      </c>
      <c r="F2709" s="5">
        <v>25724</v>
      </c>
      <c r="G2709" s="5" t="s">
        <v>8212</v>
      </c>
      <c r="H2709" s="5" t="s">
        <v>8213</v>
      </c>
      <c r="I2709" s="5" t="s">
        <v>212</v>
      </c>
      <c r="N2709" s="5" t="s">
        <v>8214</v>
      </c>
      <c r="O2709" s="5">
        <v>141.5</v>
      </c>
      <c r="P2709" s="5">
        <v>143.29</v>
      </c>
      <c r="Q2709" s="5">
        <v>140.19999999999999</v>
      </c>
      <c r="R2709" s="5">
        <v>141.03</v>
      </c>
      <c r="S2709" s="5">
        <v>141.5</v>
      </c>
      <c r="T2709" s="5">
        <v>142.18</v>
      </c>
      <c r="V2709" s="5">
        <v>141.05000000000001</v>
      </c>
      <c r="Y2709" s="5">
        <v>97808</v>
      </c>
      <c r="Z2709" s="5">
        <v>13818884.59</v>
      </c>
      <c r="AA2709" s="5">
        <v>3632</v>
      </c>
      <c r="AB2709" s="5" t="s">
        <v>85</v>
      </c>
      <c r="AC2709" s="5">
        <v>1</v>
      </c>
    </row>
    <row r="2710" spans="1:29" x14ac:dyDescent="0.3">
      <c r="A2710" s="34">
        <v>46274</v>
      </c>
      <c r="B2710" s="34">
        <v>46274</v>
      </c>
      <c r="C2710" s="5" t="s">
        <v>78</v>
      </c>
      <c r="D2710" s="5" t="s">
        <v>79</v>
      </c>
      <c r="E2710" s="5" t="s">
        <v>80</v>
      </c>
      <c r="F2710" s="5">
        <v>24595</v>
      </c>
      <c r="G2710" s="5" t="s">
        <v>8215</v>
      </c>
      <c r="H2710" s="5" t="s">
        <v>8216</v>
      </c>
      <c r="I2710" s="5" t="s">
        <v>212</v>
      </c>
      <c r="N2710" s="5" t="s">
        <v>8217</v>
      </c>
      <c r="O2710" s="5">
        <v>16.27</v>
      </c>
      <c r="P2710" s="5">
        <v>16.34</v>
      </c>
      <c r="Q2710" s="5">
        <v>15.8</v>
      </c>
      <c r="R2710" s="5">
        <v>16.07</v>
      </c>
      <c r="S2710" s="5">
        <v>16.100000000000001</v>
      </c>
      <c r="T2710" s="5">
        <v>16.07</v>
      </c>
      <c r="V2710" s="5">
        <v>16.07</v>
      </c>
      <c r="Y2710" s="5">
        <v>286105</v>
      </c>
      <c r="Z2710" s="5">
        <v>4588660.6100000003</v>
      </c>
      <c r="AA2710" s="5">
        <v>799</v>
      </c>
      <c r="AB2710" s="5" t="s">
        <v>85</v>
      </c>
      <c r="AC2710" s="5">
        <v>1</v>
      </c>
    </row>
    <row r="2711" spans="1:29" x14ac:dyDescent="0.3">
      <c r="A2711" s="34">
        <v>46274</v>
      </c>
      <c r="B2711" s="34">
        <v>46274</v>
      </c>
      <c r="C2711" s="5" t="s">
        <v>78</v>
      </c>
      <c r="D2711" s="5" t="s">
        <v>79</v>
      </c>
      <c r="E2711" s="5" t="s">
        <v>80</v>
      </c>
      <c r="F2711" s="5">
        <v>764860</v>
      </c>
      <c r="G2711" s="5" t="s">
        <v>8218</v>
      </c>
      <c r="H2711" s="5" t="s">
        <v>8219</v>
      </c>
      <c r="I2711" s="5" t="s">
        <v>212</v>
      </c>
      <c r="N2711" s="5" t="s">
        <v>8220</v>
      </c>
      <c r="O2711" s="5">
        <v>192.5</v>
      </c>
      <c r="P2711" s="5">
        <v>192.5</v>
      </c>
      <c r="Q2711" s="5">
        <v>183</v>
      </c>
      <c r="R2711" s="5">
        <v>183</v>
      </c>
      <c r="S2711" s="5">
        <v>183</v>
      </c>
      <c r="T2711" s="5">
        <v>192.5</v>
      </c>
      <c r="V2711" s="5">
        <v>183</v>
      </c>
      <c r="Y2711" s="5">
        <v>51</v>
      </c>
      <c r="Z2711" s="5">
        <v>9342.5</v>
      </c>
      <c r="AA2711" s="5">
        <v>2</v>
      </c>
      <c r="AB2711" s="5" t="s">
        <v>85</v>
      </c>
      <c r="AC2711" s="5">
        <v>1</v>
      </c>
    </row>
    <row r="2712" spans="1:29" x14ac:dyDescent="0.3">
      <c r="A2712" s="34">
        <v>46274</v>
      </c>
      <c r="B2712" s="34">
        <v>46274</v>
      </c>
      <c r="C2712" s="5" t="s">
        <v>78</v>
      </c>
      <c r="D2712" s="5" t="s">
        <v>79</v>
      </c>
      <c r="E2712" s="5" t="s">
        <v>80</v>
      </c>
      <c r="F2712" s="5">
        <v>24674</v>
      </c>
      <c r="G2712" s="5" t="s">
        <v>8221</v>
      </c>
      <c r="H2712" s="5" t="s">
        <v>8222</v>
      </c>
      <c r="I2712" s="5" t="s">
        <v>313</v>
      </c>
      <c r="N2712" s="5" t="s">
        <v>8223</v>
      </c>
      <c r="O2712" s="5">
        <v>39.9</v>
      </c>
      <c r="P2712" s="5">
        <v>39.9</v>
      </c>
      <c r="Q2712" s="5">
        <v>38.049999999999997</v>
      </c>
      <c r="R2712" s="5">
        <v>38.35</v>
      </c>
      <c r="S2712" s="5">
        <v>38.299999999999997</v>
      </c>
      <c r="T2712" s="5">
        <v>38.9</v>
      </c>
      <c r="V2712" s="5">
        <v>38.35</v>
      </c>
      <c r="Y2712" s="5">
        <v>12000</v>
      </c>
      <c r="Z2712" s="5">
        <v>469150</v>
      </c>
      <c r="AA2712" s="5">
        <v>11</v>
      </c>
      <c r="AB2712" s="5" t="s">
        <v>85</v>
      </c>
      <c r="AC2712" s="5">
        <v>1000</v>
      </c>
    </row>
    <row r="2713" spans="1:29" x14ac:dyDescent="0.3">
      <c r="A2713" s="34">
        <v>46274</v>
      </c>
      <c r="B2713" s="34">
        <v>46274</v>
      </c>
      <c r="C2713" s="5" t="s">
        <v>78</v>
      </c>
      <c r="D2713" s="5" t="s">
        <v>79</v>
      </c>
      <c r="E2713" s="5" t="s">
        <v>80</v>
      </c>
      <c r="F2713" s="5">
        <v>20698</v>
      </c>
      <c r="G2713" s="5" t="s">
        <v>8224</v>
      </c>
      <c r="H2713" s="5" t="s">
        <v>8225</v>
      </c>
      <c r="I2713" s="5" t="s">
        <v>212</v>
      </c>
      <c r="N2713" s="5" t="s">
        <v>8226</v>
      </c>
      <c r="O2713" s="5">
        <v>137.99</v>
      </c>
      <c r="P2713" s="5">
        <v>137.99</v>
      </c>
      <c r="Q2713" s="5">
        <v>132.30000000000001</v>
      </c>
      <c r="R2713" s="5">
        <v>135.01</v>
      </c>
      <c r="S2713" s="5">
        <v>135</v>
      </c>
      <c r="T2713" s="5">
        <v>136.63999999999999</v>
      </c>
      <c r="V2713" s="5">
        <v>135.01</v>
      </c>
      <c r="Y2713" s="5">
        <v>21258</v>
      </c>
      <c r="Z2713" s="5">
        <v>2859625.61</v>
      </c>
      <c r="AA2713" s="5">
        <v>945</v>
      </c>
      <c r="AB2713" s="5" t="s">
        <v>85</v>
      </c>
      <c r="AC2713" s="5">
        <v>1</v>
      </c>
    </row>
    <row r="2714" spans="1:29" x14ac:dyDescent="0.3">
      <c r="A2714" s="34">
        <v>46274</v>
      </c>
      <c r="B2714" s="34">
        <v>46274</v>
      </c>
      <c r="C2714" s="5" t="s">
        <v>78</v>
      </c>
      <c r="D2714" s="5" t="s">
        <v>79</v>
      </c>
      <c r="E2714" s="5" t="s">
        <v>80</v>
      </c>
      <c r="F2714" s="5">
        <v>11212</v>
      </c>
      <c r="G2714" s="5" t="s">
        <v>8227</v>
      </c>
      <c r="H2714" s="5" t="s">
        <v>8228</v>
      </c>
      <c r="I2714" s="5" t="s">
        <v>212</v>
      </c>
      <c r="N2714" s="5" t="s">
        <v>8229</v>
      </c>
      <c r="O2714" s="5">
        <v>145.88</v>
      </c>
      <c r="P2714" s="5">
        <v>148.87</v>
      </c>
      <c r="Q2714" s="5">
        <v>143.94</v>
      </c>
      <c r="R2714" s="5">
        <v>144.97999999999999</v>
      </c>
      <c r="S2714" s="5">
        <v>144.9</v>
      </c>
      <c r="T2714" s="5">
        <v>145.59</v>
      </c>
      <c r="V2714" s="5">
        <v>144.97999999999999</v>
      </c>
      <c r="Y2714" s="5">
        <v>298967</v>
      </c>
      <c r="Z2714" s="5">
        <v>43759254.530000001</v>
      </c>
      <c r="AA2714" s="5">
        <v>5701</v>
      </c>
      <c r="AB2714" s="5" t="s">
        <v>85</v>
      </c>
      <c r="AC2714" s="5">
        <v>1</v>
      </c>
    </row>
    <row r="2715" spans="1:29" x14ac:dyDescent="0.3">
      <c r="A2715" s="34">
        <v>46274</v>
      </c>
      <c r="B2715" s="34">
        <v>46274</v>
      </c>
      <c r="C2715" s="5" t="s">
        <v>78</v>
      </c>
      <c r="D2715" s="5" t="s">
        <v>79</v>
      </c>
      <c r="E2715" s="5" t="s">
        <v>80</v>
      </c>
      <c r="F2715" s="5">
        <v>20542</v>
      </c>
      <c r="G2715" s="5" t="s">
        <v>8230</v>
      </c>
      <c r="H2715" s="5" t="s">
        <v>8231</v>
      </c>
      <c r="I2715" s="5" t="s">
        <v>313</v>
      </c>
      <c r="N2715" s="5" t="s">
        <v>8232</v>
      </c>
      <c r="O2715" s="5">
        <v>318</v>
      </c>
      <c r="P2715" s="5">
        <v>326.89999999999998</v>
      </c>
      <c r="Q2715" s="5">
        <v>316.55</v>
      </c>
      <c r="R2715" s="5">
        <v>320.14999999999998</v>
      </c>
      <c r="S2715" s="5">
        <v>322.5</v>
      </c>
      <c r="T2715" s="5">
        <v>318.64999999999998</v>
      </c>
      <c r="V2715" s="5">
        <v>320.14999999999998</v>
      </c>
      <c r="Y2715" s="5">
        <v>23750</v>
      </c>
      <c r="Z2715" s="5">
        <v>7607425</v>
      </c>
      <c r="AA2715" s="5">
        <v>70</v>
      </c>
      <c r="AB2715" s="5" t="s">
        <v>85</v>
      </c>
      <c r="AC2715" s="5">
        <v>250</v>
      </c>
    </row>
    <row r="2716" spans="1:29" x14ac:dyDescent="0.3">
      <c r="A2716" s="34">
        <v>46274</v>
      </c>
      <c r="B2716" s="34">
        <v>46274</v>
      </c>
      <c r="C2716" s="5" t="s">
        <v>78</v>
      </c>
      <c r="D2716" s="5" t="s">
        <v>79</v>
      </c>
      <c r="E2716" s="5" t="s">
        <v>80</v>
      </c>
      <c r="F2716" s="5">
        <v>764940</v>
      </c>
      <c r="G2716" s="5" t="s">
        <v>8233</v>
      </c>
      <c r="H2716" s="5" t="s">
        <v>8234</v>
      </c>
      <c r="I2716" s="5" t="s">
        <v>212</v>
      </c>
      <c r="N2716" s="5" t="s">
        <v>8235</v>
      </c>
      <c r="O2716" s="5">
        <v>156.80000000000001</v>
      </c>
      <c r="P2716" s="5">
        <v>156.9</v>
      </c>
      <c r="Q2716" s="5">
        <v>145.35</v>
      </c>
      <c r="R2716" s="5">
        <v>147.65</v>
      </c>
      <c r="S2716" s="5">
        <v>150.33000000000001</v>
      </c>
      <c r="T2716" s="5">
        <v>152.87</v>
      </c>
      <c r="V2716" s="5">
        <v>147.56</v>
      </c>
      <c r="Y2716" s="5">
        <v>1965</v>
      </c>
      <c r="Z2716" s="5">
        <v>292514.52</v>
      </c>
      <c r="AA2716" s="5">
        <v>112</v>
      </c>
      <c r="AB2716" s="5" t="s">
        <v>85</v>
      </c>
      <c r="AC2716" s="5">
        <v>1</v>
      </c>
    </row>
    <row r="2717" spans="1:29" x14ac:dyDescent="0.3">
      <c r="A2717" s="34">
        <v>46274</v>
      </c>
      <c r="B2717" s="34">
        <v>46274</v>
      </c>
      <c r="C2717" s="5" t="s">
        <v>78</v>
      </c>
      <c r="D2717" s="5" t="s">
        <v>79</v>
      </c>
      <c r="E2717" s="5" t="s">
        <v>80</v>
      </c>
      <c r="F2717" s="5">
        <v>2951</v>
      </c>
      <c r="G2717" s="5" t="s">
        <v>8236</v>
      </c>
      <c r="H2717" s="5" t="s">
        <v>8237</v>
      </c>
      <c r="I2717" s="5" t="s">
        <v>212</v>
      </c>
      <c r="N2717" s="5" t="s">
        <v>8238</v>
      </c>
      <c r="O2717" s="5">
        <v>351.1</v>
      </c>
      <c r="P2717" s="5">
        <v>359.9</v>
      </c>
      <c r="Q2717" s="5">
        <v>333.4</v>
      </c>
      <c r="R2717" s="5">
        <v>342.05</v>
      </c>
      <c r="S2717" s="5">
        <v>341</v>
      </c>
      <c r="T2717" s="5">
        <v>350.7</v>
      </c>
      <c r="V2717" s="5">
        <v>342.05</v>
      </c>
      <c r="Y2717" s="5">
        <v>7426</v>
      </c>
      <c r="Z2717" s="5">
        <v>2571863.2999999998</v>
      </c>
      <c r="AA2717" s="5">
        <v>479</v>
      </c>
      <c r="AB2717" s="5" t="s">
        <v>85</v>
      </c>
      <c r="AC2717" s="5">
        <v>1</v>
      </c>
    </row>
    <row r="2718" spans="1:29" x14ac:dyDescent="0.3">
      <c r="A2718" s="34">
        <v>46274</v>
      </c>
      <c r="B2718" s="34">
        <v>46274</v>
      </c>
      <c r="C2718" s="5" t="s">
        <v>78</v>
      </c>
      <c r="D2718" s="5" t="s">
        <v>79</v>
      </c>
      <c r="E2718" s="5" t="s">
        <v>80</v>
      </c>
      <c r="F2718" s="5">
        <v>18252</v>
      </c>
      <c r="G2718" s="5" t="s">
        <v>8239</v>
      </c>
      <c r="H2718" s="5" t="s">
        <v>8240</v>
      </c>
      <c r="I2718" s="5" t="s">
        <v>212</v>
      </c>
      <c r="N2718" s="5" t="s">
        <v>8241</v>
      </c>
      <c r="O2718" s="5">
        <v>1048.8</v>
      </c>
      <c r="P2718" s="5">
        <v>1054.9000000000001</v>
      </c>
      <c r="Q2718" s="5">
        <v>1002</v>
      </c>
      <c r="R2718" s="5">
        <v>1012.5</v>
      </c>
      <c r="S2718" s="5">
        <v>1016.9</v>
      </c>
      <c r="T2718" s="5">
        <v>1048.9000000000001</v>
      </c>
      <c r="V2718" s="5">
        <v>1012.49</v>
      </c>
      <c r="Y2718" s="5">
        <v>128022</v>
      </c>
      <c r="Z2718" s="5">
        <v>130768350.7</v>
      </c>
      <c r="AA2718" s="5">
        <v>7232</v>
      </c>
      <c r="AB2718" s="5" t="s">
        <v>85</v>
      </c>
      <c r="AC2718" s="5">
        <v>1</v>
      </c>
    </row>
    <row r="2719" spans="1:29" x14ac:dyDescent="0.3">
      <c r="A2719" s="34">
        <v>46274</v>
      </c>
      <c r="B2719" s="34">
        <v>46274</v>
      </c>
      <c r="C2719" s="5" t="s">
        <v>78</v>
      </c>
      <c r="D2719" s="5" t="s">
        <v>79</v>
      </c>
      <c r="E2719" s="5" t="s">
        <v>80</v>
      </c>
      <c r="F2719" s="5">
        <v>11634</v>
      </c>
      <c r="G2719" s="5" t="s">
        <v>8242</v>
      </c>
      <c r="H2719" s="5" t="s">
        <v>8243</v>
      </c>
      <c r="I2719" s="5" t="s">
        <v>212</v>
      </c>
      <c r="N2719" s="5" t="s">
        <v>8244</v>
      </c>
      <c r="O2719" s="5">
        <v>79.010000000000005</v>
      </c>
      <c r="P2719" s="5">
        <v>80.849999999999994</v>
      </c>
      <c r="Q2719" s="5">
        <v>77</v>
      </c>
      <c r="R2719" s="5">
        <v>79.19</v>
      </c>
      <c r="S2719" s="5">
        <v>77.61</v>
      </c>
      <c r="T2719" s="5">
        <v>79.63</v>
      </c>
      <c r="V2719" s="5">
        <v>79.239999999999995</v>
      </c>
      <c r="Y2719" s="5">
        <v>697277</v>
      </c>
      <c r="Z2719" s="5">
        <v>55056335.880000003</v>
      </c>
      <c r="AA2719" s="5">
        <v>4912</v>
      </c>
      <c r="AB2719" s="5" t="s">
        <v>85</v>
      </c>
      <c r="AC2719" s="5">
        <v>1</v>
      </c>
    </row>
    <row r="2720" spans="1:29" x14ac:dyDescent="0.3">
      <c r="A2720" s="34">
        <v>46274</v>
      </c>
      <c r="B2720" s="34">
        <v>46274</v>
      </c>
      <c r="C2720" s="5" t="s">
        <v>78</v>
      </c>
      <c r="D2720" s="5" t="s">
        <v>79</v>
      </c>
      <c r="E2720" s="5" t="s">
        <v>80</v>
      </c>
      <c r="F2720" s="5">
        <v>19112</v>
      </c>
      <c r="G2720" s="5" t="s">
        <v>8245</v>
      </c>
      <c r="H2720" s="5" t="s">
        <v>8246</v>
      </c>
      <c r="I2720" s="5" t="s">
        <v>392</v>
      </c>
      <c r="N2720" s="5" t="s">
        <v>8247</v>
      </c>
      <c r="O2720" s="5">
        <v>342.75</v>
      </c>
      <c r="P2720" s="5">
        <v>342.75</v>
      </c>
      <c r="Q2720" s="5">
        <v>325</v>
      </c>
      <c r="R2720" s="5">
        <v>333.75</v>
      </c>
      <c r="S2720" s="5">
        <v>333</v>
      </c>
      <c r="T2720" s="5">
        <v>333.8</v>
      </c>
      <c r="V2720" s="5">
        <v>333.75</v>
      </c>
      <c r="Y2720" s="5">
        <v>36600</v>
      </c>
      <c r="Z2720" s="5">
        <v>12232380</v>
      </c>
      <c r="AA2720" s="5">
        <v>29</v>
      </c>
      <c r="AB2720" s="5" t="s">
        <v>85</v>
      </c>
      <c r="AC2720" s="5">
        <v>600</v>
      </c>
    </row>
    <row r="2721" spans="1:29" x14ac:dyDescent="0.3">
      <c r="A2721" s="34">
        <v>46274</v>
      </c>
      <c r="B2721" s="34">
        <v>46274</v>
      </c>
      <c r="C2721" s="5" t="s">
        <v>78</v>
      </c>
      <c r="D2721" s="5" t="s">
        <v>79</v>
      </c>
      <c r="E2721" s="5" t="s">
        <v>80</v>
      </c>
      <c r="F2721" s="5">
        <v>759057</v>
      </c>
      <c r="G2721" s="5" t="s">
        <v>8248</v>
      </c>
      <c r="H2721" s="5" t="s">
        <v>8249</v>
      </c>
      <c r="I2721" s="5" t="s">
        <v>212</v>
      </c>
      <c r="N2721" s="5" t="s">
        <v>8250</v>
      </c>
      <c r="O2721" s="5">
        <v>415.95</v>
      </c>
      <c r="P2721" s="5">
        <v>419.9</v>
      </c>
      <c r="Q2721" s="5">
        <v>410.05</v>
      </c>
      <c r="R2721" s="5">
        <v>416</v>
      </c>
      <c r="S2721" s="5">
        <v>415.05</v>
      </c>
      <c r="T2721" s="5">
        <v>415.95</v>
      </c>
      <c r="V2721" s="5">
        <v>415.98</v>
      </c>
      <c r="Y2721" s="5">
        <v>25784</v>
      </c>
      <c r="Z2721" s="5">
        <v>10679174</v>
      </c>
      <c r="AA2721" s="5">
        <v>1200</v>
      </c>
      <c r="AB2721" s="5" t="s">
        <v>85</v>
      </c>
      <c r="AC2721" s="5">
        <v>1</v>
      </c>
    </row>
    <row r="2722" spans="1:29" x14ac:dyDescent="0.3">
      <c r="A2722" s="34">
        <v>46274</v>
      </c>
      <c r="B2722" s="34">
        <v>46274</v>
      </c>
      <c r="C2722" s="5" t="s">
        <v>78</v>
      </c>
      <c r="D2722" s="5" t="s">
        <v>79</v>
      </c>
      <c r="E2722" s="5" t="s">
        <v>80</v>
      </c>
      <c r="F2722" s="5">
        <v>757409</v>
      </c>
      <c r="G2722" s="5" t="s">
        <v>8251</v>
      </c>
      <c r="H2722" s="5" t="s">
        <v>8252</v>
      </c>
      <c r="I2722" s="5" t="s">
        <v>313</v>
      </c>
      <c r="N2722" s="5" t="s">
        <v>8253</v>
      </c>
      <c r="O2722" s="5">
        <v>513</v>
      </c>
      <c r="P2722" s="5">
        <v>519.95000000000005</v>
      </c>
      <c r="Q2722" s="5">
        <v>500</v>
      </c>
      <c r="R2722" s="5">
        <v>500.05</v>
      </c>
      <c r="S2722" s="5">
        <v>500</v>
      </c>
      <c r="T2722" s="5">
        <v>513.29999999999995</v>
      </c>
      <c r="V2722" s="5">
        <v>500.05</v>
      </c>
      <c r="Y2722" s="5">
        <v>21600</v>
      </c>
      <c r="Z2722" s="5">
        <v>10930680</v>
      </c>
      <c r="AA2722" s="5">
        <v>56</v>
      </c>
      <c r="AB2722" s="5" t="s">
        <v>85</v>
      </c>
      <c r="AC2722" s="5">
        <v>300</v>
      </c>
    </row>
    <row r="2723" spans="1:29" x14ac:dyDescent="0.3">
      <c r="A2723" s="34">
        <v>46274</v>
      </c>
      <c r="B2723" s="34">
        <v>46274</v>
      </c>
      <c r="C2723" s="5" t="s">
        <v>78</v>
      </c>
      <c r="D2723" s="5" t="s">
        <v>79</v>
      </c>
      <c r="E2723" s="5" t="s">
        <v>80</v>
      </c>
      <c r="F2723" s="5">
        <v>13236</v>
      </c>
      <c r="G2723" s="5" t="s">
        <v>8254</v>
      </c>
      <c r="H2723" s="5" t="s">
        <v>8255</v>
      </c>
      <c r="I2723" s="5" t="s">
        <v>212</v>
      </c>
      <c r="N2723" s="5" t="s">
        <v>8256</v>
      </c>
      <c r="O2723" s="5">
        <v>7.98</v>
      </c>
      <c r="P2723" s="5">
        <v>8.3800000000000008</v>
      </c>
      <c r="Q2723" s="5">
        <v>7.9</v>
      </c>
      <c r="R2723" s="5">
        <v>8.3000000000000007</v>
      </c>
      <c r="S2723" s="5">
        <v>8.35</v>
      </c>
      <c r="T2723" s="5">
        <v>7.99</v>
      </c>
      <c r="V2723" s="5">
        <v>8.2899999999999991</v>
      </c>
      <c r="Y2723" s="5">
        <v>286011</v>
      </c>
      <c r="Z2723" s="5">
        <v>2365093.5699999998</v>
      </c>
      <c r="AA2723" s="5">
        <v>462</v>
      </c>
      <c r="AB2723" s="5" t="s">
        <v>85</v>
      </c>
      <c r="AC2723" s="5">
        <v>1</v>
      </c>
    </row>
    <row r="2724" spans="1:29" x14ac:dyDescent="0.3">
      <c r="A2724" s="34">
        <v>46274</v>
      </c>
      <c r="B2724" s="34">
        <v>46274</v>
      </c>
      <c r="C2724" s="5" t="s">
        <v>78</v>
      </c>
      <c r="D2724" s="5" t="s">
        <v>79</v>
      </c>
      <c r="E2724" s="5" t="s">
        <v>80</v>
      </c>
      <c r="F2724" s="5">
        <v>10622</v>
      </c>
      <c r="G2724" s="5" t="s">
        <v>8257</v>
      </c>
      <c r="H2724" s="5" t="s">
        <v>8258</v>
      </c>
      <c r="I2724" s="5" t="s">
        <v>234</v>
      </c>
      <c r="N2724" s="5" t="s">
        <v>8259</v>
      </c>
      <c r="O2724" s="5">
        <v>2.61</v>
      </c>
      <c r="P2724" s="5">
        <v>2.62</v>
      </c>
      <c r="Q2724" s="5">
        <v>2.5499999999999998</v>
      </c>
      <c r="R2724" s="5">
        <v>2.5499999999999998</v>
      </c>
      <c r="S2724" s="5">
        <v>2.5499999999999998</v>
      </c>
      <c r="T2724" s="5">
        <v>2.6</v>
      </c>
      <c r="V2724" s="5">
        <v>2.5499999999999998</v>
      </c>
      <c r="Y2724" s="5">
        <v>44394</v>
      </c>
      <c r="Z2724" s="5">
        <v>114096.25</v>
      </c>
      <c r="AA2724" s="5">
        <v>110</v>
      </c>
      <c r="AB2724" s="5" t="s">
        <v>85</v>
      </c>
      <c r="AC2724" s="5">
        <v>1</v>
      </c>
    </row>
    <row r="2725" spans="1:29" x14ac:dyDescent="0.3">
      <c r="A2725" s="34">
        <v>46274</v>
      </c>
      <c r="B2725" s="34">
        <v>46274</v>
      </c>
      <c r="C2725" s="5" t="s">
        <v>78</v>
      </c>
      <c r="D2725" s="5" t="s">
        <v>79</v>
      </c>
      <c r="E2725" s="5" t="s">
        <v>80</v>
      </c>
      <c r="F2725" s="5">
        <v>15349</v>
      </c>
      <c r="G2725" s="5" t="s">
        <v>8260</v>
      </c>
      <c r="H2725" s="5" t="s">
        <v>8261</v>
      </c>
      <c r="I2725" s="5" t="s">
        <v>234</v>
      </c>
      <c r="N2725" s="5" t="s">
        <v>8262</v>
      </c>
      <c r="O2725" s="5">
        <v>2.78</v>
      </c>
      <c r="P2725" s="5">
        <v>2.81</v>
      </c>
      <c r="Q2725" s="5">
        <v>2.78</v>
      </c>
      <c r="R2725" s="5">
        <v>2.81</v>
      </c>
      <c r="S2725" s="5">
        <v>2.81</v>
      </c>
      <c r="T2725" s="5">
        <v>2.82</v>
      </c>
      <c r="V2725" s="5">
        <v>2.81</v>
      </c>
      <c r="Y2725" s="5">
        <v>1051201</v>
      </c>
      <c r="Z2725" s="5">
        <v>2934511.23</v>
      </c>
      <c r="AA2725" s="5">
        <v>308</v>
      </c>
      <c r="AB2725" s="5" t="s">
        <v>85</v>
      </c>
      <c r="AC2725" s="5">
        <v>1</v>
      </c>
    </row>
    <row r="2726" spans="1:29" x14ac:dyDescent="0.3">
      <c r="A2726" s="34">
        <v>46274</v>
      </c>
      <c r="B2726" s="34">
        <v>46274</v>
      </c>
      <c r="C2726" s="5" t="s">
        <v>78</v>
      </c>
      <c r="D2726" s="5" t="s">
        <v>79</v>
      </c>
      <c r="E2726" s="5" t="s">
        <v>80</v>
      </c>
      <c r="F2726" s="5">
        <v>22897</v>
      </c>
      <c r="G2726" s="5" t="s">
        <v>8263</v>
      </c>
      <c r="H2726" s="5" t="s">
        <v>8264</v>
      </c>
      <c r="I2726" s="5" t="s">
        <v>313</v>
      </c>
      <c r="N2726" s="5" t="s">
        <v>8265</v>
      </c>
      <c r="O2726" s="5">
        <v>112.45</v>
      </c>
      <c r="P2726" s="5">
        <v>112.45</v>
      </c>
      <c r="Q2726" s="5">
        <v>109</v>
      </c>
      <c r="R2726" s="5">
        <v>112</v>
      </c>
      <c r="S2726" s="5">
        <v>112</v>
      </c>
      <c r="T2726" s="5">
        <v>112.45</v>
      </c>
      <c r="V2726" s="5">
        <v>112</v>
      </c>
      <c r="Y2726" s="5">
        <v>10800</v>
      </c>
      <c r="Z2726" s="5">
        <v>1192410</v>
      </c>
      <c r="AA2726" s="5">
        <v>16</v>
      </c>
      <c r="AB2726" s="5" t="s">
        <v>85</v>
      </c>
      <c r="AC2726" s="5">
        <v>600</v>
      </c>
    </row>
    <row r="2727" spans="1:29" x14ac:dyDescent="0.3">
      <c r="A2727" s="34">
        <v>46274</v>
      </c>
      <c r="B2727" s="34">
        <v>46274</v>
      </c>
      <c r="C2727" s="5" t="s">
        <v>78</v>
      </c>
      <c r="D2727" s="5" t="s">
        <v>79</v>
      </c>
      <c r="E2727" s="5" t="s">
        <v>80</v>
      </c>
      <c r="F2727" s="5">
        <v>13035</v>
      </c>
      <c r="G2727" s="5" t="s">
        <v>8266</v>
      </c>
      <c r="H2727" s="5" t="s">
        <v>8267</v>
      </c>
      <c r="I2727" s="5" t="s">
        <v>212</v>
      </c>
      <c r="N2727" s="5" t="s">
        <v>8268</v>
      </c>
      <c r="O2727" s="5">
        <v>1533</v>
      </c>
      <c r="P2727" s="5">
        <v>1543.9</v>
      </c>
      <c r="Q2727" s="5">
        <v>1499.9</v>
      </c>
      <c r="R2727" s="5">
        <v>1534.2</v>
      </c>
      <c r="S2727" s="5">
        <v>1537.9</v>
      </c>
      <c r="T2727" s="5">
        <v>1533.7</v>
      </c>
      <c r="V2727" s="5">
        <v>1534.07</v>
      </c>
      <c r="Y2727" s="5">
        <v>36130</v>
      </c>
      <c r="Z2727" s="5">
        <v>55154247.399999999</v>
      </c>
      <c r="AA2727" s="5">
        <v>5769</v>
      </c>
      <c r="AB2727" s="5" t="s">
        <v>85</v>
      </c>
      <c r="AC2727" s="5">
        <v>1</v>
      </c>
    </row>
    <row r="2728" spans="1:29" x14ac:dyDescent="0.3">
      <c r="A2728" s="34">
        <v>46274</v>
      </c>
      <c r="B2728" s="34">
        <v>46274</v>
      </c>
      <c r="C2728" s="5" t="s">
        <v>78</v>
      </c>
      <c r="D2728" s="5" t="s">
        <v>79</v>
      </c>
      <c r="E2728" s="5" t="s">
        <v>80</v>
      </c>
      <c r="F2728" s="5">
        <v>757583</v>
      </c>
      <c r="G2728" s="5" t="s">
        <v>8269</v>
      </c>
      <c r="H2728" s="5" t="s">
        <v>8270</v>
      </c>
      <c r="I2728" s="5" t="s">
        <v>313</v>
      </c>
      <c r="N2728" s="5" t="s">
        <v>8271</v>
      </c>
      <c r="O2728" s="5">
        <v>264</v>
      </c>
      <c r="P2728" s="5">
        <v>272</v>
      </c>
      <c r="Q2728" s="5">
        <v>259.05</v>
      </c>
      <c r="R2728" s="5">
        <v>271.25</v>
      </c>
      <c r="S2728" s="5">
        <v>272</v>
      </c>
      <c r="T2728" s="5">
        <v>263.75</v>
      </c>
      <c r="V2728" s="5">
        <v>271.25</v>
      </c>
      <c r="Y2728" s="5">
        <v>22000</v>
      </c>
      <c r="Z2728" s="5">
        <v>5872875</v>
      </c>
      <c r="AA2728" s="5">
        <v>41</v>
      </c>
      <c r="AB2728" s="5" t="s">
        <v>85</v>
      </c>
      <c r="AC2728" s="5">
        <v>500</v>
      </c>
    </row>
    <row r="2729" spans="1:29" x14ac:dyDescent="0.3">
      <c r="A2729" s="34">
        <v>46274</v>
      </c>
      <c r="B2729" s="34">
        <v>46274</v>
      </c>
      <c r="C2729" s="5" t="s">
        <v>78</v>
      </c>
      <c r="D2729" s="5" t="s">
        <v>79</v>
      </c>
      <c r="E2729" s="5" t="s">
        <v>80</v>
      </c>
      <c r="F2729" s="5">
        <v>14068</v>
      </c>
      <c r="G2729" s="5" t="s">
        <v>8272</v>
      </c>
      <c r="H2729" s="5" t="s">
        <v>8273</v>
      </c>
      <c r="I2729" s="5" t="s">
        <v>212</v>
      </c>
      <c r="N2729" s="5" t="s">
        <v>8274</v>
      </c>
      <c r="O2729" s="5">
        <v>152.81</v>
      </c>
      <c r="P2729" s="5">
        <v>155</v>
      </c>
      <c r="Q2729" s="5">
        <v>149.82</v>
      </c>
      <c r="R2729" s="5">
        <v>150.94</v>
      </c>
      <c r="S2729" s="5">
        <v>152.11000000000001</v>
      </c>
      <c r="T2729" s="5">
        <v>151.82</v>
      </c>
      <c r="V2729" s="5">
        <v>150.94</v>
      </c>
      <c r="Y2729" s="5">
        <v>52413</v>
      </c>
      <c r="Z2729" s="5">
        <v>7937747.7199999997</v>
      </c>
      <c r="AA2729" s="5">
        <v>916</v>
      </c>
      <c r="AB2729" s="5" t="s">
        <v>85</v>
      </c>
      <c r="AC2729" s="5">
        <v>1</v>
      </c>
    </row>
    <row r="2730" spans="1:29" x14ac:dyDescent="0.3">
      <c r="A2730" s="34">
        <v>46274</v>
      </c>
      <c r="B2730" s="34">
        <v>46274</v>
      </c>
      <c r="C2730" s="5" t="s">
        <v>78</v>
      </c>
      <c r="D2730" s="5" t="s">
        <v>79</v>
      </c>
      <c r="E2730" s="5" t="s">
        <v>80</v>
      </c>
      <c r="F2730" s="5">
        <v>8175</v>
      </c>
      <c r="G2730" s="5" t="s">
        <v>8275</v>
      </c>
      <c r="H2730" s="5" t="s">
        <v>8276</v>
      </c>
      <c r="I2730" s="5" t="s">
        <v>212</v>
      </c>
      <c r="N2730" s="5" t="s">
        <v>8277</v>
      </c>
      <c r="O2730" s="5">
        <v>24.23</v>
      </c>
      <c r="P2730" s="5">
        <v>24.23</v>
      </c>
      <c r="Q2730" s="5">
        <v>23.49</v>
      </c>
      <c r="R2730" s="5">
        <v>23.7</v>
      </c>
      <c r="S2730" s="5">
        <v>23.7</v>
      </c>
      <c r="T2730" s="5">
        <v>23.98</v>
      </c>
      <c r="V2730" s="5">
        <v>23.7</v>
      </c>
      <c r="Y2730" s="5">
        <v>6387</v>
      </c>
      <c r="Z2730" s="5">
        <v>151545.16</v>
      </c>
      <c r="AA2730" s="5">
        <v>95</v>
      </c>
      <c r="AB2730" s="5" t="s">
        <v>85</v>
      </c>
      <c r="AC2730" s="5">
        <v>1</v>
      </c>
    </row>
    <row r="2731" spans="1:29" x14ac:dyDescent="0.3">
      <c r="A2731" s="34">
        <v>46274</v>
      </c>
      <c r="B2731" s="34">
        <v>46274</v>
      </c>
      <c r="C2731" s="5" t="s">
        <v>78</v>
      </c>
      <c r="D2731" s="5" t="s">
        <v>79</v>
      </c>
      <c r="E2731" s="5" t="s">
        <v>80</v>
      </c>
      <c r="F2731" s="5">
        <v>27052</v>
      </c>
      <c r="G2731" s="5" t="s">
        <v>8278</v>
      </c>
      <c r="H2731" s="5" t="s">
        <v>8279</v>
      </c>
      <c r="I2731" s="5" t="s">
        <v>212</v>
      </c>
      <c r="N2731" s="5" t="s">
        <v>8280</v>
      </c>
      <c r="O2731" s="5">
        <v>45.7</v>
      </c>
      <c r="P2731" s="5">
        <v>45.7</v>
      </c>
      <c r="Q2731" s="5">
        <v>44.83</v>
      </c>
      <c r="R2731" s="5">
        <v>45.2</v>
      </c>
      <c r="S2731" s="5">
        <v>45.2</v>
      </c>
      <c r="T2731" s="5">
        <v>45.7</v>
      </c>
      <c r="V2731" s="5">
        <v>45.19</v>
      </c>
      <c r="Y2731" s="5">
        <v>9776027</v>
      </c>
      <c r="Z2731" s="5">
        <v>441250116.58999997</v>
      </c>
      <c r="AA2731" s="5">
        <v>21220</v>
      </c>
      <c r="AB2731" s="5" t="s">
        <v>85</v>
      </c>
      <c r="AC2731" s="5">
        <v>1</v>
      </c>
    </row>
    <row r="2732" spans="1:29" x14ac:dyDescent="0.3">
      <c r="A2732" s="34">
        <v>46274</v>
      </c>
      <c r="B2732" s="34">
        <v>46274</v>
      </c>
      <c r="C2732" s="5" t="s">
        <v>78</v>
      </c>
      <c r="D2732" s="5" t="s">
        <v>79</v>
      </c>
      <c r="E2732" s="5" t="s">
        <v>80</v>
      </c>
      <c r="F2732" s="5">
        <v>24478</v>
      </c>
      <c r="G2732" s="5" t="s">
        <v>8281</v>
      </c>
      <c r="H2732" s="5" t="s">
        <v>8282</v>
      </c>
      <c r="I2732" s="5" t="s">
        <v>313</v>
      </c>
      <c r="N2732" s="5" t="s">
        <v>8283</v>
      </c>
      <c r="O2732" s="5">
        <v>94.5</v>
      </c>
      <c r="P2732" s="5">
        <v>98</v>
      </c>
      <c r="Q2732" s="5">
        <v>94</v>
      </c>
      <c r="R2732" s="5">
        <v>94.05</v>
      </c>
      <c r="S2732" s="5">
        <v>94.05</v>
      </c>
      <c r="T2732" s="5">
        <v>94.3</v>
      </c>
      <c r="V2732" s="5">
        <v>94.05</v>
      </c>
      <c r="Y2732" s="5">
        <v>24000</v>
      </c>
      <c r="Z2732" s="5">
        <v>2303700</v>
      </c>
      <c r="AA2732" s="5">
        <v>54</v>
      </c>
      <c r="AB2732" s="5" t="s">
        <v>85</v>
      </c>
      <c r="AC2732" s="5">
        <v>400</v>
      </c>
    </row>
    <row r="2733" spans="1:29" x14ac:dyDescent="0.3">
      <c r="A2733" s="34">
        <v>46274</v>
      </c>
      <c r="B2733" s="34">
        <v>46274</v>
      </c>
      <c r="C2733" s="5" t="s">
        <v>78</v>
      </c>
      <c r="D2733" s="5" t="s">
        <v>79</v>
      </c>
      <c r="E2733" s="5" t="s">
        <v>80</v>
      </c>
      <c r="F2733" s="5">
        <v>16711</v>
      </c>
      <c r="G2733" s="5" t="s">
        <v>8284</v>
      </c>
      <c r="H2733" s="5" t="s">
        <v>8285</v>
      </c>
      <c r="I2733" s="5" t="s">
        <v>313</v>
      </c>
      <c r="N2733" s="5" t="s">
        <v>8286</v>
      </c>
      <c r="O2733" s="5">
        <v>888</v>
      </c>
      <c r="P2733" s="5">
        <v>915</v>
      </c>
      <c r="Q2733" s="5">
        <v>887.75</v>
      </c>
      <c r="R2733" s="5">
        <v>898.65</v>
      </c>
      <c r="S2733" s="5">
        <v>900</v>
      </c>
      <c r="T2733" s="5">
        <v>887.85</v>
      </c>
      <c r="V2733" s="5">
        <v>898.65</v>
      </c>
      <c r="Y2733" s="5">
        <v>16800</v>
      </c>
      <c r="Z2733" s="5">
        <v>15115230</v>
      </c>
      <c r="AA2733" s="5">
        <v>101</v>
      </c>
      <c r="AB2733" s="5" t="s">
        <v>85</v>
      </c>
      <c r="AC2733" s="5">
        <v>150</v>
      </c>
    </row>
    <row r="2734" spans="1:29" x14ac:dyDescent="0.3">
      <c r="A2734" s="34">
        <v>46274</v>
      </c>
      <c r="B2734" s="34">
        <v>46274</v>
      </c>
      <c r="C2734" s="5" t="s">
        <v>78</v>
      </c>
      <c r="D2734" s="5" t="s">
        <v>79</v>
      </c>
      <c r="E2734" s="5" t="s">
        <v>80</v>
      </c>
      <c r="F2734" s="5">
        <v>25668</v>
      </c>
      <c r="G2734" s="5" t="s">
        <v>8287</v>
      </c>
      <c r="H2734" s="5" t="s">
        <v>8288</v>
      </c>
      <c r="I2734" s="5" t="s">
        <v>313</v>
      </c>
      <c r="N2734" s="5" t="s">
        <v>8289</v>
      </c>
      <c r="O2734" s="5">
        <v>307</v>
      </c>
      <c r="P2734" s="5">
        <v>307</v>
      </c>
      <c r="Q2734" s="5">
        <v>300.2</v>
      </c>
      <c r="R2734" s="5">
        <v>301.64999999999998</v>
      </c>
      <c r="S2734" s="5">
        <v>300.5</v>
      </c>
      <c r="T2734" s="5">
        <v>305.75</v>
      </c>
      <c r="V2734" s="5">
        <v>301.64999999999998</v>
      </c>
      <c r="Y2734" s="5">
        <v>18800</v>
      </c>
      <c r="Z2734" s="5">
        <v>5708880</v>
      </c>
      <c r="AA2734" s="5">
        <v>40</v>
      </c>
      <c r="AB2734" s="5" t="s">
        <v>85</v>
      </c>
      <c r="AC2734" s="5">
        <v>400</v>
      </c>
    </row>
    <row r="2735" spans="1:29" x14ac:dyDescent="0.3">
      <c r="A2735" s="34">
        <v>46274</v>
      </c>
      <c r="B2735" s="34">
        <v>46274</v>
      </c>
      <c r="C2735" s="5" t="s">
        <v>78</v>
      </c>
      <c r="D2735" s="5" t="s">
        <v>79</v>
      </c>
      <c r="E2735" s="5" t="s">
        <v>80</v>
      </c>
      <c r="F2735" s="5">
        <v>14900</v>
      </c>
      <c r="G2735" s="5" t="s">
        <v>8290</v>
      </c>
      <c r="H2735" s="5" t="s">
        <v>8291</v>
      </c>
      <c r="I2735" s="5" t="s">
        <v>212</v>
      </c>
      <c r="N2735" s="5" t="s">
        <v>8292</v>
      </c>
      <c r="O2735" s="5">
        <v>385.55</v>
      </c>
      <c r="P2735" s="5">
        <v>385.55</v>
      </c>
      <c r="Q2735" s="5">
        <v>375</v>
      </c>
      <c r="R2735" s="5">
        <v>377.05</v>
      </c>
      <c r="S2735" s="5">
        <v>380</v>
      </c>
      <c r="T2735" s="5">
        <v>385</v>
      </c>
      <c r="V2735" s="5">
        <v>377.05</v>
      </c>
      <c r="Y2735" s="5">
        <v>11550</v>
      </c>
      <c r="Z2735" s="5">
        <v>4370769.8</v>
      </c>
      <c r="AA2735" s="5">
        <v>806</v>
      </c>
      <c r="AB2735" s="5" t="s">
        <v>85</v>
      </c>
      <c r="AC2735" s="5">
        <v>1</v>
      </c>
    </row>
    <row r="2736" spans="1:29" x14ac:dyDescent="0.3">
      <c r="A2736" s="34">
        <v>46274</v>
      </c>
      <c r="B2736" s="34">
        <v>46274</v>
      </c>
      <c r="C2736" s="5" t="s">
        <v>78</v>
      </c>
      <c r="D2736" s="5" t="s">
        <v>79</v>
      </c>
      <c r="E2736" s="5" t="s">
        <v>80</v>
      </c>
      <c r="F2736" s="5">
        <v>764865</v>
      </c>
      <c r="G2736" s="5" t="s">
        <v>8293</v>
      </c>
      <c r="H2736" s="5" t="s">
        <v>8294</v>
      </c>
      <c r="I2736" s="5" t="s">
        <v>212</v>
      </c>
      <c r="N2736" s="5" t="s">
        <v>8295</v>
      </c>
      <c r="O2736" s="5">
        <v>154.15</v>
      </c>
      <c r="P2736" s="5">
        <v>154.15</v>
      </c>
      <c r="Q2736" s="5">
        <v>144.19999999999999</v>
      </c>
      <c r="R2736" s="5">
        <v>144.19999999999999</v>
      </c>
      <c r="S2736" s="5">
        <v>144.19999999999999</v>
      </c>
      <c r="T2736" s="5">
        <v>151.11000000000001</v>
      </c>
      <c r="V2736" s="5">
        <v>145.1</v>
      </c>
      <c r="Y2736" s="5">
        <v>472</v>
      </c>
      <c r="Z2736" s="5">
        <v>70721.23</v>
      </c>
      <c r="AA2736" s="5">
        <v>20</v>
      </c>
      <c r="AB2736" s="5" t="s">
        <v>85</v>
      </c>
      <c r="AC2736" s="5">
        <v>1</v>
      </c>
    </row>
    <row r="2737" spans="1:29" x14ac:dyDescent="0.3">
      <c r="A2737" s="34">
        <v>46274</v>
      </c>
      <c r="B2737" s="34">
        <v>46274</v>
      </c>
      <c r="C2737" s="5" t="s">
        <v>78</v>
      </c>
      <c r="D2737" s="5" t="s">
        <v>79</v>
      </c>
      <c r="E2737" s="5" t="s">
        <v>80</v>
      </c>
      <c r="F2737" s="5">
        <v>27839</v>
      </c>
      <c r="G2737" s="5" t="s">
        <v>8296</v>
      </c>
      <c r="H2737" s="5" t="s">
        <v>8297</v>
      </c>
      <c r="I2737" s="5" t="s">
        <v>212</v>
      </c>
      <c r="N2737" s="5" t="s">
        <v>8298</v>
      </c>
      <c r="O2737" s="5">
        <v>1647.3</v>
      </c>
      <c r="P2737" s="5">
        <v>1697</v>
      </c>
      <c r="Q2737" s="5">
        <v>1642</v>
      </c>
      <c r="R2737" s="5">
        <v>1675.4</v>
      </c>
      <c r="S2737" s="5">
        <v>1679.9</v>
      </c>
      <c r="T2737" s="5">
        <v>1647.1</v>
      </c>
      <c r="V2737" s="5">
        <v>1675.4</v>
      </c>
      <c r="Y2737" s="5">
        <v>1332770</v>
      </c>
      <c r="Z2737" s="5">
        <v>2234270916.0999999</v>
      </c>
      <c r="AA2737" s="5">
        <v>63159</v>
      </c>
      <c r="AB2737" s="5" t="s">
        <v>85</v>
      </c>
      <c r="AC2737" s="5">
        <v>1</v>
      </c>
    </row>
    <row r="2738" spans="1:29" x14ac:dyDescent="0.3">
      <c r="A2738" s="34">
        <v>46274</v>
      </c>
      <c r="B2738" s="34">
        <v>46274</v>
      </c>
      <c r="C2738" s="5" t="s">
        <v>78</v>
      </c>
      <c r="D2738" s="5" t="s">
        <v>79</v>
      </c>
      <c r="E2738" s="5" t="s">
        <v>80</v>
      </c>
      <c r="F2738" s="5">
        <v>761675</v>
      </c>
      <c r="G2738" s="5" t="s">
        <v>8299</v>
      </c>
      <c r="H2738" s="5" t="s">
        <v>8300</v>
      </c>
      <c r="I2738" s="5" t="s">
        <v>212</v>
      </c>
      <c r="N2738" s="5" t="s">
        <v>8301</v>
      </c>
      <c r="O2738" s="5">
        <v>524.9</v>
      </c>
      <c r="P2738" s="5">
        <v>533.45000000000005</v>
      </c>
      <c r="Q2738" s="5">
        <v>521.35</v>
      </c>
      <c r="R2738" s="5">
        <v>526.15</v>
      </c>
      <c r="S2738" s="5">
        <v>531.4</v>
      </c>
      <c r="T2738" s="5">
        <v>529.70000000000005</v>
      </c>
      <c r="V2738" s="5">
        <v>526.16</v>
      </c>
      <c r="Y2738" s="5">
        <v>68600</v>
      </c>
      <c r="Z2738" s="5">
        <v>36125528</v>
      </c>
      <c r="AA2738" s="5">
        <v>4840</v>
      </c>
      <c r="AB2738" s="5" t="s">
        <v>85</v>
      </c>
      <c r="AC2738" s="5">
        <v>1</v>
      </c>
    </row>
    <row r="2739" spans="1:29" x14ac:dyDescent="0.3">
      <c r="A2739" s="34">
        <v>46274</v>
      </c>
      <c r="B2739" s="34">
        <v>46274</v>
      </c>
      <c r="C2739" s="5" t="s">
        <v>78</v>
      </c>
      <c r="D2739" s="5" t="s">
        <v>79</v>
      </c>
      <c r="E2739" s="5" t="s">
        <v>80</v>
      </c>
      <c r="F2739" s="5">
        <v>18755</v>
      </c>
      <c r="G2739" s="5" t="s">
        <v>8302</v>
      </c>
      <c r="H2739" s="5" t="s">
        <v>8303</v>
      </c>
      <c r="I2739" s="5" t="s">
        <v>212</v>
      </c>
      <c r="N2739" s="5" t="s">
        <v>8304</v>
      </c>
      <c r="O2739" s="5">
        <v>85.3</v>
      </c>
      <c r="P2739" s="5">
        <v>85.74</v>
      </c>
      <c r="Q2739" s="5">
        <v>84.01</v>
      </c>
      <c r="R2739" s="5">
        <v>84.92</v>
      </c>
      <c r="S2739" s="5">
        <v>84.99</v>
      </c>
      <c r="T2739" s="5">
        <v>85.37</v>
      </c>
      <c r="V2739" s="5">
        <v>84.91</v>
      </c>
      <c r="Y2739" s="5">
        <v>518967</v>
      </c>
      <c r="Z2739" s="5">
        <v>43933270.850000001</v>
      </c>
      <c r="AA2739" s="5">
        <v>3110</v>
      </c>
      <c r="AB2739" s="5" t="s">
        <v>85</v>
      </c>
      <c r="AC2739" s="5">
        <v>1</v>
      </c>
    </row>
    <row r="2740" spans="1:29" x14ac:dyDescent="0.3">
      <c r="A2740" s="34">
        <v>46274</v>
      </c>
      <c r="B2740" s="34">
        <v>46274</v>
      </c>
      <c r="C2740" s="5" t="s">
        <v>78</v>
      </c>
      <c r="D2740" s="5" t="s">
        <v>79</v>
      </c>
      <c r="E2740" s="5" t="s">
        <v>80</v>
      </c>
      <c r="F2740" s="5">
        <v>764880</v>
      </c>
      <c r="G2740" s="5" t="s">
        <v>8305</v>
      </c>
      <c r="H2740" s="5" t="s">
        <v>8306</v>
      </c>
      <c r="I2740" s="5" t="s">
        <v>212</v>
      </c>
      <c r="N2740" s="5" t="s">
        <v>8307</v>
      </c>
      <c r="O2740" s="5">
        <v>113.8</v>
      </c>
      <c r="P2740" s="5">
        <v>114.19</v>
      </c>
      <c r="Q2740" s="5">
        <v>110.25</v>
      </c>
      <c r="R2740" s="5">
        <v>111.7</v>
      </c>
      <c r="S2740" s="5">
        <v>112.26</v>
      </c>
      <c r="T2740" s="5">
        <v>113.19</v>
      </c>
      <c r="V2740" s="5">
        <v>111.71</v>
      </c>
      <c r="Y2740" s="5">
        <v>29556</v>
      </c>
      <c r="Z2740" s="5">
        <v>3320104.2</v>
      </c>
      <c r="AA2740" s="5">
        <v>441</v>
      </c>
      <c r="AB2740" s="5" t="s">
        <v>85</v>
      </c>
      <c r="AC2740" s="5">
        <v>1</v>
      </c>
    </row>
    <row r="2741" spans="1:29" x14ac:dyDescent="0.3">
      <c r="A2741" s="34">
        <v>46274</v>
      </c>
      <c r="B2741" s="34">
        <v>46274</v>
      </c>
      <c r="C2741" s="5" t="s">
        <v>78</v>
      </c>
      <c r="D2741" s="5" t="s">
        <v>79</v>
      </c>
      <c r="E2741" s="5" t="s">
        <v>80</v>
      </c>
      <c r="F2741" s="5">
        <v>25715</v>
      </c>
      <c r="G2741" s="5" t="s">
        <v>8308</v>
      </c>
      <c r="H2741" s="5" t="s">
        <v>8309</v>
      </c>
      <c r="I2741" s="5" t="s">
        <v>392</v>
      </c>
      <c r="N2741" s="5" t="s">
        <v>8310</v>
      </c>
      <c r="O2741" s="5">
        <v>36.200000000000003</v>
      </c>
      <c r="P2741" s="5">
        <v>36.200000000000003</v>
      </c>
      <c r="Q2741" s="5">
        <v>36.1</v>
      </c>
      <c r="R2741" s="5">
        <v>36.1</v>
      </c>
      <c r="S2741" s="5">
        <v>36.1</v>
      </c>
      <c r="T2741" s="5">
        <v>38</v>
      </c>
      <c r="V2741" s="5">
        <v>36.1</v>
      </c>
      <c r="Y2741" s="5">
        <v>6000</v>
      </c>
      <c r="Z2741" s="5">
        <v>216800</v>
      </c>
      <c r="AA2741" s="5">
        <v>3</v>
      </c>
      <c r="AB2741" s="5" t="s">
        <v>85</v>
      </c>
      <c r="AC2741" s="5">
        <v>2000</v>
      </c>
    </row>
    <row r="2742" spans="1:29" x14ac:dyDescent="0.3">
      <c r="A2742" s="34">
        <v>46274</v>
      </c>
      <c r="B2742" s="34">
        <v>46274</v>
      </c>
      <c r="C2742" s="5" t="s">
        <v>78</v>
      </c>
      <c r="D2742" s="5" t="s">
        <v>79</v>
      </c>
      <c r="E2742" s="5" t="s">
        <v>80</v>
      </c>
      <c r="F2742" s="5">
        <v>9539</v>
      </c>
      <c r="G2742" s="5" t="s">
        <v>8311</v>
      </c>
      <c r="H2742" s="5" t="s">
        <v>8312</v>
      </c>
      <c r="I2742" s="5" t="s">
        <v>212</v>
      </c>
      <c r="N2742" s="5" t="s">
        <v>8313</v>
      </c>
      <c r="O2742" s="5">
        <v>1169</v>
      </c>
      <c r="P2742" s="5">
        <v>1178.95</v>
      </c>
      <c r="Q2742" s="5">
        <v>1114</v>
      </c>
      <c r="R2742" s="5">
        <v>1152.3499999999999</v>
      </c>
      <c r="S2742" s="5">
        <v>1142</v>
      </c>
      <c r="T2742" s="5">
        <v>1157.8499999999999</v>
      </c>
      <c r="V2742" s="5">
        <v>1152.3499999999999</v>
      </c>
      <c r="Y2742" s="5">
        <v>141701</v>
      </c>
      <c r="Z2742" s="5">
        <v>161627418.55000001</v>
      </c>
      <c r="AA2742" s="5">
        <v>12060</v>
      </c>
      <c r="AB2742" s="5" t="s">
        <v>85</v>
      </c>
      <c r="AC2742" s="5">
        <v>1</v>
      </c>
    </row>
    <row r="2743" spans="1:29" x14ac:dyDescent="0.3">
      <c r="A2743" s="34">
        <v>46274</v>
      </c>
      <c r="B2743" s="34">
        <v>46274</v>
      </c>
      <c r="C2743" s="5" t="s">
        <v>78</v>
      </c>
      <c r="D2743" s="5" t="s">
        <v>79</v>
      </c>
      <c r="E2743" s="5" t="s">
        <v>80</v>
      </c>
      <c r="F2743" s="5">
        <v>11794</v>
      </c>
      <c r="G2743" s="5" t="s">
        <v>8314</v>
      </c>
      <c r="H2743" s="5" t="s">
        <v>8315</v>
      </c>
      <c r="I2743" s="5" t="s">
        <v>212</v>
      </c>
      <c r="N2743" s="5" t="s">
        <v>8316</v>
      </c>
      <c r="O2743" s="5">
        <v>149.97999999999999</v>
      </c>
      <c r="P2743" s="5">
        <v>152.5</v>
      </c>
      <c r="Q2743" s="5">
        <v>147.30000000000001</v>
      </c>
      <c r="R2743" s="5">
        <v>151.41</v>
      </c>
      <c r="S2743" s="5">
        <v>150.81</v>
      </c>
      <c r="T2743" s="5">
        <v>149.97999999999999</v>
      </c>
      <c r="V2743" s="5">
        <v>151.38</v>
      </c>
      <c r="Y2743" s="5">
        <v>243104</v>
      </c>
      <c r="Z2743" s="5">
        <v>36575164.689999998</v>
      </c>
      <c r="AA2743" s="5">
        <v>4210</v>
      </c>
      <c r="AB2743" s="5" t="s">
        <v>85</v>
      </c>
      <c r="AC2743" s="5">
        <v>1</v>
      </c>
    </row>
    <row r="2744" spans="1:29" x14ac:dyDescent="0.3">
      <c r="A2744" s="34">
        <v>46274</v>
      </c>
      <c r="B2744" s="34">
        <v>46274</v>
      </c>
      <c r="C2744" s="5" t="s">
        <v>78</v>
      </c>
      <c r="D2744" s="5" t="s">
        <v>79</v>
      </c>
      <c r="E2744" s="5" t="s">
        <v>80</v>
      </c>
      <c r="F2744" s="5">
        <v>2969</v>
      </c>
      <c r="G2744" s="5" t="s">
        <v>8317</v>
      </c>
      <c r="H2744" s="5" t="s">
        <v>8318</v>
      </c>
      <c r="I2744" s="5" t="s">
        <v>212</v>
      </c>
      <c r="N2744" s="5" t="s">
        <v>8319</v>
      </c>
      <c r="O2744" s="5">
        <v>19.809999999999999</v>
      </c>
      <c r="P2744" s="5">
        <v>19.920000000000002</v>
      </c>
      <c r="Q2744" s="5">
        <v>19.2</v>
      </c>
      <c r="R2744" s="5">
        <v>19.55</v>
      </c>
      <c r="S2744" s="5">
        <v>19.690000000000001</v>
      </c>
      <c r="T2744" s="5">
        <v>19.93</v>
      </c>
      <c r="V2744" s="5">
        <v>19.55</v>
      </c>
      <c r="Y2744" s="5">
        <v>96334</v>
      </c>
      <c r="Z2744" s="5">
        <v>1878155.87</v>
      </c>
      <c r="AA2744" s="5">
        <v>602</v>
      </c>
      <c r="AB2744" s="5" t="s">
        <v>85</v>
      </c>
      <c r="AC2744" s="5">
        <v>1</v>
      </c>
    </row>
    <row r="2745" spans="1:29" x14ac:dyDescent="0.3">
      <c r="A2745" s="34">
        <v>46274</v>
      </c>
      <c r="B2745" s="34">
        <v>46274</v>
      </c>
      <c r="C2745" s="5" t="s">
        <v>78</v>
      </c>
      <c r="D2745" s="5" t="s">
        <v>79</v>
      </c>
      <c r="E2745" s="5" t="s">
        <v>80</v>
      </c>
      <c r="F2745" s="5">
        <v>13251</v>
      </c>
      <c r="G2745" s="5" t="s">
        <v>8320</v>
      </c>
      <c r="H2745" s="5" t="s">
        <v>8321</v>
      </c>
      <c r="I2745" s="5" t="s">
        <v>212</v>
      </c>
      <c r="N2745" s="5" t="s">
        <v>8322</v>
      </c>
      <c r="O2745" s="5">
        <v>1.63</v>
      </c>
      <c r="P2745" s="5">
        <v>1.64</v>
      </c>
      <c r="Q2745" s="5">
        <v>1.59</v>
      </c>
      <c r="R2745" s="5">
        <v>1.6</v>
      </c>
      <c r="S2745" s="5">
        <v>1.61</v>
      </c>
      <c r="T2745" s="5">
        <v>1.63</v>
      </c>
      <c r="V2745" s="5">
        <v>1.6</v>
      </c>
      <c r="Y2745" s="5">
        <v>538066</v>
      </c>
      <c r="Z2745" s="5">
        <v>866982</v>
      </c>
      <c r="AA2745" s="5">
        <v>824</v>
      </c>
      <c r="AB2745" s="5" t="s">
        <v>85</v>
      </c>
      <c r="AC2745" s="5">
        <v>1</v>
      </c>
    </row>
    <row r="2746" spans="1:29" x14ac:dyDescent="0.3">
      <c r="A2746" s="34">
        <v>46274</v>
      </c>
      <c r="B2746" s="34">
        <v>46274</v>
      </c>
      <c r="C2746" s="5" t="s">
        <v>78</v>
      </c>
      <c r="D2746" s="5" t="s">
        <v>79</v>
      </c>
      <c r="E2746" s="5" t="s">
        <v>80</v>
      </c>
      <c r="F2746" s="5">
        <v>21362</v>
      </c>
      <c r="G2746" s="5" t="s">
        <v>8323</v>
      </c>
      <c r="H2746" s="5" t="s">
        <v>8324</v>
      </c>
      <c r="I2746" s="5" t="s">
        <v>212</v>
      </c>
      <c r="N2746" s="5" t="s">
        <v>8325</v>
      </c>
      <c r="O2746" s="5">
        <v>5.14</v>
      </c>
      <c r="P2746" s="5">
        <v>5.15</v>
      </c>
      <c r="Q2746" s="5">
        <v>5.05</v>
      </c>
      <c r="R2746" s="5">
        <v>5.08</v>
      </c>
      <c r="S2746" s="5">
        <v>5.0999999999999996</v>
      </c>
      <c r="T2746" s="5">
        <v>5.14</v>
      </c>
      <c r="V2746" s="5">
        <v>5.08</v>
      </c>
      <c r="Y2746" s="5">
        <v>3215266</v>
      </c>
      <c r="Z2746" s="5">
        <v>16430558.16</v>
      </c>
      <c r="AA2746" s="5">
        <v>2794</v>
      </c>
      <c r="AB2746" s="5" t="s">
        <v>85</v>
      </c>
      <c r="AC2746" s="5">
        <v>1</v>
      </c>
    </row>
    <row r="2747" spans="1:29" x14ac:dyDescent="0.3">
      <c r="A2747" s="34">
        <v>46274</v>
      </c>
      <c r="B2747" s="34">
        <v>46274</v>
      </c>
      <c r="C2747" s="5" t="s">
        <v>78</v>
      </c>
      <c r="D2747" s="5" t="s">
        <v>79</v>
      </c>
      <c r="E2747" s="5" t="s">
        <v>80</v>
      </c>
      <c r="F2747" s="5">
        <v>17351</v>
      </c>
      <c r="G2747" s="5" t="s">
        <v>8326</v>
      </c>
      <c r="H2747" s="5" t="s">
        <v>8327</v>
      </c>
      <c r="I2747" s="5" t="s">
        <v>212</v>
      </c>
      <c r="N2747" s="5" t="s">
        <v>8328</v>
      </c>
      <c r="O2747" s="5">
        <v>261.95</v>
      </c>
      <c r="P2747" s="5">
        <v>269</v>
      </c>
      <c r="Q2747" s="5">
        <v>255.1</v>
      </c>
      <c r="R2747" s="5">
        <v>264.25</v>
      </c>
      <c r="S2747" s="5">
        <v>265.85000000000002</v>
      </c>
      <c r="T2747" s="5">
        <v>259.3</v>
      </c>
      <c r="V2747" s="5">
        <v>264.25</v>
      </c>
      <c r="Y2747" s="5">
        <v>246</v>
      </c>
      <c r="Z2747" s="5">
        <v>64542.35</v>
      </c>
      <c r="AA2747" s="5">
        <v>16</v>
      </c>
      <c r="AB2747" s="5" t="s">
        <v>85</v>
      </c>
      <c r="AC2747" s="5">
        <v>1</v>
      </c>
    </row>
    <row r="2748" spans="1:29" x14ac:dyDescent="0.3">
      <c r="A2748" s="34">
        <v>46274</v>
      </c>
      <c r="B2748" s="34">
        <v>46274</v>
      </c>
      <c r="C2748" s="5" t="s">
        <v>78</v>
      </c>
      <c r="D2748" s="5" t="s">
        <v>79</v>
      </c>
      <c r="E2748" s="5" t="s">
        <v>80</v>
      </c>
      <c r="F2748" s="5">
        <v>11399</v>
      </c>
      <c r="G2748" s="5" t="s">
        <v>8329</v>
      </c>
      <c r="H2748" s="5" t="s">
        <v>8330</v>
      </c>
      <c r="I2748" s="5" t="s">
        <v>212</v>
      </c>
      <c r="N2748" s="5" t="s">
        <v>8331</v>
      </c>
      <c r="O2748" s="5">
        <v>550.54999999999995</v>
      </c>
      <c r="P2748" s="5">
        <v>558.85</v>
      </c>
      <c r="Q2748" s="5">
        <v>548.25</v>
      </c>
      <c r="R2748" s="5">
        <v>552.15</v>
      </c>
      <c r="S2748" s="5">
        <v>551.20000000000005</v>
      </c>
      <c r="T2748" s="5">
        <v>550.54999999999995</v>
      </c>
      <c r="V2748" s="5">
        <v>552.15</v>
      </c>
      <c r="Y2748" s="5">
        <v>21705</v>
      </c>
      <c r="Z2748" s="5">
        <v>12000245.699999999</v>
      </c>
      <c r="AA2748" s="5">
        <v>1368</v>
      </c>
      <c r="AB2748" s="5" t="s">
        <v>85</v>
      </c>
      <c r="AC2748" s="5">
        <v>1</v>
      </c>
    </row>
    <row r="2749" spans="1:29" x14ac:dyDescent="0.3">
      <c r="A2749" s="34">
        <v>46274</v>
      </c>
      <c r="B2749" s="34">
        <v>46274</v>
      </c>
      <c r="C2749" s="5" t="s">
        <v>78</v>
      </c>
      <c r="D2749" s="5" t="s">
        <v>79</v>
      </c>
      <c r="E2749" s="5" t="s">
        <v>80</v>
      </c>
      <c r="F2749" s="5">
        <v>756851</v>
      </c>
      <c r="G2749" s="5" t="s">
        <v>8332</v>
      </c>
      <c r="H2749" s="5" t="s">
        <v>8333</v>
      </c>
      <c r="I2749" s="5" t="s">
        <v>392</v>
      </c>
      <c r="N2749" s="5" t="s">
        <v>8334</v>
      </c>
      <c r="O2749" s="5">
        <v>44.5</v>
      </c>
      <c r="P2749" s="5">
        <v>45.95</v>
      </c>
      <c r="Q2749" s="5">
        <v>44.5</v>
      </c>
      <c r="R2749" s="5">
        <v>45.95</v>
      </c>
      <c r="S2749" s="5">
        <v>45.95</v>
      </c>
      <c r="T2749" s="5">
        <v>46</v>
      </c>
      <c r="V2749" s="5">
        <v>45.95</v>
      </c>
      <c r="Y2749" s="5">
        <v>8000</v>
      </c>
      <c r="Z2749" s="5">
        <v>361800</v>
      </c>
      <c r="AA2749" s="5">
        <v>2</v>
      </c>
      <c r="AB2749" s="5" t="s">
        <v>85</v>
      </c>
      <c r="AC2749" s="5">
        <v>4000</v>
      </c>
    </row>
    <row r="2750" spans="1:29" x14ac:dyDescent="0.3">
      <c r="A2750" s="34">
        <v>46274</v>
      </c>
      <c r="B2750" s="34">
        <v>46274</v>
      </c>
      <c r="C2750" s="5" t="s">
        <v>78</v>
      </c>
      <c r="D2750" s="5" t="s">
        <v>79</v>
      </c>
      <c r="E2750" s="5" t="s">
        <v>80</v>
      </c>
      <c r="F2750" s="5">
        <v>764870</v>
      </c>
      <c r="G2750" s="5" t="s">
        <v>8335</v>
      </c>
      <c r="H2750" s="5" t="s">
        <v>8336</v>
      </c>
      <c r="I2750" s="5" t="s">
        <v>212</v>
      </c>
      <c r="N2750" s="5" t="s">
        <v>8337</v>
      </c>
      <c r="O2750" s="5">
        <v>122</v>
      </c>
      <c r="P2750" s="5">
        <v>122</v>
      </c>
      <c r="Q2750" s="5">
        <v>113.01</v>
      </c>
      <c r="R2750" s="5">
        <v>113.01</v>
      </c>
      <c r="S2750" s="5">
        <v>113.01</v>
      </c>
      <c r="T2750" s="5">
        <v>118</v>
      </c>
      <c r="V2750" s="5">
        <v>113.19</v>
      </c>
      <c r="Y2750" s="5">
        <v>633</v>
      </c>
      <c r="Z2750" s="5">
        <v>74351.31</v>
      </c>
      <c r="AA2750" s="5">
        <v>22</v>
      </c>
      <c r="AB2750" s="5" t="s">
        <v>85</v>
      </c>
      <c r="AC2750" s="5">
        <v>1</v>
      </c>
    </row>
    <row r="2751" spans="1:29" x14ac:dyDescent="0.3">
      <c r="A2751" s="34">
        <v>46274</v>
      </c>
      <c r="B2751" s="34">
        <v>46274</v>
      </c>
      <c r="C2751" s="5" t="s">
        <v>78</v>
      </c>
      <c r="D2751" s="5" t="s">
        <v>79</v>
      </c>
      <c r="E2751" s="5" t="s">
        <v>80</v>
      </c>
      <c r="F2751" s="5">
        <v>4127</v>
      </c>
      <c r="G2751" s="5" t="s">
        <v>8338</v>
      </c>
      <c r="H2751" s="5" t="s">
        <v>8339</v>
      </c>
      <c r="I2751" s="5" t="s">
        <v>212</v>
      </c>
      <c r="N2751" s="5" t="s">
        <v>8340</v>
      </c>
      <c r="O2751" s="5">
        <v>5.71</v>
      </c>
      <c r="P2751" s="5">
        <v>6.03</v>
      </c>
      <c r="Q2751" s="5">
        <v>5.71</v>
      </c>
      <c r="R2751" s="5">
        <v>5.78</v>
      </c>
      <c r="S2751" s="5">
        <v>5.77</v>
      </c>
      <c r="T2751" s="5">
        <v>5.96</v>
      </c>
      <c r="V2751" s="5">
        <v>5.8</v>
      </c>
      <c r="Y2751" s="5">
        <v>21822</v>
      </c>
      <c r="Z2751" s="5">
        <v>127559.81</v>
      </c>
      <c r="AA2751" s="5">
        <v>108</v>
      </c>
      <c r="AB2751" s="5" t="s">
        <v>85</v>
      </c>
      <c r="AC2751" s="5">
        <v>1</v>
      </c>
    </row>
    <row r="2752" spans="1:29" x14ac:dyDescent="0.3">
      <c r="A2752" s="34">
        <v>46274</v>
      </c>
      <c r="B2752" s="34">
        <v>46274</v>
      </c>
      <c r="C2752" s="5" t="s">
        <v>78</v>
      </c>
      <c r="D2752" s="5" t="s">
        <v>79</v>
      </c>
      <c r="E2752" s="5" t="s">
        <v>80</v>
      </c>
      <c r="F2752" s="5">
        <v>757767</v>
      </c>
      <c r="G2752" s="5" t="s">
        <v>8341</v>
      </c>
      <c r="H2752" s="5" t="s">
        <v>8342</v>
      </c>
      <c r="I2752" s="5" t="s">
        <v>212</v>
      </c>
      <c r="N2752" s="5" t="s">
        <v>8343</v>
      </c>
      <c r="O2752" s="5">
        <v>128.05000000000001</v>
      </c>
      <c r="P2752" s="5">
        <v>132.6</v>
      </c>
      <c r="Q2752" s="5">
        <v>127.57</v>
      </c>
      <c r="R2752" s="5">
        <v>130.44</v>
      </c>
      <c r="S2752" s="5">
        <v>130.69999999999999</v>
      </c>
      <c r="T2752" s="5">
        <v>128.66999999999999</v>
      </c>
      <c r="V2752" s="5">
        <v>130.41999999999999</v>
      </c>
      <c r="Y2752" s="5">
        <v>2972046</v>
      </c>
      <c r="Z2752" s="5">
        <v>389456986.79000002</v>
      </c>
      <c r="AA2752" s="5">
        <v>21167</v>
      </c>
      <c r="AB2752" s="5" t="s">
        <v>85</v>
      </c>
      <c r="AC2752" s="5">
        <v>1</v>
      </c>
    </row>
    <row r="2753" spans="1:29" x14ac:dyDescent="0.3">
      <c r="A2753" s="34">
        <v>46274</v>
      </c>
      <c r="B2753" s="34">
        <v>46274</v>
      </c>
      <c r="C2753" s="5" t="s">
        <v>78</v>
      </c>
      <c r="D2753" s="5" t="s">
        <v>79</v>
      </c>
      <c r="E2753" s="5" t="s">
        <v>80</v>
      </c>
      <c r="F2753" s="5">
        <v>21096</v>
      </c>
      <c r="G2753" s="5" t="s">
        <v>8344</v>
      </c>
      <c r="H2753" s="5" t="s">
        <v>8345</v>
      </c>
      <c r="I2753" s="5" t="s">
        <v>313</v>
      </c>
      <c r="N2753" s="5" t="s">
        <v>8346</v>
      </c>
      <c r="O2753" s="5">
        <v>4.6500000000000004</v>
      </c>
      <c r="P2753" s="5">
        <v>4.7</v>
      </c>
      <c r="Q2753" s="5">
        <v>4.55</v>
      </c>
      <c r="R2753" s="5">
        <v>4.6500000000000004</v>
      </c>
      <c r="S2753" s="5">
        <v>4.7</v>
      </c>
      <c r="T2753" s="5">
        <v>4.55</v>
      </c>
      <c r="V2753" s="5">
        <v>4.6500000000000004</v>
      </c>
      <c r="Y2753" s="5">
        <v>240000</v>
      </c>
      <c r="Z2753" s="5">
        <v>1109400</v>
      </c>
      <c r="AA2753" s="5">
        <v>50</v>
      </c>
      <c r="AB2753" s="5" t="s">
        <v>85</v>
      </c>
      <c r="AC2753" s="5">
        <v>4000</v>
      </c>
    </row>
    <row r="2754" spans="1:29" x14ac:dyDescent="0.3">
      <c r="A2754" s="34">
        <v>46274</v>
      </c>
      <c r="B2754" s="34">
        <v>46274</v>
      </c>
      <c r="C2754" s="5" t="s">
        <v>78</v>
      </c>
      <c r="D2754" s="5" t="s">
        <v>79</v>
      </c>
      <c r="E2754" s="5" t="s">
        <v>80</v>
      </c>
      <c r="F2754" s="5">
        <v>18614</v>
      </c>
      <c r="G2754" s="5" t="s">
        <v>8347</v>
      </c>
      <c r="H2754" s="5" t="s">
        <v>8348</v>
      </c>
      <c r="I2754" s="5" t="s">
        <v>212</v>
      </c>
      <c r="N2754" s="5" t="s">
        <v>8349</v>
      </c>
      <c r="O2754" s="5">
        <v>155.9</v>
      </c>
      <c r="P2754" s="5">
        <v>156.19999999999999</v>
      </c>
      <c r="Q2754" s="5">
        <v>151.82</v>
      </c>
      <c r="R2754" s="5">
        <v>152.43</v>
      </c>
      <c r="S2754" s="5">
        <v>152.19</v>
      </c>
      <c r="T2754" s="5">
        <v>155.61000000000001</v>
      </c>
      <c r="V2754" s="5">
        <v>152.43</v>
      </c>
      <c r="Y2754" s="5">
        <v>989725</v>
      </c>
      <c r="Z2754" s="5">
        <v>152025590.30000001</v>
      </c>
      <c r="AA2754" s="5">
        <v>19435</v>
      </c>
      <c r="AB2754" s="5" t="s">
        <v>85</v>
      </c>
      <c r="AC2754" s="5">
        <v>1</v>
      </c>
    </row>
    <row r="2755" spans="1:29" x14ac:dyDescent="0.3">
      <c r="A2755" s="34">
        <v>46274</v>
      </c>
      <c r="B2755" s="34">
        <v>46274</v>
      </c>
      <c r="C2755" s="5" t="s">
        <v>78</v>
      </c>
      <c r="D2755" s="5" t="s">
        <v>79</v>
      </c>
      <c r="E2755" s="5" t="s">
        <v>80</v>
      </c>
      <c r="F2755" s="5">
        <v>30125</v>
      </c>
      <c r="G2755" s="5" t="s">
        <v>8350</v>
      </c>
      <c r="H2755" s="5" t="s">
        <v>8351</v>
      </c>
      <c r="I2755" s="5" t="s">
        <v>212</v>
      </c>
      <c r="N2755" s="5" t="s">
        <v>8352</v>
      </c>
      <c r="O2755" s="5">
        <v>153</v>
      </c>
      <c r="P2755" s="5">
        <v>153.24</v>
      </c>
      <c r="Q2755" s="5">
        <v>149.81</v>
      </c>
      <c r="R2755" s="5">
        <v>150.13</v>
      </c>
      <c r="S2755" s="5">
        <v>150.26</v>
      </c>
      <c r="T2755" s="5">
        <v>153</v>
      </c>
      <c r="V2755" s="5">
        <v>150.13</v>
      </c>
      <c r="Y2755" s="5">
        <v>4799914</v>
      </c>
      <c r="Z2755" s="5">
        <v>724523777.33000004</v>
      </c>
      <c r="AA2755" s="5">
        <v>20761</v>
      </c>
      <c r="AB2755" s="5" t="s">
        <v>85</v>
      </c>
      <c r="AC2755" s="5">
        <v>1</v>
      </c>
    </row>
    <row r="2756" spans="1:29" x14ac:dyDescent="0.3">
      <c r="A2756" s="34">
        <v>46274</v>
      </c>
      <c r="B2756" s="34">
        <v>46274</v>
      </c>
      <c r="C2756" s="5" t="s">
        <v>78</v>
      </c>
      <c r="D2756" s="5" t="s">
        <v>79</v>
      </c>
      <c r="E2756" s="5" t="s">
        <v>80</v>
      </c>
      <c r="F2756" s="5">
        <v>27303</v>
      </c>
      <c r="G2756" s="5" t="s">
        <v>8353</v>
      </c>
      <c r="H2756" s="5" t="s">
        <v>8354</v>
      </c>
      <c r="I2756" s="5" t="s">
        <v>212</v>
      </c>
      <c r="N2756" s="5" t="s">
        <v>8355</v>
      </c>
      <c r="O2756" s="5">
        <v>24.47</v>
      </c>
      <c r="P2756" s="5">
        <v>24.59</v>
      </c>
      <c r="Q2756" s="5">
        <v>23.75</v>
      </c>
      <c r="R2756" s="5">
        <v>23.99</v>
      </c>
      <c r="S2756" s="5">
        <v>24.01</v>
      </c>
      <c r="T2756" s="5">
        <v>24.35</v>
      </c>
      <c r="V2756" s="5">
        <v>23.99</v>
      </c>
      <c r="Y2756" s="5">
        <v>13466</v>
      </c>
      <c r="Z2756" s="5">
        <v>325433.76</v>
      </c>
      <c r="AA2756" s="5">
        <v>156</v>
      </c>
      <c r="AB2756" s="5" t="s">
        <v>85</v>
      </c>
      <c r="AC2756" s="5">
        <v>1</v>
      </c>
    </row>
    <row r="2757" spans="1:29" x14ac:dyDescent="0.3">
      <c r="A2757" s="34">
        <v>46274</v>
      </c>
      <c r="B2757" s="34">
        <v>46274</v>
      </c>
      <c r="C2757" s="5" t="s">
        <v>78</v>
      </c>
      <c r="D2757" s="5" t="s">
        <v>79</v>
      </c>
      <c r="E2757" s="5" t="s">
        <v>80</v>
      </c>
      <c r="F2757" s="5">
        <v>4204</v>
      </c>
      <c r="G2757" s="5" t="s">
        <v>8356</v>
      </c>
      <c r="H2757" s="5" t="s">
        <v>8357</v>
      </c>
      <c r="I2757" s="5" t="s">
        <v>212</v>
      </c>
      <c r="N2757" s="5" t="s">
        <v>8358</v>
      </c>
      <c r="O2757" s="5">
        <v>162.99</v>
      </c>
      <c r="P2757" s="5">
        <v>165.04</v>
      </c>
      <c r="Q2757" s="5">
        <v>162.5</v>
      </c>
      <c r="R2757" s="5">
        <v>163.69999999999999</v>
      </c>
      <c r="S2757" s="5">
        <v>163.69999999999999</v>
      </c>
      <c r="T2757" s="5">
        <v>163.85</v>
      </c>
      <c r="V2757" s="5">
        <v>163.69999999999999</v>
      </c>
      <c r="Y2757" s="5">
        <v>6002467</v>
      </c>
      <c r="Z2757" s="5">
        <v>984680266.25</v>
      </c>
      <c r="AA2757" s="5">
        <v>36001</v>
      </c>
      <c r="AB2757" s="5" t="s">
        <v>85</v>
      </c>
      <c r="AC2757" s="5">
        <v>1</v>
      </c>
    </row>
    <row r="2758" spans="1:29" x14ac:dyDescent="0.3">
      <c r="A2758" s="34">
        <v>46274</v>
      </c>
      <c r="B2758" s="34">
        <v>46274</v>
      </c>
      <c r="C2758" s="5" t="s">
        <v>78</v>
      </c>
      <c r="D2758" s="5" t="s">
        <v>79</v>
      </c>
      <c r="E2758" s="5" t="s">
        <v>80</v>
      </c>
      <c r="F2758" s="5">
        <v>28805</v>
      </c>
      <c r="G2758" s="5" t="s">
        <v>8359</v>
      </c>
      <c r="H2758" s="5" t="s">
        <v>8360</v>
      </c>
      <c r="I2758" s="5" t="s">
        <v>212</v>
      </c>
      <c r="N2758" s="5" t="s">
        <v>8361</v>
      </c>
      <c r="O2758" s="5">
        <v>475</v>
      </c>
      <c r="P2758" s="5">
        <v>488.05</v>
      </c>
      <c r="Q2758" s="5">
        <v>472</v>
      </c>
      <c r="R2758" s="5">
        <v>480.35</v>
      </c>
      <c r="S2758" s="5">
        <v>478.55</v>
      </c>
      <c r="T2758" s="5">
        <v>470.5</v>
      </c>
      <c r="V2758" s="5">
        <v>480.35</v>
      </c>
      <c r="Y2758" s="5">
        <v>243757</v>
      </c>
      <c r="Z2758" s="5">
        <v>117264593.75</v>
      </c>
      <c r="AA2758" s="5">
        <v>11813</v>
      </c>
      <c r="AB2758" s="5" t="s">
        <v>85</v>
      </c>
      <c r="AC2758" s="5">
        <v>1</v>
      </c>
    </row>
    <row r="2759" spans="1:29" x14ac:dyDescent="0.3">
      <c r="A2759" s="34">
        <v>46274</v>
      </c>
      <c r="B2759" s="34">
        <v>46274</v>
      </c>
      <c r="C2759" s="5" t="s">
        <v>78</v>
      </c>
      <c r="D2759" s="5" t="s">
        <v>79</v>
      </c>
      <c r="E2759" s="5" t="s">
        <v>80</v>
      </c>
      <c r="F2759" s="5">
        <v>2988</v>
      </c>
      <c r="G2759" s="5" t="s">
        <v>8362</v>
      </c>
      <c r="H2759" s="5" t="s">
        <v>8363</v>
      </c>
      <c r="I2759" s="5" t="s">
        <v>212</v>
      </c>
      <c r="N2759" s="5" t="s">
        <v>8364</v>
      </c>
      <c r="O2759" s="5">
        <v>1051.0999999999999</v>
      </c>
      <c r="P2759" s="5">
        <v>1069.9000000000001</v>
      </c>
      <c r="Q2759" s="5">
        <v>1020</v>
      </c>
      <c r="R2759" s="5">
        <v>1028.7</v>
      </c>
      <c r="S2759" s="5">
        <v>1024</v>
      </c>
      <c r="T2759" s="5">
        <v>1051.0999999999999</v>
      </c>
      <c r="V2759" s="5">
        <v>1030.74</v>
      </c>
      <c r="Y2759" s="5">
        <v>2318</v>
      </c>
      <c r="Z2759" s="5">
        <v>2415490.2000000002</v>
      </c>
      <c r="AA2759" s="5">
        <v>217</v>
      </c>
      <c r="AB2759" s="5" t="s">
        <v>85</v>
      </c>
      <c r="AC2759" s="5">
        <v>1</v>
      </c>
    </row>
    <row r="2760" spans="1:29" x14ac:dyDescent="0.3">
      <c r="A2760" s="34">
        <v>46274</v>
      </c>
      <c r="B2760" s="34">
        <v>46274</v>
      </c>
      <c r="C2760" s="5" t="s">
        <v>78</v>
      </c>
      <c r="D2760" s="5" t="s">
        <v>79</v>
      </c>
      <c r="E2760" s="5" t="s">
        <v>80</v>
      </c>
      <c r="F2760" s="5">
        <v>2397</v>
      </c>
      <c r="G2760" s="5" t="s">
        <v>8365</v>
      </c>
      <c r="H2760" s="5" t="s">
        <v>8366</v>
      </c>
      <c r="I2760" s="5" t="s">
        <v>212</v>
      </c>
      <c r="N2760" s="5" t="s">
        <v>8367</v>
      </c>
      <c r="O2760" s="5">
        <v>628.5</v>
      </c>
      <c r="P2760" s="5">
        <v>634.85</v>
      </c>
      <c r="Q2760" s="5">
        <v>621</v>
      </c>
      <c r="R2760" s="5">
        <v>625</v>
      </c>
      <c r="S2760" s="5">
        <v>627.6</v>
      </c>
      <c r="T2760" s="5">
        <v>626.35</v>
      </c>
      <c r="V2760" s="5">
        <v>624.99</v>
      </c>
      <c r="Y2760" s="5">
        <v>92102</v>
      </c>
      <c r="Z2760" s="5">
        <v>57621829.850000001</v>
      </c>
      <c r="AA2760" s="5">
        <v>4695</v>
      </c>
      <c r="AB2760" s="5" t="s">
        <v>85</v>
      </c>
      <c r="AC2760" s="5">
        <v>1</v>
      </c>
    </row>
    <row r="2761" spans="1:29" x14ac:dyDescent="0.3">
      <c r="A2761" s="34">
        <v>46274</v>
      </c>
      <c r="B2761" s="34">
        <v>46274</v>
      </c>
      <c r="C2761" s="5" t="s">
        <v>78</v>
      </c>
      <c r="D2761" s="5" t="s">
        <v>79</v>
      </c>
      <c r="E2761" s="5" t="s">
        <v>80</v>
      </c>
      <c r="F2761" s="5">
        <v>18359</v>
      </c>
      <c r="G2761" s="5" t="s">
        <v>8368</v>
      </c>
      <c r="H2761" s="5" t="s">
        <v>8369</v>
      </c>
      <c r="I2761" s="5" t="s">
        <v>212</v>
      </c>
      <c r="N2761" s="5" t="s">
        <v>8370</v>
      </c>
      <c r="O2761" s="5">
        <v>195.8</v>
      </c>
      <c r="P2761" s="5">
        <v>202.95</v>
      </c>
      <c r="Q2761" s="5">
        <v>195.75</v>
      </c>
      <c r="R2761" s="5">
        <v>201.01</v>
      </c>
      <c r="S2761" s="5">
        <v>200.1</v>
      </c>
      <c r="T2761" s="5">
        <v>196.57</v>
      </c>
      <c r="V2761" s="5">
        <v>201.01</v>
      </c>
      <c r="Y2761" s="5">
        <v>974554</v>
      </c>
      <c r="Z2761" s="5">
        <v>195000676.08000001</v>
      </c>
      <c r="AA2761" s="5">
        <v>18332</v>
      </c>
      <c r="AB2761" s="5" t="s">
        <v>85</v>
      </c>
      <c r="AC2761" s="5">
        <v>1</v>
      </c>
    </row>
    <row r="2762" spans="1:29" x14ac:dyDescent="0.3">
      <c r="A2762" s="34">
        <v>46274</v>
      </c>
      <c r="B2762" s="34">
        <v>46274</v>
      </c>
      <c r="C2762" s="5" t="s">
        <v>78</v>
      </c>
      <c r="D2762" s="5" t="s">
        <v>79</v>
      </c>
      <c r="E2762" s="5" t="s">
        <v>80</v>
      </c>
      <c r="F2762" s="5">
        <v>4184</v>
      </c>
      <c r="G2762" s="5" t="s">
        <v>8371</v>
      </c>
      <c r="H2762" s="5" t="s">
        <v>8372</v>
      </c>
      <c r="I2762" s="5" t="s">
        <v>212</v>
      </c>
      <c r="N2762" s="5" t="s">
        <v>8373</v>
      </c>
      <c r="O2762" s="5">
        <v>579.04999999999995</v>
      </c>
      <c r="P2762" s="5">
        <v>595</v>
      </c>
      <c r="Q2762" s="5">
        <v>572.04999999999995</v>
      </c>
      <c r="R2762" s="5">
        <v>581.79999999999995</v>
      </c>
      <c r="S2762" s="5">
        <v>583.1</v>
      </c>
      <c r="T2762" s="5">
        <v>580</v>
      </c>
      <c r="V2762" s="5">
        <v>581.79999999999995</v>
      </c>
      <c r="Y2762" s="5">
        <v>16843</v>
      </c>
      <c r="Z2762" s="5">
        <v>9793745.5999999996</v>
      </c>
      <c r="AA2762" s="5">
        <v>1290</v>
      </c>
      <c r="AB2762" s="5" t="s">
        <v>85</v>
      </c>
      <c r="AC2762" s="5">
        <v>1</v>
      </c>
    </row>
    <row r="2763" spans="1:29" x14ac:dyDescent="0.3">
      <c r="A2763" s="34">
        <v>46274</v>
      </c>
      <c r="B2763" s="34">
        <v>46274</v>
      </c>
      <c r="C2763" s="5" t="s">
        <v>78</v>
      </c>
      <c r="D2763" s="5" t="s">
        <v>79</v>
      </c>
      <c r="E2763" s="5" t="s">
        <v>80</v>
      </c>
      <c r="F2763" s="5">
        <v>18035</v>
      </c>
      <c r="G2763" s="5" t="s">
        <v>8374</v>
      </c>
      <c r="H2763" s="5" t="s">
        <v>8375</v>
      </c>
      <c r="I2763" s="5" t="s">
        <v>313</v>
      </c>
      <c r="N2763" s="5" t="s">
        <v>8376</v>
      </c>
      <c r="O2763" s="5">
        <v>54</v>
      </c>
      <c r="P2763" s="5">
        <v>54.5</v>
      </c>
      <c r="Q2763" s="5">
        <v>51.65</v>
      </c>
      <c r="R2763" s="5">
        <v>54.5</v>
      </c>
      <c r="S2763" s="5">
        <v>54.5</v>
      </c>
      <c r="T2763" s="5">
        <v>54.1</v>
      </c>
      <c r="V2763" s="5">
        <v>54.5</v>
      </c>
      <c r="Y2763" s="5">
        <v>6000</v>
      </c>
      <c r="Z2763" s="5">
        <v>321825</v>
      </c>
      <c r="AA2763" s="5">
        <v>4</v>
      </c>
      <c r="AB2763" s="5" t="s">
        <v>85</v>
      </c>
      <c r="AC2763" s="5">
        <v>1500</v>
      </c>
    </row>
    <row r="2764" spans="1:29" x14ac:dyDescent="0.3">
      <c r="A2764" s="34">
        <v>46274</v>
      </c>
      <c r="B2764" s="34">
        <v>46274</v>
      </c>
      <c r="C2764" s="5" t="s">
        <v>78</v>
      </c>
      <c r="D2764" s="5" t="s">
        <v>79</v>
      </c>
      <c r="E2764" s="5" t="s">
        <v>80</v>
      </c>
      <c r="F2764" s="5">
        <v>14058</v>
      </c>
      <c r="G2764" s="5" t="s">
        <v>8377</v>
      </c>
      <c r="H2764" s="5" t="s">
        <v>8378</v>
      </c>
      <c r="I2764" s="5" t="s">
        <v>212</v>
      </c>
      <c r="N2764" s="5" t="s">
        <v>8379</v>
      </c>
      <c r="O2764" s="5">
        <v>440</v>
      </c>
      <c r="P2764" s="5">
        <v>450.35</v>
      </c>
      <c r="Q2764" s="5">
        <v>437.7</v>
      </c>
      <c r="R2764" s="5">
        <v>443.05</v>
      </c>
      <c r="S2764" s="5">
        <v>445.5</v>
      </c>
      <c r="T2764" s="5">
        <v>441.2</v>
      </c>
      <c r="V2764" s="5">
        <v>443.03</v>
      </c>
      <c r="Y2764" s="5">
        <v>171856</v>
      </c>
      <c r="Z2764" s="5">
        <v>76387953.599999994</v>
      </c>
      <c r="AA2764" s="5">
        <v>6635</v>
      </c>
      <c r="AB2764" s="5" t="s">
        <v>85</v>
      </c>
      <c r="AC2764" s="5">
        <v>1</v>
      </c>
    </row>
    <row r="2765" spans="1:29" x14ac:dyDescent="0.3">
      <c r="A2765" s="34">
        <v>46274</v>
      </c>
      <c r="B2765" s="34">
        <v>46274</v>
      </c>
      <c r="C2765" s="5" t="s">
        <v>78</v>
      </c>
      <c r="D2765" s="5" t="s">
        <v>79</v>
      </c>
      <c r="E2765" s="5" t="s">
        <v>80</v>
      </c>
      <c r="F2765" s="5">
        <v>11033</v>
      </c>
      <c r="G2765" s="5" t="s">
        <v>8380</v>
      </c>
      <c r="H2765" s="5" t="s">
        <v>8381</v>
      </c>
      <c r="I2765" s="5" t="s">
        <v>234</v>
      </c>
      <c r="N2765" s="5" t="s">
        <v>8382</v>
      </c>
      <c r="O2765" s="5">
        <v>63.13</v>
      </c>
      <c r="P2765" s="5">
        <v>63.13</v>
      </c>
      <c r="Q2765" s="5">
        <v>63.13</v>
      </c>
      <c r="R2765" s="5">
        <v>63.13</v>
      </c>
      <c r="S2765" s="5">
        <v>63.13</v>
      </c>
      <c r="T2765" s="5">
        <v>61.9</v>
      </c>
      <c r="V2765" s="5">
        <v>63.13</v>
      </c>
      <c r="Y2765" s="5">
        <v>59507</v>
      </c>
      <c r="Z2765" s="5">
        <v>3756676.91</v>
      </c>
      <c r="AA2765" s="5">
        <v>189</v>
      </c>
      <c r="AB2765" s="5" t="s">
        <v>85</v>
      </c>
      <c r="AC2765" s="5">
        <v>1</v>
      </c>
    </row>
    <row r="2766" spans="1:29" x14ac:dyDescent="0.3">
      <c r="A2766" s="34">
        <v>46274</v>
      </c>
      <c r="B2766" s="34">
        <v>46274</v>
      </c>
      <c r="C2766" s="5" t="s">
        <v>78</v>
      </c>
      <c r="D2766" s="5" t="s">
        <v>79</v>
      </c>
      <c r="E2766" s="5" t="s">
        <v>80</v>
      </c>
      <c r="F2766" s="5">
        <v>25222</v>
      </c>
      <c r="G2766" s="5" t="s">
        <v>8383</v>
      </c>
      <c r="H2766" s="5" t="s">
        <v>8384</v>
      </c>
      <c r="I2766" s="5" t="s">
        <v>212</v>
      </c>
      <c r="N2766" s="5" t="s">
        <v>8385</v>
      </c>
      <c r="O2766" s="5">
        <v>4099.8</v>
      </c>
      <c r="P2766" s="5">
        <v>4099.8</v>
      </c>
      <c r="Q2766" s="5">
        <v>4033</v>
      </c>
      <c r="R2766" s="5">
        <v>4049.5</v>
      </c>
      <c r="S2766" s="5">
        <v>4045</v>
      </c>
      <c r="T2766" s="5">
        <v>4075.6</v>
      </c>
      <c r="V2766" s="5">
        <v>4049.53</v>
      </c>
      <c r="Y2766" s="5">
        <v>11920</v>
      </c>
      <c r="Z2766" s="5">
        <v>48272447.200000003</v>
      </c>
      <c r="AA2766" s="5">
        <v>1040</v>
      </c>
      <c r="AB2766" s="5" t="s">
        <v>85</v>
      </c>
      <c r="AC2766" s="5">
        <v>1</v>
      </c>
    </row>
    <row r="2767" spans="1:29" x14ac:dyDescent="0.3">
      <c r="A2767" s="34">
        <v>46274</v>
      </c>
      <c r="B2767" s="34">
        <v>46274</v>
      </c>
      <c r="C2767" s="5" t="s">
        <v>78</v>
      </c>
      <c r="D2767" s="5" t="s">
        <v>79</v>
      </c>
      <c r="E2767" s="5" t="s">
        <v>80</v>
      </c>
      <c r="F2767" s="5">
        <v>1442</v>
      </c>
      <c r="G2767" s="5" t="s">
        <v>8386</v>
      </c>
      <c r="H2767" s="5" t="s">
        <v>8387</v>
      </c>
      <c r="I2767" s="5" t="s">
        <v>212</v>
      </c>
      <c r="N2767" s="5" t="s">
        <v>8388</v>
      </c>
      <c r="O2767" s="5">
        <v>3114.5</v>
      </c>
      <c r="P2767" s="5">
        <v>3124.9</v>
      </c>
      <c r="Q2767" s="5">
        <v>3100</v>
      </c>
      <c r="R2767" s="5">
        <v>3104.2</v>
      </c>
      <c r="S2767" s="5">
        <v>3101.1</v>
      </c>
      <c r="T2767" s="5">
        <v>3114.9</v>
      </c>
      <c r="V2767" s="5">
        <v>3104.21</v>
      </c>
      <c r="Y2767" s="5">
        <v>13834</v>
      </c>
      <c r="Z2767" s="5">
        <v>43013075.100000001</v>
      </c>
      <c r="AA2767" s="5">
        <v>3488</v>
      </c>
      <c r="AB2767" s="5" t="s">
        <v>85</v>
      </c>
      <c r="AC2767" s="5">
        <v>1</v>
      </c>
    </row>
    <row r="2768" spans="1:29" x14ac:dyDescent="0.3">
      <c r="A2768" s="34">
        <v>46274</v>
      </c>
      <c r="B2768" s="34">
        <v>46274</v>
      </c>
      <c r="C2768" s="5" t="s">
        <v>78</v>
      </c>
      <c r="D2768" s="5" t="s">
        <v>79</v>
      </c>
      <c r="E2768" s="5" t="s">
        <v>80</v>
      </c>
      <c r="F2768" s="5">
        <v>5751</v>
      </c>
      <c r="G2768" s="5" t="s">
        <v>8389</v>
      </c>
      <c r="H2768" s="5" t="s">
        <v>8390</v>
      </c>
      <c r="I2768" s="5" t="s">
        <v>212</v>
      </c>
      <c r="N2768" s="5" t="s">
        <v>8391</v>
      </c>
      <c r="O2768" s="5">
        <v>4013.8</v>
      </c>
      <c r="P2768" s="5">
        <v>4170</v>
      </c>
      <c r="Q2768" s="5">
        <v>3955</v>
      </c>
      <c r="R2768" s="5">
        <v>4135.8999999999996</v>
      </c>
      <c r="S2768" s="5">
        <v>4110</v>
      </c>
      <c r="T2768" s="5">
        <v>4033.6</v>
      </c>
      <c r="V2768" s="5">
        <v>4135.78</v>
      </c>
      <c r="Y2768" s="5">
        <v>470508</v>
      </c>
      <c r="Z2768" s="5">
        <v>1918522023.8</v>
      </c>
      <c r="AA2768" s="5">
        <v>39448</v>
      </c>
      <c r="AB2768" s="5" t="s">
        <v>85</v>
      </c>
      <c r="AC2768" s="5">
        <v>1</v>
      </c>
    </row>
    <row r="2769" spans="1:29" x14ac:dyDescent="0.3">
      <c r="A2769" s="34">
        <v>46274</v>
      </c>
      <c r="B2769" s="34">
        <v>46274</v>
      </c>
      <c r="C2769" s="5" t="s">
        <v>78</v>
      </c>
      <c r="D2769" s="5" t="s">
        <v>79</v>
      </c>
      <c r="E2769" s="5" t="s">
        <v>80</v>
      </c>
      <c r="F2769" s="5">
        <v>24582</v>
      </c>
      <c r="G2769" s="5" t="s">
        <v>8392</v>
      </c>
      <c r="H2769" s="5" t="s">
        <v>8393</v>
      </c>
      <c r="I2769" s="5" t="s">
        <v>212</v>
      </c>
      <c r="N2769" s="5" t="s">
        <v>8394</v>
      </c>
      <c r="O2769" s="5">
        <v>109</v>
      </c>
      <c r="P2769" s="5">
        <v>111.47</v>
      </c>
      <c r="Q2769" s="5">
        <v>108.5</v>
      </c>
      <c r="R2769" s="5">
        <v>108.99</v>
      </c>
      <c r="S2769" s="5">
        <v>108.8</v>
      </c>
      <c r="T2769" s="5">
        <v>109.62</v>
      </c>
      <c r="V2769" s="5">
        <v>108.99</v>
      </c>
      <c r="Y2769" s="5">
        <v>126988</v>
      </c>
      <c r="Z2769" s="5">
        <v>13962058.33</v>
      </c>
      <c r="AA2769" s="5">
        <v>3328</v>
      </c>
      <c r="AB2769" s="5" t="s">
        <v>85</v>
      </c>
      <c r="AC2769" s="5">
        <v>1</v>
      </c>
    </row>
    <row r="2770" spans="1:29" x14ac:dyDescent="0.3">
      <c r="A2770" s="34">
        <v>46274</v>
      </c>
      <c r="B2770" s="34">
        <v>46274</v>
      </c>
      <c r="C2770" s="5" t="s">
        <v>78</v>
      </c>
      <c r="D2770" s="5" t="s">
        <v>79</v>
      </c>
      <c r="E2770" s="5" t="s">
        <v>80</v>
      </c>
      <c r="F2770" s="5">
        <v>46</v>
      </c>
      <c r="G2770" s="5" t="s">
        <v>8395</v>
      </c>
      <c r="H2770" s="5" t="s">
        <v>8396</v>
      </c>
      <c r="I2770" s="5" t="s">
        <v>614</v>
      </c>
      <c r="N2770" s="5" t="s">
        <v>8397</v>
      </c>
      <c r="O2770" s="5">
        <v>0.2</v>
      </c>
      <c r="P2770" s="5">
        <v>0.2</v>
      </c>
      <c r="Q2770" s="5">
        <v>0.19</v>
      </c>
      <c r="R2770" s="5">
        <v>0.19</v>
      </c>
      <c r="S2770" s="5">
        <v>0.2</v>
      </c>
      <c r="T2770" s="5">
        <v>0.19</v>
      </c>
      <c r="V2770" s="5">
        <v>0.19</v>
      </c>
      <c r="Y2770" s="5">
        <v>450381</v>
      </c>
      <c r="Z2770" s="5">
        <v>87957.45</v>
      </c>
      <c r="AA2770" s="5">
        <v>131</v>
      </c>
      <c r="AB2770" s="5" t="s">
        <v>85</v>
      </c>
      <c r="AC2770" s="5">
        <v>1</v>
      </c>
    </row>
    <row r="2771" spans="1:29" x14ac:dyDescent="0.3">
      <c r="A2771" s="34">
        <v>46274</v>
      </c>
      <c r="B2771" s="34">
        <v>46274</v>
      </c>
      <c r="C2771" s="5" t="s">
        <v>78</v>
      </c>
      <c r="D2771" s="5" t="s">
        <v>79</v>
      </c>
      <c r="E2771" s="5" t="s">
        <v>80</v>
      </c>
      <c r="F2771" s="5">
        <v>6718</v>
      </c>
      <c r="G2771" s="5" t="s">
        <v>8398</v>
      </c>
      <c r="H2771" s="5" t="s">
        <v>8399</v>
      </c>
      <c r="I2771" s="5" t="s">
        <v>212</v>
      </c>
      <c r="N2771" s="5" t="s">
        <v>8400</v>
      </c>
      <c r="O2771" s="5">
        <v>225.35</v>
      </c>
      <c r="P2771" s="5">
        <v>233.3</v>
      </c>
      <c r="Q2771" s="5">
        <v>224.72</v>
      </c>
      <c r="R2771" s="5">
        <v>227.61</v>
      </c>
      <c r="S2771" s="5">
        <v>227</v>
      </c>
      <c r="T2771" s="5">
        <v>226.61</v>
      </c>
      <c r="V2771" s="5">
        <v>227.62</v>
      </c>
      <c r="Y2771" s="5">
        <v>1393585</v>
      </c>
      <c r="Z2771" s="5">
        <v>318229506.75999999</v>
      </c>
      <c r="AA2771" s="5">
        <v>30106</v>
      </c>
      <c r="AB2771" s="5" t="s">
        <v>85</v>
      </c>
      <c r="AC2771" s="5">
        <v>1</v>
      </c>
    </row>
    <row r="2772" spans="1:29" x14ac:dyDescent="0.3">
      <c r="A2772" s="34">
        <v>46274</v>
      </c>
      <c r="B2772" s="34">
        <v>46274</v>
      </c>
      <c r="C2772" s="5" t="s">
        <v>78</v>
      </c>
      <c r="D2772" s="5" t="s">
        <v>79</v>
      </c>
      <c r="E2772" s="5" t="s">
        <v>80</v>
      </c>
      <c r="F2772" s="5">
        <v>19863</v>
      </c>
      <c r="G2772" s="5" t="s">
        <v>8401</v>
      </c>
      <c r="H2772" s="5" t="s">
        <v>8402</v>
      </c>
      <c r="I2772" s="5" t="s">
        <v>313</v>
      </c>
      <c r="N2772" s="5" t="s">
        <v>8403</v>
      </c>
      <c r="O2772" s="5">
        <v>86.5</v>
      </c>
      <c r="P2772" s="5">
        <v>88</v>
      </c>
      <c r="Q2772" s="5">
        <v>85.05</v>
      </c>
      <c r="R2772" s="5">
        <v>85.5</v>
      </c>
      <c r="S2772" s="5">
        <v>85.1</v>
      </c>
      <c r="T2772" s="5">
        <v>87.2</v>
      </c>
      <c r="V2772" s="5">
        <v>85.5</v>
      </c>
      <c r="Y2772" s="5">
        <v>66500</v>
      </c>
      <c r="Z2772" s="5">
        <v>5741300</v>
      </c>
      <c r="AA2772" s="5">
        <v>102</v>
      </c>
      <c r="AB2772" s="5" t="s">
        <v>85</v>
      </c>
      <c r="AC2772" s="5">
        <v>500</v>
      </c>
    </row>
    <row r="2773" spans="1:29" x14ac:dyDescent="0.3">
      <c r="A2773" s="34">
        <v>46274</v>
      </c>
      <c r="B2773" s="34">
        <v>46274</v>
      </c>
      <c r="C2773" s="5" t="s">
        <v>78</v>
      </c>
      <c r="D2773" s="5" t="s">
        <v>79</v>
      </c>
      <c r="E2773" s="5" t="s">
        <v>80</v>
      </c>
      <c r="F2773" s="5">
        <v>762985</v>
      </c>
      <c r="G2773" s="5" t="s">
        <v>8404</v>
      </c>
      <c r="H2773" s="5" t="s">
        <v>8405</v>
      </c>
      <c r="I2773" s="5" t="s">
        <v>212</v>
      </c>
      <c r="N2773" s="5" t="s">
        <v>8406</v>
      </c>
      <c r="O2773" s="5">
        <v>11276</v>
      </c>
      <c r="P2773" s="5">
        <v>11499</v>
      </c>
      <c r="Q2773" s="5">
        <v>10980</v>
      </c>
      <c r="R2773" s="5">
        <v>11002</v>
      </c>
      <c r="S2773" s="5">
        <v>11000</v>
      </c>
      <c r="T2773" s="5">
        <v>11276</v>
      </c>
      <c r="V2773" s="5">
        <v>11002</v>
      </c>
      <c r="Y2773" s="5">
        <v>43</v>
      </c>
      <c r="Z2773" s="5">
        <v>480962</v>
      </c>
      <c r="AA2773" s="5">
        <v>23</v>
      </c>
      <c r="AB2773" s="5" t="s">
        <v>85</v>
      </c>
      <c r="AC2773" s="5">
        <v>1</v>
      </c>
    </row>
    <row r="2774" spans="1:29" x14ac:dyDescent="0.3">
      <c r="A2774" s="34">
        <v>46274</v>
      </c>
      <c r="B2774" s="34">
        <v>46274</v>
      </c>
      <c r="C2774" s="5" t="s">
        <v>78</v>
      </c>
      <c r="D2774" s="5" t="s">
        <v>79</v>
      </c>
      <c r="E2774" s="5" t="s">
        <v>80</v>
      </c>
      <c r="F2774" s="5">
        <v>24856</v>
      </c>
      <c r="G2774" s="5" t="s">
        <v>8407</v>
      </c>
      <c r="H2774" s="5" t="s">
        <v>8408</v>
      </c>
      <c r="I2774" s="5" t="s">
        <v>212</v>
      </c>
      <c r="N2774" s="5" t="s">
        <v>8409</v>
      </c>
      <c r="O2774" s="5">
        <v>57.12</v>
      </c>
      <c r="P2774" s="5">
        <v>57.79</v>
      </c>
      <c r="Q2774" s="5">
        <v>56.07</v>
      </c>
      <c r="R2774" s="5">
        <v>56.54</v>
      </c>
      <c r="S2774" s="5">
        <v>56.09</v>
      </c>
      <c r="T2774" s="5">
        <v>57.12</v>
      </c>
      <c r="V2774" s="5">
        <v>56.54</v>
      </c>
      <c r="Y2774" s="5">
        <v>20816</v>
      </c>
      <c r="Z2774" s="5">
        <v>1177012.46</v>
      </c>
      <c r="AA2774" s="5">
        <v>429</v>
      </c>
      <c r="AB2774" s="5" t="s">
        <v>85</v>
      </c>
      <c r="AC2774" s="5">
        <v>1</v>
      </c>
    </row>
    <row r="2775" spans="1:29" x14ac:dyDescent="0.3">
      <c r="A2775" s="34">
        <v>46274</v>
      </c>
      <c r="B2775" s="34">
        <v>46274</v>
      </c>
      <c r="C2775" s="5" t="s">
        <v>78</v>
      </c>
      <c r="D2775" s="5" t="s">
        <v>79</v>
      </c>
      <c r="E2775" s="5" t="s">
        <v>80</v>
      </c>
      <c r="F2775" s="5">
        <v>17758</v>
      </c>
      <c r="G2775" s="5" t="s">
        <v>8410</v>
      </c>
      <c r="H2775" s="5" t="s">
        <v>8411</v>
      </c>
      <c r="I2775" s="5" t="s">
        <v>212</v>
      </c>
      <c r="N2775" s="5" t="s">
        <v>8412</v>
      </c>
      <c r="O2775" s="5">
        <v>520</v>
      </c>
      <c r="P2775" s="5">
        <v>554.70000000000005</v>
      </c>
      <c r="Q2775" s="5">
        <v>519.04999999999995</v>
      </c>
      <c r="R2775" s="5">
        <v>545.85</v>
      </c>
      <c r="S2775" s="5">
        <v>547.5</v>
      </c>
      <c r="T2775" s="5">
        <v>519.85</v>
      </c>
      <c r="V2775" s="5">
        <v>545.9</v>
      </c>
      <c r="Y2775" s="5">
        <v>5268817</v>
      </c>
      <c r="Z2775" s="5">
        <v>2871151338.4000001</v>
      </c>
      <c r="AA2775" s="5">
        <v>105909</v>
      </c>
      <c r="AB2775" s="5" t="s">
        <v>85</v>
      </c>
      <c r="AC2775" s="5">
        <v>1</v>
      </c>
    </row>
    <row r="2776" spans="1:29" x14ac:dyDescent="0.3">
      <c r="A2776" s="34">
        <v>46274</v>
      </c>
      <c r="B2776" s="34">
        <v>46274</v>
      </c>
      <c r="C2776" s="5" t="s">
        <v>78</v>
      </c>
      <c r="D2776" s="5" t="s">
        <v>79</v>
      </c>
      <c r="E2776" s="5" t="s">
        <v>80</v>
      </c>
      <c r="F2776" s="5">
        <v>4892</v>
      </c>
      <c r="G2776" s="5" t="s">
        <v>8413</v>
      </c>
      <c r="H2776" s="5" t="s">
        <v>8414</v>
      </c>
      <c r="I2776" s="5" t="s">
        <v>212</v>
      </c>
      <c r="N2776" s="5" t="s">
        <v>8415</v>
      </c>
      <c r="O2776" s="5">
        <v>497</v>
      </c>
      <c r="P2776" s="5">
        <v>516.5</v>
      </c>
      <c r="Q2776" s="5">
        <v>493.9</v>
      </c>
      <c r="R2776" s="5">
        <v>500.55</v>
      </c>
      <c r="S2776" s="5">
        <v>503</v>
      </c>
      <c r="T2776" s="5">
        <v>497.1</v>
      </c>
      <c r="V2776" s="5">
        <v>500.55</v>
      </c>
      <c r="Y2776" s="5">
        <v>742876</v>
      </c>
      <c r="Z2776" s="5">
        <v>376311805.69999999</v>
      </c>
      <c r="AA2776" s="5">
        <v>24188</v>
      </c>
      <c r="AB2776" s="5" t="s">
        <v>85</v>
      </c>
      <c r="AC2776" s="5">
        <v>1</v>
      </c>
    </row>
    <row r="2777" spans="1:29" x14ac:dyDescent="0.3">
      <c r="A2777" s="34">
        <v>46274</v>
      </c>
      <c r="B2777" s="34">
        <v>46274</v>
      </c>
      <c r="C2777" s="5" t="s">
        <v>78</v>
      </c>
      <c r="D2777" s="5" t="s">
        <v>79</v>
      </c>
      <c r="E2777" s="5" t="s">
        <v>80</v>
      </c>
      <c r="F2777" s="5">
        <v>14043</v>
      </c>
      <c r="G2777" s="5" t="s">
        <v>8416</v>
      </c>
      <c r="H2777" s="5" t="s">
        <v>8417</v>
      </c>
      <c r="I2777" s="5" t="s">
        <v>212</v>
      </c>
      <c r="N2777" s="5" t="s">
        <v>8418</v>
      </c>
      <c r="O2777" s="5">
        <v>102.48</v>
      </c>
      <c r="P2777" s="5">
        <v>103.5</v>
      </c>
      <c r="Q2777" s="5">
        <v>100.5</v>
      </c>
      <c r="R2777" s="5">
        <v>101.46</v>
      </c>
      <c r="S2777" s="5">
        <v>102.5</v>
      </c>
      <c r="T2777" s="5">
        <v>101.47</v>
      </c>
      <c r="V2777" s="5">
        <v>101.46</v>
      </c>
      <c r="Y2777" s="5">
        <v>45112</v>
      </c>
      <c r="Z2777" s="5">
        <v>4607295.04</v>
      </c>
      <c r="AA2777" s="5">
        <v>715</v>
      </c>
      <c r="AB2777" s="5" t="s">
        <v>85</v>
      </c>
      <c r="AC2777" s="5">
        <v>1</v>
      </c>
    </row>
    <row r="2778" spans="1:29" x14ac:dyDescent="0.3">
      <c r="A2778" s="34">
        <v>46274</v>
      </c>
      <c r="B2778" s="34">
        <v>46274</v>
      </c>
      <c r="C2778" s="5" t="s">
        <v>78</v>
      </c>
      <c r="D2778" s="5" t="s">
        <v>79</v>
      </c>
      <c r="E2778" s="5" t="s">
        <v>80</v>
      </c>
      <c r="F2778" s="5">
        <v>18506</v>
      </c>
      <c r="G2778" s="5" t="s">
        <v>8419</v>
      </c>
      <c r="H2778" s="5" t="s">
        <v>8420</v>
      </c>
      <c r="I2778" s="5" t="s">
        <v>313</v>
      </c>
      <c r="N2778" s="5" t="s">
        <v>8421</v>
      </c>
      <c r="O2778" s="5">
        <v>41.95</v>
      </c>
      <c r="P2778" s="5">
        <v>41.95</v>
      </c>
      <c r="Q2778" s="5">
        <v>41.85</v>
      </c>
      <c r="R2778" s="5">
        <v>41.85</v>
      </c>
      <c r="S2778" s="5">
        <v>41.85</v>
      </c>
      <c r="T2778" s="5">
        <v>40</v>
      </c>
      <c r="V2778" s="5">
        <v>41.85</v>
      </c>
      <c r="Y2778" s="5">
        <v>3200</v>
      </c>
      <c r="Z2778" s="5">
        <v>134080</v>
      </c>
      <c r="AA2778" s="5">
        <v>2</v>
      </c>
      <c r="AB2778" s="5" t="s">
        <v>85</v>
      </c>
      <c r="AC2778" s="5">
        <v>1600</v>
      </c>
    </row>
    <row r="2779" spans="1:29" x14ac:dyDescent="0.3">
      <c r="A2779" s="34">
        <v>46274</v>
      </c>
      <c r="B2779" s="34">
        <v>46274</v>
      </c>
      <c r="C2779" s="5" t="s">
        <v>78</v>
      </c>
      <c r="D2779" s="5" t="s">
        <v>79</v>
      </c>
      <c r="E2779" s="5" t="s">
        <v>80</v>
      </c>
      <c r="F2779" s="5">
        <v>6843</v>
      </c>
      <c r="G2779" s="5" t="s">
        <v>8422</v>
      </c>
      <c r="H2779" s="5" t="s">
        <v>8423</v>
      </c>
      <c r="I2779" s="5" t="s">
        <v>212</v>
      </c>
      <c r="N2779" s="5" t="s">
        <v>8424</v>
      </c>
      <c r="O2779" s="5">
        <v>62.5</v>
      </c>
      <c r="P2779" s="5">
        <v>63.65</v>
      </c>
      <c r="Q2779" s="5">
        <v>62.1</v>
      </c>
      <c r="R2779" s="5">
        <v>62.15</v>
      </c>
      <c r="S2779" s="5">
        <v>62.15</v>
      </c>
      <c r="T2779" s="5">
        <v>62.17</v>
      </c>
      <c r="V2779" s="5">
        <v>62.15</v>
      </c>
      <c r="Y2779" s="5">
        <v>2857</v>
      </c>
      <c r="Z2779" s="5">
        <v>178564.97</v>
      </c>
      <c r="AA2779" s="5">
        <v>102</v>
      </c>
      <c r="AB2779" s="5" t="s">
        <v>85</v>
      </c>
      <c r="AC2779" s="5">
        <v>1</v>
      </c>
    </row>
    <row r="2780" spans="1:29" x14ac:dyDescent="0.3">
      <c r="A2780" s="34">
        <v>46274</v>
      </c>
      <c r="B2780" s="34">
        <v>46274</v>
      </c>
      <c r="C2780" s="5" t="s">
        <v>78</v>
      </c>
      <c r="D2780" s="5" t="s">
        <v>79</v>
      </c>
      <c r="E2780" s="5" t="s">
        <v>80</v>
      </c>
      <c r="F2780" s="5">
        <v>12913</v>
      </c>
      <c r="G2780" s="5" t="s">
        <v>8425</v>
      </c>
      <c r="H2780" s="5" t="s">
        <v>8426</v>
      </c>
      <c r="I2780" s="5" t="s">
        <v>212</v>
      </c>
      <c r="N2780" s="5" t="s">
        <v>8427</v>
      </c>
      <c r="O2780" s="5">
        <v>4.16</v>
      </c>
      <c r="P2780" s="5">
        <v>4.17</v>
      </c>
      <c r="Q2780" s="5">
        <v>3.74</v>
      </c>
      <c r="R2780" s="5">
        <v>3.78</v>
      </c>
      <c r="S2780" s="5">
        <v>3.78</v>
      </c>
      <c r="T2780" s="5">
        <v>4.03</v>
      </c>
      <c r="V2780" s="5">
        <v>3.78</v>
      </c>
      <c r="Y2780" s="5">
        <v>7131865</v>
      </c>
      <c r="Z2780" s="5">
        <v>28171618.5</v>
      </c>
      <c r="AA2780" s="5">
        <v>5655</v>
      </c>
      <c r="AB2780" s="5" t="s">
        <v>85</v>
      </c>
      <c r="AC2780" s="5">
        <v>1</v>
      </c>
    </row>
    <row r="2781" spans="1:29" x14ac:dyDescent="0.3">
      <c r="A2781" s="34">
        <v>46274</v>
      </c>
      <c r="B2781" s="34">
        <v>46274</v>
      </c>
      <c r="C2781" s="5" t="s">
        <v>78</v>
      </c>
      <c r="D2781" s="5" t="s">
        <v>79</v>
      </c>
      <c r="E2781" s="5" t="s">
        <v>80</v>
      </c>
      <c r="F2781" s="5">
        <v>11983</v>
      </c>
      <c r="G2781" s="5" t="s">
        <v>8428</v>
      </c>
      <c r="H2781" s="5" t="s">
        <v>8429</v>
      </c>
      <c r="I2781" s="5" t="s">
        <v>212</v>
      </c>
      <c r="N2781" s="5" t="s">
        <v>8430</v>
      </c>
      <c r="O2781" s="5">
        <v>1897</v>
      </c>
      <c r="P2781" s="5">
        <v>1897.5</v>
      </c>
      <c r="Q2781" s="5">
        <v>1840</v>
      </c>
      <c r="R2781" s="5">
        <v>1857.1</v>
      </c>
      <c r="S2781" s="5">
        <v>1860</v>
      </c>
      <c r="T2781" s="5">
        <v>1894.3</v>
      </c>
      <c r="V2781" s="5">
        <v>1857.14</v>
      </c>
      <c r="Y2781" s="5">
        <v>16837</v>
      </c>
      <c r="Z2781" s="5">
        <v>31263415.100000001</v>
      </c>
      <c r="AA2781" s="5">
        <v>2043</v>
      </c>
      <c r="AB2781" s="5" t="s">
        <v>85</v>
      </c>
      <c r="AC2781" s="5">
        <v>1</v>
      </c>
    </row>
    <row r="2782" spans="1:29" x14ac:dyDescent="0.3">
      <c r="A2782" s="34">
        <v>46274</v>
      </c>
      <c r="B2782" s="34">
        <v>46274</v>
      </c>
      <c r="C2782" s="5" t="s">
        <v>78</v>
      </c>
      <c r="D2782" s="5" t="s">
        <v>79</v>
      </c>
      <c r="E2782" s="5" t="s">
        <v>80</v>
      </c>
      <c r="F2782" s="5">
        <v>29151</v>
      </c>
      <c r="G2782" s="5" t="s">
        <v>8431</v>
      </c>
      <c r="H2782" s="5" t="s">
        <v>8432</v>
      </c>
      <c r="I2782" s="5" t="s">
        <v>313</v>
      </c>
      <c r="N2782" s="5" t="s">
        <v>8433</v>
      </c>
      <c r="O2782" s="5">
        <v>118</v>
      </c>
      <c r="P2782" s="5">
        <v>119.9</v>
      </c>
      <c r="Q2782" s="5">
        <v>113</v>
      </c>
      <c r="R2782" s="5">
        <v>116.4</v>
      </c>
      <c r="S2782" s="5">
        <v>117.5</v>
      </c>
      <c r="T2782" s="5">
        <v>117</v>
      </c>
      <c r="V2782" s="5">
        <v>116.4</v>
      </c>
      <c r="Y2782" s="5">
        <v>38400</v>
      </c>
      <c r="Z2782" s="5">
        <v>4468000</v>
      </c>
      <c r="AA2782" s="5">
        <v>46</v>
      </c>
      <c r="AB2782" s="5" t="s">
        <v>85</v>
      </c>
      <c r="AC2782" s="5">
        <v>800</v>
      </c>
    </row>
    <row r="2783" spans="1:29" x14ac:dyDescent="0.3">
      <c r="A2783" s="34">
        <v>46274</v>
      </c>
      <c r="B2783" s="34">
        <v>46274</v>
      </c>
      <c r="C2783" s="5" t="s">
        <v>78</v>
      </c>
      <c r="D2783" s="5" t="s">
        <v>79</v>
      </c>
      <c r="E2783" s="5" t="s">
        <v>80</v>
      </c>
      <c r="F2783" s="5">
        <v>24697</v>
      </c>
      <c r="G2783" s="5" t="s">
        <v>8434</v>
      </c>
      <c r="H2783" s="5" t="s">
        <v>8435</v>
      </c>
      <c r="I2783" s="5" t="s">
        <v>313</v>
      </c>
      <c r="N2783" s="5" t="s">
        <v>8436</v>
      </c>
      <c r="O2783" s="5">
        <v>399.55</v>
      </c>
      <c r="P2783" s="5">
        <v>427</v>
      </c>
      <c r="Q2783" s="5">
        <v>380</v>
      </c>
      <c r="R2783" s="5">
        <v>422.9</v>
      </c>
      <c r="S2783" s="5">
        <v>420.1</v>
      </c>
      <c r="T2783" s="5">
        <v>394.3</v>
      </c>
      <c r="V2783" s="5">
        <v>422.9</v>
      </c>
      <c r="Y2783" s="5">
        <v>100600</v>
      </c>
      <c r="Z2783" s="5">
        <v>41338170</v>
      </c>
      <c r="AA2783" s="5">
        <v>329</v>
      </c>
      <c r="AB2783" s="5" t="s">
        <v>85</v>
      </c>
      <c r="AC2783" s="5">
        <v>200</v>
      </c>
    </row>
    <row r="2784" spans="1:29" x14ac:dyDescent="0.3">
      <c r="A2784" s="34">
        <v>46274</v>
      </c>
      <c r="B2784" s="34">
        <v>46274</v>
      </c>
      <c r="C2784" s="5" t="s">
        <v>78</v>
      </c>
      <c r="D2784" s="5" t="s">
        <v>79</v>
      </c>
      <c r="E2784" s="5" t="s">
        <v>80</v>
      </c>
      <c r="F2784" s="5">
        <v>11045</v>
      </c>
      <c r="G2784" s="5" t="s">
        <v>8437</v>
      </c>
      <c r="H2784" s="5" t="s">
        <v>8438</v>
      </c>
      <c r="I2784" s="5" t="s">
        <v>212</v>
      </c>
      <c r="N2784" s="5" t="s">
        <v>8439</v>
      </c>
      <c r="O2784" s="5">
        <v>66.5</v>
      </c>
      <c r="P2784" s="5">
        <v>68.19</v>
      </c>
      <c r="Q2784" s="5">
        <v>66.209999999999994</v>
      </c>
      <c r="R2784" s="5">
        <v>66.510000000000005</v>
      </c>
      <c r="S2784" s="5">
        <v>66.709999999999994</v>
      </c>
      <c r="T2784" s="5">
        <v>67.83</v>
      </c>
      <c r="V2784" s="5">
        <v>66.510000000000005</v>
      </c>
      <c r="Y2784" s="5">
        <v>119974</v>
      </c>
      <c r="Z2784" s="5">
        <v>8055709.9299999997</v>
      </c>
      <c r="AA2784" s="5">
        <v>1343</v>
      </c>
      <c r="AB2784" s="5" t="s">
        <v>85</v>
      </c>
      <c r="AC2784" s="5">
        <v>1</v>
      </c>
    </row>
    <row r="2785" spans="1:29" x14ac:dyDescent="0.3">
      <c r="A2785" s="34">
        <v>46274</v>
      </c>
      <c r="B2785" s="34">
        <v>46274</v>
      </c>
      <c r="C2785" s="5" t="s">
        <v>78</v>
      </c>
      <c r="D2785" s="5" t="s">
        <v>79</v>
      </c>
      <c r="E2785" s="5" t="s">
        <v>80</v>
      </c>
      <c r="F2785" s="5">
        <v>10453</v>
      </c>
      <c r="G2785" s="5" t="s">
        <v>8440</v>
      </c>
      <c r="H2785" s="5" t="s">
        <v>8441</v>
      </c>
      <c r="I2785" s="5" t="s">
        <v>212</v>
      </c>
      <c r="N2785" s="5" t="s">
        <v>8442</v>
      </c>
      <c r="O2785" s="5">
        <v>216</v>
      </c>
      <c r="P2785" s="5">
        <v>219</v>
      </c>
      <c r="Q2785" s="5">
        <v>213.02</v>
      </c>
      <c r="R2785" s="5">
        <v>214.88</v>
      </c>
      <c r="S2785" s="5">
        <v>214.98</v>
      </c>
      <c r="T2785" s="5">
        <v>217.49</v>
      </c>
      <c r="V2785" s="5">
        <v>214.88</v>
      </c>
      <c r="Y2785" s="5">
        <v>148870</v>
      </c>
      <c r="Z2785" s="5">
        <v>32106545.18</v>
      </c>
      <c r="AA2785" s="5">
        <v>3351</v>
      </c>
      <c r="AB2785" s="5" t="s">
        <v>85</v>
      </c>
      <c r="AC2785" s="5">
        <v>1</v>
      </c>
    </row>
    <row r="2786" spans="1:29" x14ac:dyDescent="0.3">
      <c r="A2786" s="34">
        <v>46274</v>
      </c>
      <c r="B2786" s="34">
        <v>46274</v>
      </c>
      <c r="C2786" s="5" t="s">
        <v>78</v>
      </c>
      <c r="D2786" s="5" t="s">
        <v>79</v>
      </c>
      <c r="E2786" s="5" t="s">
        <v>80</v>
      </c>
      <c r="F2786" s="5">
        <v>758960</v>
      </c>
      <c r="G2786" s="5" t="s">
        <v>8443</v>
      </c>
      <c r="H2786" s="5" t="s">
        <v>8444</v>
      </c>
      <c r="I2786" s="5" t="s">
        <v>313</v>
      </c>
      <c r="N2786" s="5" t="s">
        <v>8445</v>
      </c>
      <c r="O2786" s="5">
        <v>61.05</v>
      </c>
      <c r="P2786" s="5">
        <v>63</v>
      </c>
      <c r="Q2786" s="5">
        <v>60.05</v>
      </c>
      <c r="R2786" s="5">
        <v>60.05</v>
      </c>
      <c r="S2786" s="5">
        <v>60.05</v>
      </c>
      <c r="T2786" s="5">
        <v>61.05</v>
      </c>
      <c r="V2786" s="5">
        <v>60.05</v>
      </c>
      <c r="Y2786" s="5">
        <v>17600</v>
      </c>
      <c r="Z2786" s="5">
        <v>1080960</v>
      </c>
      <c r="AA2786" s="5">
        <v>9</v>
      </c>
      <c r="AB2786" s="5" t="s">
        <v>85</v>
      </c>
      <c r="AC2786" s="5">
        <v>1600</v>
      </c>
    </row>
    <row r="2787" spans="1:29" x14ac:dyDescent="0.3">
      <c r="A2787" s="34">
        <v>46274</v>
      </c>
      <c r="B2787" s="34">
        <v>46274</v>
      </c>
      <c r="C2787" s="5" t="s">
        <v>78</v>
      </c>
      <c r="D2787" s="5" t="s">
        <v>79</v>
      </c>
      <c r="E2787" s="5" t="s">
        <v>80</v>
      </c>
      <c r="F2787" s="5">
        <v>3018</v>
      </c>
      <c r="G2787" s="5" t="s">
        <v>8446</v>
      </c>
      <c r="H2787" s="5" t="s">
        <v>8447</v>
      </c>
      <c r="I2787" s="5" t="s">
        <v>212</v>
      </c>
      <c r="N2787" s="5" t="s">
        <v>8448</v>
      </c>
      <c r="O2787" s="5">
        <v>56.35</v>
      </c>
      <c r="P2787" s="5">
        <v>56.66</v>
      </c>
      <c r="Q2787" s="5">
        <v>55.5</v>
      </c>
      <c r="R2787" s="5">
        <v>55.78</v>
      </c>
      <c r="S2787" s="5">
        <v>56</v>
      </c>
      <c r="T2787" s="5">
        <v>56.11</v>
      </c>
      <c r="V2787" s="5">
        <v>55.78</v>
      </c>
      <c r="Y2787" s="5">
        <v>23875</v>
      </c>
      <c r="Z2787" s="5">
        <v>1336526.48</v>
      </c>
      <c r="AA2787" s="5">
        <v>966</v>
      </c>
      <c r="AB2787" s="5" t="s">
        <v>85</v>
      </c>
      <c r="AC2787" s="5">
        <v>1</v>
      </c>
    </row>
    <row r="2788" spans="1:29" x14ac:dyDescent="0.3">
      <c r="A2788" s="34">
        <v>46274</v>
      </c>
      <c r="B2788" s="34">
        <v>46274</v>
      </c>
      <c r="C2788" s="5" t="s">
        <v>78</v>
      </c>
      <c r="D2788" s="5" t="s">
        <v>79</v>
      </c>
      <c r="E2788" s="5" t="s">
        <v>80</v>
      </c>
      <c r="F2788" s="5">
        <v>3021</v>
      </c>
      <c r="G2788" s="5" t="s">
        <v>8449</v>
      </c>
      <c r="H2788" s="5" t="s">
        <v>8450</v>
      </c>
      <c r="I2788" s="5" t="s">
        <v>212</v>
      </c>
      <c r="N2788" s="5" t="s">
        <v>8451</v>
      </c>
      <c r="O2788" s="5">
        <v>681.35</v>
      </c>
      <c r="P2788" s="5">
        <v>698.2</v>
      </c>
      <c r="Q2788" s="5">
        <v>675.4</v>
      </c>
      <c r="R2788" s="5">
        <v>689.6</v>
      </c>
      <c r="S2788" s="5">
        <v>690.1</v>
      </c>
      <c r="T2788" s="5">
        <v>681.35</v>
      </c>
      <c r="V2788" s="5">
        <v>689.61</v>
      </c>
      <c r="Y2788" s="5">
        <v>375794</v>
      </c>
      <c r="Z2788" s="5">
        <v>258383843.69999999</v>
      </c>
      <c r="AA2788" s="5">
        <v>14355</v>
      </c>
      <c r="AB2788" s="5" t="s">
        <v>85</v>
      </c>
      <c r="AC2788" s="5">
        <v>1</v>
      </c>
    </row>
    <row r="2789" spans="1:29" x14ac:dyDescent="0.3">
      <c r="A2789" s="34">
        <v>46274</v>
      </c>
      <c r="B2789" s="34">
        <v>46274</v>
      </c>
      <c r="C2789" s="5" t="s">
        <v>78</v>
      </c>
      <c r="D2789" s="5" t="s">
        <v>79</v>
      </c>
      <c r="E2789" s="5" t="s">
        <v>80</v>
      </c>
      <c r="F2789" s="5">
        <v>757704</v>
      </c>
      <c r="G2789" s="5" t="s">
        <v>8452</v>
      </c>
      <c r="H2789" s="5" t="s">
        <v>8453</v>
      </c>
      <c r="I2789" s="5" t="s">
        <v>313</v>
      </c>
      <c r="N2789" s="5" t="s">
        <v>8454</v>
      </c>
      <c r="O2789" s="5">
        <v>145</v>
      </c>
      <c r="P2789" s="5">
        <v>145</v>
      </c>
      <c r="Q2789" s="5">
        <v>141.1</v>
      </c>
      <c r="R2789" s="5">
        <v>141.1</v>
      </c>
      <c r="S2789" s="5">
        <v>141.1</v>
      </c>
      <c r="T2789" s="5">
        <v>144.94999999999999</v>
      </c>
      <c r="V2789" s="5">
        <v>141.1</v>
      </c>
      <c r="Y2789" s="5">
        <v>4800</v>
      </c>
      <c r="Z2789" s="5">
        <v>686100</v>
      </c>
      <c r="AA2789" s="5">
        <v>4</v>
      </c>
      <c r="AB2789" s="5" t="s">
        <v>85</v>
      </c>
      <c r="AC2789" s="5">
        <v>1200</v>
      </c>
    </row>
    <row r="2790" spans="1:29" x14ac:dyDescent="0.3">
      <c r="A2790" s="34">
        <v>46274</v>
      </c>
      <c r="B2790" s="34">
        <v>46274</v>
      </c>
      <c r="C2790" s="5" t="s">
        <v>78</v>
      </c>
      <c r="D2790" s="5" t="s">
        <v>79</v>
      </c>
      <c r="E2790" s="5" t="s">
        <v>80</v>
      </c>
      <c r="F2790" s="5">
        <v>758444</v>
      </c>
      <c r="G2790" s="5" t="s">
        <v>8455</v>
      </c>
      <c r="H2790" s="5" t="s">
        <v>8456</v>
      </c>
      <c r="I2790" s="5" t="s">
        <v>313</v>
      </c>
      <c r="N2790" s="5" t="s">
        <v>8457</v>
      </c>
      <c r="O2790" s="5">
        <v>170</v>
      </c>
      <c r="P2790" s="5">
        <v>170</v>
      </c>
      <c r="Q2790" s="5">
        <v>158.15</v>
      </c>
      <c r="R2790" s="5">
        <v>168.1</v>
      </c>
      <c r="S2790" s="5">
        <v>168.5</v>
      </c>
      <c r="T2790" s="5">
        <v>170</v>
      </c>
      <c r="V2790" s="5">
        <v>168.1</v>
      </c>
      <c r="Y2790" s="5">
        <v>21000</v>
      </c>
      <c r="Z2790" s="5">
        <v>3495120</v>
      </c>
      <c r="AA2790" s="5">
        <v>15</v>
      </c>
      <c r="AB2790" s="5" t="s">
        <v>85</v>
      </c>
      <c r="AC2790" s="5">
        <v>600</v>
      </c>
    </row>
    <row r="2791" spans="1:29" x14ac:dyDescent="0.3">
      <c r="A2791" s="34">
        <v>46274</v>
      </c>
      <c r="B2791" s="34">
        <v>46274</v>
      </c>
      <c r="C2791" s="5" t="s">
        <v>78</v>
      </c>
      <c r="D2791" s="5" t="s">
        <v>79</v>
      </c>
      <c r="E2791" s="5" t="s">
        <v>80</v>
      </c>
      <c r="F2791" s="5">
        <v>762879</v>
      </c>
      <c r="G2791" s="5" t="s">
        <v>8458</v>
      </c>
      <c r="H2791" s="5" t="s">
        <v>8459</v>
      </c>
      <c r="I2791" s="5" t="s">
        <v>212</v>
      </c>
      <c r="N2791" s="5" t="s">
        <v>8460</v>
      </c>
      <c r="O2791" s="5">
        <v>299</v>
      </c>
      <c r="P2791" s="5">
        <v>316</v>
      </c>
      <c r="Q2791" s="5">
        <v>295</v>
      </c>
      <c r="R2791" s="5">
        <v>302.35000000000002</v>
      </c>
      <c r="S2791" s="5">
        <v>301.2</v>
      </c>
      <c r="T2791" s="5">
        <v>320</v>
      </c>
      <c r="V2791" s="5">
        <v>306.39999999999998</v>
      </c>
      <c r="Y2791" s="5">
        <v>108</v>
      </c>
      <c r="Z2791" s="5">
        <v>32802.85</v>
      </c>
      <c r="AA2791" s="5">
        <v>43</v>
      </c>
      <c r="AB2791" s="5" t="s">
        <v>85</v>
      </c>
      <c r="AC2791" s="5">
        <v>1</v>
      </c>
    </row>
    <row r="2792" spans="1:29" x14ac:dyDescent="0.3">
      <c r="A2792" s="34">
        <v>46274</v>
      </c>
      <c r="B2792" s="34">
        <v>46274</v>
      </c>
      <c r="C2792" s="5" t="s">
        <v>78</v>
      </c>
      <c r="D2792" s="5" t="s">
        <v>79</v>
      </c>
      <c r="E2792" s="5" t="s">
        <v>80</v>
      </c>
      <c r="F2792" s="5">
        <v>764875</v>
      </c>
      <c r="G2792" s="5" t="s">
        <v>8461</v>
      </c>
      <c r="H2792" s="5" t="s">
        <v>8462</v>
      </c>
      <c r="I2792" s="5" t="s">
        <v>212</v>
      </c>
      <c r="N2792" s="5" t="s">
        <v>8463</v>
      </c>
      <c r="O2792" s="5">
        <v>116</v>
      </c>
      <c r="P2792" s="5">
        <v>116</v>
      </c>
      <c r="Q2792" s="5">
        <v>116</v>
      </c>
      <c r="R2792" s="5">
        <v>116</v>
      </c>
      <c r="S2792" s="5">
        <v>116</v>
      </c>
      <c r="T2792" s="5">
        <v>116.01</v>
      </c>
      <c r="V2792" s="5">
        <v>116</v>
      </c>
      <c r="Y2792" s="5">
        <v>66</v>
      </c>
      <c r="Z2792" s="5">
        <v>7656</v>
      </c>
      <c r="AA2792" s="5">
        <v>1</v>
      </c>
      <c r="AB2792" s="5" t="s">
        <v>85</v>
      </c>
      <c r="AC2792" s="5">
        <v>1</v>
      </c>
    </row>
    <row r="2793" spans="1:29" x14ac:dyDescent="0.3">
      <c r="A2793" s="34">
        <v>46274</v>
      </c>
      <c r="B2793" s="34">
        <v>46274</v>
      </c>
      <c r="C2793" s="5" t="s">
        <v>78</v>
      </c>
      <c r="D2793" s="5" t="s">
        <v>79</v>
      </c>
      <c r="E2793" s="5" t="s">
        <v>80</v>
      </c>
      <c r="F2793" s="5">
        <v>6792</v>
      </c>
      <c r="G2793" s="5" t="s">
        <v>8464</v>
      </c>
      <c r="H2793" s="5" t="s">
        <v>8465</v>
      </c>
      <c r="I2793" s="5" t="s">
        <v>212</v>
      </c>
      <c r="N2793" s="5" t="s">
        <v>8466</v>
      </c>
      <c r="O2793" s="5">
        <v>47.04</v>
      </c>
      <c r="P2793" s="5">
        <v>49</v>
      </c>
      <c r="Q2793" s="5">
        <v>47.04</v>
      </c>
      <c r="R2793" s="5">
        <v>48.68</v>
      </c>
      <c r="S2793" s="5">
        <v>48.7</v>
      </c>
      <c r="T2793" s="5">
        <v>46.77</v>
      </c>
      <c r="V2793" s="5">
        <v>48.68</v>
      </c>
      <c r="Y2793" s="5">
        <v>12797508</v>
      </c>
      <c r="Z2793" s="5">
        <v>618939848.99000001</v>
      </c>
      <c r="AA2793" s="5">
        <v>12540</v>
      </c>
      <c r="AB2793" s="5" t="s">
        <v>85</v>
      </c>
      <c r="AC2793" s="5">
        <v>1</v>
      </c>
    </row>
    <row r="2794" spans="1:29" x14ac:dyDescent="0.3">
      <c r="A2794" s="34">
        <v>46274</v>
      </c>
      <c r="B2794" s="34">
        <v>46274</v>
      </c>
      <c r="C2794" s="5" t="s">
        <v>78</v>
      </c>
      <c r="D2794" s="5" t="s">
        <v>79</v>
      </c>
      <c r="E2794" s="5" t="s">
        <v>80</v>
      </c>
      <c r="F2794" s="5">
        <v>18026</v>
      </c>
      <c r="G2794" s="5" t="s">
        <v>8467</v>
      </c>
      <c r="H2794" s="5" t="s">
        <v>8468</v>
      </c>
      <c r="I2794" s="5" t="s">
        <v>212</v>
      </c>
      <c r="N2794" s="5" t="s">
        <v>8469</v>
      </c>
      <c r="O2794" s="5">
        <v>97.35</v>
      </c>
      <c r="P2794" s="5">
        <v>99.99</v>
      </c>
      <c r="Q2794" s="5">
        <v>96.15</v>
      </c>
      <c r="R2794" s="5">
        <v>99.59</v>
      </c>
      <c r="S2794" s="5">
        <v>99.35</v>
      </c>
      <c r="T2794" s="5">
        <v>97.35</v>
      </c>
      <c r="V2794" s="5">
        <v>99.59</v>
      </c>
      <c r="Y2794" s="5">
        <v>1121688</v>
      </c>
      <c r="Z2794" s="5">
        <v>110519231.38</v>
      </c>
      <c r="AA2794" s="5">
        <v>10249</v>
      </c>
      <c r="AB2794" s="5" t="s">
        <v>85</v>
      </c>
      <c r="AC2794" s="5">
        <v>1</v>
      </c>
    </row>
    <row r="2795" spans="1:29" x14ac:dyDescent="0.3">
      <c r="A2795" s="34">
        <v>46274</v>
      </c>
      <c r="B2795" s="34">
        <v>46274</v>
      </c>
      <c r="C2795" s="5" t="s">
        <v>78</v>
      </c>
      <c r="D2795" s="5" t="s">
        <v>79</v>
      </c>
      <c r="E2795" s="5" t="s">
        <v>80</v>
      </c>
      <c r="F2795" s="5">
        <v>17971</v>
      </c>
      <c r="G2795" s="5" t="s">
        <v>8470</v>
      </c>
      <c r="H2795" s="5" t="s">
        <v>8471</v>
      </c>
      <c r="I2795" s="5" t="s">
        <v>212</v>
      </c>
      <c r="N2795" s="5" t="s">
        <v>8472</v>
      </c>
      <c r="O2795" s="5">
        <v>665.35</v>
      </c>
      <c r="P2795" s="5">
        <v>674.45</v>
      </c>
      <c r="Q2795" s="5">
        <v>657.25</v>
      </c>
      <c r="R2795" s="5">
        <v>668.4</v>
      </c>
      <c r="S2795" s="5">
        <v>668.4</v>
      </c>
      <c r="T2795" s="5">
        <v>668</v>
      </c>
      <c r="V2795" s="5">
        <v>668.43</v>
      </c>
      <c r="Y2795" s="5">
        <v>2199393</v>
      </c>
      <c r="Z2795" s="5">
        <v>1467478550.5999999</v>
      </c>
      <c r="AA2795" s="5">
        <v>46785</v>
      </c>
      <c r="AB2795" s="5" t="s">
        <v>85</v>
      </c>
      <c r="AC2795" s="5">
        <v>1</v>
      </c>
    </row>
    <row r="2796" spans="1:29" x14ac:dyDescent="0.3">
      <c r="A2796" s="34">
        <v>46274</v>
      </c>
      <c r="B2796" s="34">
        <v>46274</v>
      </c>
      <c r="C2796" s="5" t="s">
        <v>78</v>
      </c>
      <c r="D2796" s="5" t="s">
        <v>79</v>
      </c>
      <c r="E2796" s="5" t="s">
        <v>80</v>
      </c>
      <c r="F2796" s="5">
        <v>764173</v>
      </c>
      <c r="G2796" s="5" t="s">
        <v>8473</v>
      </c>
      <c r="H2796" s="5" t="s">
        <v>8474</v>
      </c>
      <c r="I2796" s="5" t="s">
        <v>212</v>
      </c>
      <c r="N2796" s="5" t="s">
        <v>8475</v>
      </c>
      <c r="O2796" s="5">
        <v>553.70000000000005</v>
      </c>
      <c r="P2796" s="5">
        <v>557</v>
      </c>
      <c r="Q2796" s="5">
        <v>550</v>
      </c>
      <c r="R2796" s="5">
        <v>552.65</v>
      </c>
      <c r="S2796" s="5">
        <v>550.85</v>
      </c>
      <c r="T2796" s="5">
        <v>555.70000000000005</v>
      </c>
      <c r="V2796" s="5">
        <v>552.6</v>
      </c>
      <c r="Y2796" s="5">
        <v>653948</v>
      </c>
      <c r="Z2796" s="5">
        <v>361782886.75</v>
      </c>
      <c r="AA2796" s="5">
        <v>18674</v>
      </c>
      <c r="AB2796" s="5" t="s">
        <v>85</v>
      </c>
      <c r="AC2796" s="5">
        <v>1</v>
      </c>
    </row>
    <row r="2797" spans="1:29" x14ac:dyDescent="0.3">
      <c r="A2797" s="34">
        <v>46274</v>
      </c>
      <c r="B2797" s="34">
        <v>46274</v>
      </c>
      <c r="C2797" s="5" t="s">
        <v>78</v>
      </c>
      <c r="D2797" s="5" t="s">
        <v>79</v>
      </c>
      <c r="E2797" s="5" t="s">
        <v>80</v>
      </c>
      <c r="F2797" s="5">
        <v>21808</v>
      </c>
      <c r="G2797" s="5" t="s">
        <v>8476</v>
      </c>
      <c r="H2797" s="5" t="s">
        <v>8477</v>
      </c>
      <c r="I2797" s="5" t="s">
        <v>212</v>
      </c>
      <c r="N2797" s="5" t="s">
        <v>8478</v>
      </c>
      <c r="O2797" s="5">
        <v>1703.6</v>
      </c>
      <c r="P2797" s="5">
        <v>1703.6</v>
      </c>
      <c r="Q2797" s="5">
        <v>1676</v>
      </c>
      <c r="R2797" s="5">
        <v>1684</v>
      </c>
      <c r="S2797" s="5">
        <v>1684</v>
      </c>
      <c r="T2797" s="5">
        <v>1696.6</v>
      </c>
      <c r="V2797" s="5">
        <v>1684.01</v>
      </c>
      <c r="Y2797" s="5">
        <v>1020022</v>
      </c>
      <c r="Z2797" s="5">
        <v>1719343470</v>
      </c>
      <c r="AA2797" s="5">
        <v>48215</v>
      </c>
      <c r="AB2797" s="5" t="s">
        <v>85</v>
      </c>
      <c r="AC2797" s="5">
        <v>1</v>
      </c>
    </row>
    <row r="2798" spans="1:29" x14ac:dyDescent="0.3">
      <c r="A2798" s="34">
        <v>46274</v>
      </c>
      <c r="B2798" s="34">
        <v>46274</v>
      </c>
      <c r="C2798" s="5" t="s">
        <v>78</v>
      </c>
      <c r="D2798" s="5" t="s">
        <v>79</v>
      </c>
      <c r="E2798" s="5" t="s">
        <v>80</v>
      </c>
      <c r="F2798" s="5">
        <v>17272</v>
      </c>
      <c r="G2798" s="5" t="s">
        <v>8479</v>
      </c>
      <c r="H2798" s="5" t="s">
        <v>8480</v>
      </c>
      <c r="I2798" s="5" t="s">
        <v>212</v>
      </c>
      <c r="N2798" s="5" t="s">
        <v>8481</v>
      </c>
      <c r="O2798" s="5">
        <v>129.65</v>
      </c>
      <c r="P2798" s="5">
        <v>130.26</v>
      </c>
      <c r="Q2798" s="5">
        <v>129.08000000000001</v>
      </c>
      <c r="R2798" s="5">
        <v>129.83000000000001</v>
      </c>
      <c r="S2798" s="5">
        <v>129.78</v>
      </c>
      <c r="T2798" s="5">
        <v>129.84</v>
      </c>
      <c r="V2798" s="5">
        <v>129.83000000000001</v>
      </c>
      <c r="Y2798" s="5">
        <v>4242284</v>
      </c>
      <c r="Z2798" s="5">
        <v>550791610.63</v>
      </c>
      <c r="AA2798" s="5">
        <v>11139</v>
      </c>
      <c r="AB2798" s="5" t="s">
        <v>85</v>
      </c>
      <c r="AC2798" s="5">
        <v>1</v>
      </c>
    </row>
    <row r="2799" spans="1:29" x14ac:dyDescent="0.3">
      <c r="A2799" s="34">
        <v>46274</v>
      </c>
      <c r="B2799" s="34">
        <v>46274</v>
      </c>
      <c r="C2799" s="5" t="s">
        <v>78</v>
      </c>
      <c r="D2799" s="5" t="s">
        <v>79</v>
      </c>
      <c r="E2799" s="5" t="s">
        <v>80</v>
      </c>
      <c r="F2799" s="5">
        <v>10176</v>
      </c>
      <c r="G2799" s="5" t="s">
        <v>8482</v>
      </c>
      <c r="H2799" s="5" t="s">
        <v>8483</v>
      </c>
      <c r="I2799" s="5" t="s">
        <v>212</v>
      </c>
      <c r="N2799" s="5" t="s">
        <v>8484</v>
      </c>
      <c r="O2799" s="5">
        <v>252.65</v>
      </c>
      <c r="P2799" s="5">
        <v>257.91000000000003</v>
      </c>
      <c r="Q2799" s="5">
        <v>252.65</v>
      </c>
      <c r="R2799" s="5">
        <v>253.43</v>
      </c>
      <c r="S2799" s="5">
        <v>253.63</v>
      </c>
      <c r="T2799" s="5">
        <v>255.36</v>
      </c>
      <c r="V2799" s="5">
        <v>253.43</v>
      </c>
      <c r="Y2799" s="5">
        <v>1608380</v>
      </c>
      <c r="Z2799" s="5">
        <v>408345759.26999998</v>
      </c>
      <c r="AA2799" s="5">
        <v>6527</v>
      </c>
      <c r="AB2799" s="5" t="s">
        <v>85</v>
      </c>
      <c r="AC2799" s="5">
        <v>1</v>
      </c>
    </row>
    <row r="2800" spans="1:29" x14ac:dyDescent="0.3">
      <c r="A2800" s="34">
        <v>46274</v>
      </c>
      <c r="B2800" s="34">
        <v>46274</v>
      </c>
      <c r="C2800" s="5" t="s">
        <v>78</v>
      </c>
      <c r="D2800" s="5" t="s">
        <v>79</v>
      </c>
      <c r="E2800" s="5" t="s">
        <v>80</v>
      </c>
      <c r="F2800" s="5">
        <v>7361</v>
      </c>
      <c r="G2800" s="5" t="s">
        <v>8485</v>
      </c>
      <c r="H2800" s="5" t="s">
        <v>8486</v>
      </c>
      <c r="I2800" s="5" t="s">
        <v>212</v>
      </c>
      <c r="N2800" s="5" t="s">
        <v>8487</v>
      </c>
      <c r="O2800" s="5">
        <v>582.83000000000004</v>
      </c>
      <c r="P2800" s="5">
        <v>583.9</v>
      </c>
      <c r="Q2800" s="5">
        <v>580.04999999999995</v>
      </c>
      <c r="R2800" s="5">
        <v>581.05999999999995</v>
      </c>
      <c r="S2800" s="5">
        <v>580.99</v>
      </c>
      <c r="T2800" s="5">
        <v>584.23</v>
      </c>
      <c r="V2800" s="5">
        <v>581.05999999999995</v>
      </c>
      <c r="Y2800" s="5">
        <v>26284</v>
      </c>
      <c r="Z2800" s="5">
        <v>15301823.779999999</v>
      </c>
      <c r="AA2800" s="5">
        <v>550</v>
      </c>
      <c r="AB2800" s="5" t="s">
        <v>85</v>
      </c>
      <c r="AC2800" s="5">
        <v>1</v>
      </c>
    </row>
    <row r="2801" spans="1:29" x14ac:dyDescent="0.3">
      <c r="A2801" s="34">
        <v>46274</v>
      </c>
      <c r="B2801" s="34">
        <v>46274</v>
      </c>
      <c r="C2801" s="5" t="s">
        <v>78</v>
      </c>
      <c r="D2801" s="5" t="s">
        <v>79</v>
      </c>
      <c r="E2801" s="5" t="s">
        <v>80</v>
      </c>
      <c r="F2801" s="5">
        <v>7353</v>
      </c>
      <c r="G2801" s="5" t="s">
        <v>8488</v>
      </c>
      <c r="H2801" s="5" t="s">
        <v>8489</v>
      </c>
      <c r="I2801" s="5" t="s">
        <v>212</v>
      </c>
      <c r="N2801" s="5" t="s">
        <v>8490</v>
      </c>
      <c r="O2801" s="5">
        <v>776.51</v>
      </c>
      <c r="P2801" s="5">
        <v>784.73</v>
      </c>
      <c r="Q2801" s="5">
        <v>776.5</v>
      </c>
      <c r="R2801" s="5">
        <v>782.29</v>
      </c>
      <c r="S2801" s="5">
        <v>783</v>
      </c>
      <c r="T2801" s="5">
        <v>781.42</v>
      </c>
      <c r="V2801" s="5">
        <v>782.29</v>
      </c>
      <c r="Y2801" s="5">
        <v>41835</v>
      </c>
      <c r="Z2801" s="5">
        <v>32708913.870000001</v>
      </c>
      <c r="AA2801" s="5">
        <v>1514</v>
      </c>
      <c r="AB2801" s="5" t="s">
        <v>85</v>
      </c>
      <c r="AC2801" s="5">
        <v>1</v>
      </c>
    </row>
    <row r="2802" spans="1:29" x14ac:dyDescent="0.3">
      <c r="A2802" s="34">
        <v>46274</v>
      </c>
      <c r="B2802" s="34">
        <v>46274</v>
      </c>
      <c r="C2802" s="5" t="s">
        <v>78</v>
      </c>
      <c r="D2802" s="5" t="s">
        <v>79</v>
      </c>
      <c r="E2802" s="5" t="s">
        <v>80</v>
      </c>
      <c r="F2802" s="5">
        <v>19705</v>
      </c>
      <c r="G2802" s="5" t="s">
        <v>8491</v>
      </c>
      <c r="H2802" s="5" t="s">
        <v>8492</v>
      </c>
      <c r="I2802" s="5" t="s">
        <v>212</v>
      </c>
      <c r="N2802" s="5" t="s">
        <v>8493</v>
      </c>
      <c r="O2802" s="5">
        <v>999.99</v>
      </c>
      <c r="P2802" s="5">
        <v>1000.01</v>
      </c>
      <c r="Q2802" s="5">
        <v>999.99</v>
      </c>
      <c r="R2802" s="5">
        <v>999.99</v>
      </c>
      <c r="S2802" s="5">
        <v>1000.01</v>
      </c>
      <c r="T2802" s="5">
        <v>999.99</v>
      </c>
      <c r="V2802" s="5">
        <v>999.99</v>
      </c>
      <c r="Y2802" s="5">
        <v>1758</v>
      </c>
      <c r="Z2802" s="5">
        <v>1757989.87</v>
      </c>
      <c r="AA2802" s="5">
        <v>17</v>
      </c>
      <c r="AB2802" s="5" t="s">
        <v>85</v>
      </c>
      <c r="AC2802" s="5">
        <v>1</v>
      </c>
    </row>
    <row r="2803" spans="1:29" x14ac:dyDescent="0.3">
      <c r="A2803" s="34">
        <v>46274</v>
      </c>
      <c r="B2803" s="34">
        <v>46274</v>
      </c>
      <c r="C2803" s="5" t="s">
        <v>78</v>
      </c>
      <c r="D2803" s="5" t="s">
        <v>79</v>
      </c>
      <c r="E2803" s="5" t="s">
        <v>80</v>
      </c>
      <c r="F2803" s="5">
        <v>30290</v>
      </c>
      <c r="G2803" s="5" t="s">
        <v>8494</v>
      </c>
      <c r="H2803" s="5" t="s">
        <v>8495</v>
      </c>
      <c r="I2803" s="5" t="s">
        <v>212</v>
      </c>
      <c r="N2803" s="5" t="s">
        <v>8496</v>
      </c>
      <c r="O2803" s="5">
        <v>49.31</v>
      </c>
      <c r="P2803" s="5">
        <v>49.31</v>
      </c>
      <c r="Q2803" s="5">
        <v>48.59</v>
      </c>
      <c r="R2803" s="5">
        <v>48.72</v>
      </c>
      <c r="S2803" s="5">
        <v>48.64</v>
      </c>
      <c r="T2803" s="5">
        <v>48.87</v>
      </c>
      <c r="V2803" s="5">
        <v>48.72</v>
      </c>
      <c r="Y2803" s="5">
        <v>4978966</v>
      </c>
      <c r="Z2803" s="5">
        <v>242776170.78999999</v>
      </c>
      <c r="AA2803" s="5">
        <v>481</v>
      </c>
      <c r="AB2803" s="5" t="s">
        <v>85</v>
      </c>
      <c r="AC2803" s="5">
        <v>1</v>
      </c>
    </row>
    <row r="2804" spans="1:29" x14ac:dyDescent="0.3">
      <c r="A2804" s="34">
        <v>46274</v>
      </c>
      <c r="B2804" s="34">
        <v>46274</v>
      </c>
      <c r="C2804" s="5" t="s">
        <v>78</v>
      </c>
      <c r="D2804" s="5" t="s">
        <v>79</v>
      </c>
      <c r="E2804" s="5" t="s">
        <v>80</v>
      </c>
      <c r="F2804" s="5">
        <v>5168</v>
      </c>
      <c r="G2804" s="5" t="s">
        <v>8497</v>
      </c>
      <c r="H2804" s="5" t="s">
        <v>8498</v>
      </c>
      <c r="I2804" s="5" t="s">
        <v>212</v>
      </c>
      <c r="N2804" s="5" t="s">
        <v>8499</v>
      </c>
      <c r="O2804" s="5">
        <v>120.97</v>
      </c>
      <c r="P2804" s="5">
        <v>120.97</v>
      </c>
      <c r="Q2804" s="5">
        <v>118.77</v>
      </c>
      <c r="R2804" s="5">
        <v>119.01</v>
      </c>
      <c r="S2804" s="5">
        <v>119.77</v>
      </c>
      <c r="T2804" s="5">
        <v>119.88</v>
      </c>
      <c r="V2804" s="5">
        <v>119.01</v>
      </c>
      <c r="Y2804" s="5">
        <v>2629</v>
      </c>
      <c r="Z2804" s="5">
        <v>313639.49</v>
      </c>
      <c r="AA2804" s="5">
        <v>103</v>
      </c>
      <c r="AB2804" s="5" t="s">
        <v>85</v>
      </c>
      <c r="AC2804" s="5">
        <v>1</v>
      </c>
    </row>
    <row r="2805" spans="1:29" x14ac:dyDescent="0.3">
      <c r="A2805" s="34">
        <v>46274</v>
      </c>
      <c r="B2805" s="34">
        <v>46274</v>
      </c>
      <c r="C2805" s="5" t="s">
        <v>78</v>
      </c>
      <c r="D2805" s="5" t="s">
        <v>79</v>
      </c>
      <c r="E2805" s="5" t="s">
        <v>80</v>
      </c>
      <c r="F2805" s="5">
        <v>740</v>
      </c>
      <c r="G2805" s="5" t="s">
        <v>8500</v>
      </c>
      <c r="H2805" s="5" t="s">
        <v>8501</v>
      </c>
      <c r="I2805" s="5" t="s">
        <v>212</v>
      </c>
      <c r="N2805" s="5" t="s">
        <v>8502</v>
      </c>
      <c r="O2805" s="5">
        <v>329.96</v>
      </c>
      <c r="P2805" s="5">
        <v>329.97</v>
      </c>
      <c r="Q2805" s="5">
        <v>319.95</v>
      </c>
      <c r="R2805" s="5">
        <v>320.89</v>
      </c>
      <c r="S2805" s="5">
        <v>321.99</v>
      </c>
      <c r="T2805" s="5">
        <v>331.6</v>
      </c>
      <c r="V2805" s="5">
        <v>320.89</v>
      </c>
      <c r="Y2805" s="5">
        <v>20685</v>
      </c>
      <c r="Z2805" s="5">
        <v>6653205.79</v>
      </c>
      <c r="AA2805" s="5">
        <v>548</v>
      </c>
      <c r="AB2805" s="5" t="s">
        <v>85</v>
      </c>
      <c r="AC2805" s="5">
        <v>1</v>
      </c>
    </row>
    <row r="2806" spans="1:29" x14ac:dyDescent="0.3">
      <c r="A2806" s="34">
        <v>46274</v>
      </c>
      <c r="B2806" s="34">
        <v>46274</v>
      </c>
      <c r="C2806" s="5" t="s">
        <v>78</v>
      </c>
      <c r="D2806" s="5" t="s">
        <v>79</v>
      </c>
      <c r="E2806" s="5" t="s">
        <v>80</v>
      </c>
      <c r="F2806" s="5">
        <v>722</v>
      </c>
      <c r="G2806" s="5" t="s">
        <v>8503</v>
      </c>
      <c r="H2806" s="5" t="s">
        <v>8504</v>
      </c>
      <c r="I2806" s="5" t="s">
        <v>212</v>
      </c>
      <c r="N2806" s="5" t="s">
        <v>8505</v>
      </c>
      <c r="O2806" s="5">
        <v>285.89</v>
      </c>
      <c r="P2806" s="5">
        <v>285.89</v>
      </c>
      <c r="Q2806" s="5">
        <v>278.77</v>
      </c>
      <c r="R2806" s="5">
        <v>280.11</v>
      </c>
      <c r="S2806" s="5">
        <v>279.35000000000002</v>
      </c>
      <c r="T2806" s="5">
        <v>281.99</v>
      </c>
      <c r="V2806" s="5">
        <v>280.11</v>
      </c>
      <c r="Y2806" s="5">
        <v>2460</v>
      </c>
      <c r="Z2806" s="5">
        <v>687138.19</v>
      </c>
      <c r="AA2806" s="5">
        <v>123</v>
      </c>
      <c r="AB2806" s="5" t="s">
        <v>85</v>
      </c>
      <c r="AC2806" s="5">
        <v>1</v>
      </c>
    </row>
    <row r="2807" spans="1:29" x14ac:dyDescent="0.3">
      <c r="A2807" s="34">
        <v>46274</v>
      </c>
      <c r="B2807" s="34">
        <v>46274</v>
      </c>
      <c r="C2807" s="5" t="s">
        <v>78</v>
      </c>
      <c r="D2807" s="5" t="s">
        <v>79</v>
      </c>
      <c r="E2807" s="5" t="s">
        <v>80</v>
      </c>
      <c r="F2807" s="5">
        <v>7218</v>
      </c>
      <c r="G2807" s="5" t="s">
        <v>8506</v>
      </c>
      <c r="H2807" s="5" t="s">
        <v>8507</v>
      </c>
      <c r="I2807" s="5" t="s">
        <v>212</v>
      </c>
      <c r="N2807" s="5" t="s">
        <v>8508</v>
      </c>
      <c r="O2807" s="5">
        <v>219.53</v>
      </c>
      <c r="P2807" s="5">
        <v>219.53</v>
      </c>
      <c r="Q2807" s="5">
        <v>217.75</v>
      </c>
      <c r="R2807" s="5">
        <v>218</v>
      </c>
      <c r="S2807" s="5">
        <v>218</v>
      </c>
      <c r="T2807" s="5">
        <v>219.53</v>
      </c>
      <c r="V2807" s="5">
        <v>218</v>
      </c>
      <c r="Y2807" s="5">
        <v>1205</v>
      </c>
      <c r="Z2807" s="5">
        <v>263049.82</v>
      </c>
      <c r="AA2807" s="5">
        <v>69</v>
      </c>
      <c r="AB2807" s="5" t="s">
        <v>85</v>
      </c>
      <c r="AC2807" s="5">
        <v>1</v>
      </c>
    </row>
    <row r="2808" spans="1:29" x14ac:dyDescent="0.3">
      <c r="A2808" s="34">
        <v>46274</v>
      </c>
      <c r="B2808" s="34">
        <v>46274</v>
      </c>
      <c r="C2808" s="5" t="s">
        <v>78</v>
      </c>
      <c r="D2808" s="5" t="s">
        <v>79</v>
      </c>
      <c r="E2808" s="5" t="s">
        <v>80</v>
      </c>
      <c r="F2808" s="5">
        <v>758496</v>
      </c>
      <c r="G2808" s="5" t="s">
        <v>8509</v>
      </c>
      <c r="H2808" s="5" t="s">
        <v>8510</v>
      </c>
      <c r="I2808" s="5" t="s">
        <v>212</v>
      </c>
      <c r="N2808" s="5" t="s">
        <v>8511</v>
      </c>
      <c r="O2808" s="5">
        <v>1055.1500000000001</v>
      </c>
      <c r="P2808" s="5">
        <v>1055.17</v>
      </c>
      <c r="Q2808" s="5">
        <v>1055.1500000000001</v>
      </c>
      <c r="R2808" s="5">
        <v>1055.1600000000001</v>
      </c>
      <c r="S2808" s="5">
        <v>1055.1600000000001</v>
      </c>
      <c r="T2808" s="5">
        <v>1055.03</v>
      </c>
      <c r="V2808" s="5">
        <v>1055.1600000000001</v>
      </c>
      <c r="Y2808" s="5">
        <v>5892</v>
      </c>
      <c r="Z2808" s="5">
        <v>6216974.7199999997</v>
      </c>
      <c r="AA2808" s="5">
        <v>54</v>
      </c>
      <c r="AB2808" s="5" t="s">
        <v>85</v>
      </c>
      <c r="AC2808" s="5">
        <v>1</v>
      </c>
    </row>
    <row r="2809" spans="1:29" x14ac:dyDescent="0.3">
      <c r="A2809" s="34">
        <v>46274</v>
      </c>
      <c r="B2809" s="34">
        <v>46274</v>
      </c>
      <c r="C2809" s="5" t="s">
        <v>78</v>
      </c>
      <c r="D2809" s="5" t="s">
        <v>79</v>
      </c>
      <c r="E2809" s="5" t="s">
        <v>80</v>
      </c>
      <c r="F2809" s="5">
        <v>761095</v>
      </c>
      <c r="G2809" s="5" t="s">
        <v>8512</v>
      </c>
      <c r="H2809" s="5" t="s">
        <v>8513</v>
      </c>
      <c r="I2809" s="5" t="s">
        <v>212</v>
      </c>
      <c r="N2809" s="5" t="s">
        <v>8514</v>
      </c>
      <c r="O2809" s="5">
        <v>64.09</v>
      </c>
      <c r="P2809" s="5">
        <v>64.5</v>
      </c>
      <c r="Q2809" s="5">
        <v>63.74</v>
      </c>
      <c r="R2809" s="5">
        <v>63.99</v>
      </c>
      <c r="S2809" s="5">
        <v>64.19</v>
      </c>
      <c r="T2809" s="5">
        <v>64.09</v>
      </c>
      <c r="V2809" s="5">
        <v>63.99</v>
      </c>
      <c r="Y2809" s="5">
        <v>55241</v>
      </c>
      <c r="Z2809" s="5">
        <v>3533719.02</v>
      </c>
      <c r="AA2809" s="5">
        <v>127</v>
      </c>
      <c r="AB2809" s="5" t="s">
        <v>85</v>
      </c>
      <c r="AC2809" s="5">
        <v>1</v>
      </c>
    </row>
    <row r="2810" spans="1:29" x14ac:dyDescent="0.3">
      <c r="A2810" s="34">
        <v>46274</v>
      </c>
      <c r="B2810" s="34">
        <v>46274</v>
      </c>
      <c r="C2810" s="5" t="s">
        <v>78</v>
      </c>
      <c r="D2810" s="5" t="s">
        <v>79</v>
      </c>
      <c r="E2810" s="5" t="s">
        <v>80</v>
      </c>
      <c r="F2810" s="5">
        <v>24524</v>
      </c>
      <c r="G2810" s="5" t="s">
        <v>8515</v>
      </c>
      <c r="H2810" s="5" t="s">
        <v>8516</v>
      </c>
      <c r="I2810" s="5" t="s">
        <v>212</v>
      </c>
      <c r="N2810" s="5" t="s">
        <v>8517</v>
      </c>
      <c r="O2810" s="5">
        <v>32.880000000000003</v>
      </c>
      <c r="P2810" s="5">
        <v>32.880000000000003</v>
      </c>
      <c r="Q2810" s="5">
        <v>32.47</v>
      </c>
      <c r="R2810" s="5">
        <v>32.799999999999997</v>
      </c>
      <c r="S2810" s="5">
        <v>32.82</v>
      </c>
      <c r="T2810" s="5">
        <v>32.880000000000003</v>
      </c>
      <c r="V2810" s="5">
        <v>32.799999999999997</v>
      </c>
      <c r="Y2810" s="5">
        <v>31916</v>
      </c>
      <c r="Z2810" s="5">
        <v>1045275.42</v>
      </c>
      <c r="AA2810" s="5">
        <v>198</v>
      </c>
      <c r="AB2810" s="5" t="s">
        <v>85</v>
      </c>
      <c r="AC2810" s="5">
        <v>1</v>
      </c>
    </row>
    <row r="2811" spans="1:29" x14ac:dyDescent="0.3">
      <c r="A2811" s="34">
        <v>46274</v>
      </c>
      <c r="B2811" s="34">
        <v>46274</v>
      </c>
      <c r="C2811" s="5" t="s">
        <v>78</v>
      </c>
      <c r="D2811" s="5" t="s">
        <v>79</v>
      </c>
      <c r="E2811" s="5" t="s">
        <v>80</v>
      </c>
      <c r="F2811" s="5">
        <v>761741</v>
      </c>
      <c r="G2811" s="5" t="s">
        <v>8518</v>
      </c>
      <c r="H2811" s="5" t="s">
        <v>8519</v>
      </c>
      <c r="I2811" s="5" t="s">
        <v>212</v>
      </c>
      <c r="N2811" s="5" t="s">
        <v>8520</v>
      </c>
      <c r="O2811" s="5">
        <v>23.28</v>
      </c>
      <c r="P2811" s="5">
        <v>23.28</v>
      </c>
      <c r="Q2811" s="5">
        <v>22.8</v>
      </c>
      <c r="R2811" s="5">
        <v>23.09</v>
      </c>
      <c r="S2811" s="5">
        <v>23.15</v>
      </c>
      <c r="T2811" s="5">
        <v>23.17</v>
      </c>
      <c r="V2811" s="5">
        <v>23.09</v>
      </c>
      <c r="Y2811" s="5">
        <v>16113</v>
      </c>
      <c r="Z2811" s="5">
        <v>371526.19</v>
      </c>
      <c r="AA2811" s="5">
        <v>124</v>
      </c>
      <c r="AB2811" s="5" t="s">
        <v>85</v>
      </c>
      <c r="AC2811" s="5">
        <v>1</v>
      </c>
    </row>
    <row r="2812" spans="1:29" x14ac:dyDescent="0.3">
      <c r="A2812" s="34">
        <v>46274</v>
      </c>
      <c r="B2812" s="34">
        <v>46274</v>
      </c>
      <c r="C2812" s="5" t="s">
        <v>78</v>
      </c>
      <c r="D2812" s="5" t="s">
        <v>79</v>
      </c>
      <c r="E2812" s="5" t="s">
        <v>80</v>
      </c>
      <c r="F2812" s="5">
        <v>24366</v>
      </c>
      <c r="G2812" s="5" t="s">
        <v>8521</v>
      </c>
      <c r="H2812" s="5" t="s">
        <v>8522</v>
      </c>
      <c r="I2812" s="5" t="s">
        <v>212</v>
      </c>
      <c r="N2812" s="5" t="s">
        <v>8523</v>
      </c>
      <c r="O2812" s="5">
        <v>227.5</v>
      </c>
      <c r="P2812" s="5">
        <v>229.17</v>
      </c>
      <c r="Q2812" s="5">
        <v>226.91</v>
      </c>
      <c r="R2812" s="5">
        <v>227.94</v>
      </c>
      <c r="S2812" s="5">
        <v>227.37</v>
      </c>
      <c r="T2812" s="5">
        <v>226.79</v>
      </c>
      <c r="V2812" s="5">
        <v>227.94</v>
      </c>
      <c r="Y2812" s="5">
        <v>1523756</v>
      </c>
      <c r="Z2812" s="5">
        <v>346974360.49000001</v>
      </c>
      <c r="AA2812" s="5">
        <v>5790</v>
      </c>
      <c r="AB2812" s="5" t="s">
        <v>85</v>
      </c>
      <c r="AC2812" s="5">
        <v>1</v>
      </c>
    </row>
    <row r="2813" spans="1:29" x14ac:dyDescent="0.3">
      <c r="A2813" s="34">
        <v>46274</v>
      </c>
      <c r="B2813" s="34">
        <v>46274</v>
      </c>
      <c r="C2813" s="5" t="s">
        <v>78</v>
      </c>
      <c r="D2813" s="5" t="s">
        <v>79</v>
      </c>
      <c r="E2813" s="5" t="s">
        <v>80</v>
      </c>
      <c r="F2813" s="5">
        <v>763543</v>
      </c>
      <c r="G2813" s="5" t="s">
        <v>8524</v>
      </c>
      <c r="H2813" s="5" t="s">
        <v>8525</v>
      </c>
      <c r="I2813" s="5" t="s">
        <v>212</v>
      </c>
      <c r="N2813" s="5" t="s">
        <v>8526</v>
      </c>
      <c r="O2813" s="5">
        <v>18.41</v>
      </c>
      <c r="P2813" s="5">
        <v>18.78</v>
      </c>
      <c r="Q2813" s="5">
        <v>18.260000000000002</v>
      </c>
      <c r="R2813" s="5">
        <v>18.48</v>
      </c>
      <c r="S2813" s="5">
        <v>18.5</v>
      </c>
      <c r="T2813" s="5">
        <v>18.57</v>
      </c>
      <c r="V2813" s="5">
        <v>18.48</v>
      </c>
      <c r="Y2813" s="5">
        <v>32248</v>
      </c>
      <c r="Z2813" s="5">
        <v>597069.14</v>
      </c>
      <c r="AA2813" s="5">
        <v>237</v>
      </c>
      <c r="AB2813" s="5" t="s">
        <v>85</v>
      </c>
      <c r="AC2813" s="5">
        <v>1</v>
      </c>
    </row>
    <row r="2814" spans="1:29" x14ac:dyDescent="0.3">
      <c r="A2814" s="34">
        <v>46274</v>
      </c>
      <c r="B2814" s="34">
        <v>46274</v>
      </c>
      <c r="C2814" s="5" t="s">
        <v>78</v>
      </c>
      <c r="D2814" s="5" t="s">
        <v>79</v>
      </c>
      <c r="E2814" s="5" t="s">
        <v>80</v>
      </c>
      <c r="F2814" s="5">
        <v>763546</v>
      </c>
      <c r="G2814" s="5" t="s">
        <v>8527</v>
      </c>
      <c r="H2814" s="5" t="s">
        <v>8528</v>
      </c>
      <c r="I2814" s="5" t="s">
        <v>212</v>
      </c>
      <c r="N2814" s="5" t="s">
        <v>8529</v>
      </c>
      <c r="O2814" s="5">
        <v>14.57</v>
      </c>
      <c r="P2814" s="5">
        <v>14.68</v>
      </c>
      <c r="Q2814" s="5">
        <v>14.57</v>
      </c>
      <c r="R2814" s="5">
        <v>14.62</v>
      </c>
      <c r="S2814" s="5">
        <v>14.62</v>
      </c>
      <c r="T2814" s="5">
        <v>14.57</v>
      </c>
      <c r="V2814" s="5">
        <v>14.65</v>
      </c>
      <c r="Y2814" s="5">
        <v>10839</v>
      </c>
      <c r="Z2814" s="5">
        <v>158494.26</v>
      </c>
      <c r="AA2814" s="5">
        <v>35</v>
      </c>
      <c r="AB2814" s="5" t="s">
        <v>85</v>
      </c>
      <c r="AC2814" s="5">
        <v>1</v>
      </c>
    </row>
    <row r="2815" spans="1:29" x14ac:dyDescent="0.3">
      <c r="A2815" s="34">
        <v>46274</v>
      </c>
      <c r="B2815" s="34">
        <v>46274</v>
      </c>
      <c r="C2815" s="5" t="s">
        <v>78</v>
      </c>
      <c r="D2815" s="5" t="s">
        <v>79</v>
      </c>
      <c r="E2815" s="5" t="s">
        <v>80</v>
      </c>
      <c r="F2815" s="5">
        <v>17395</v>
      </c>
      <c r="G2815" s="5" t="s">
        <v>8530</v>
      </c>
      <c r="H2815" s="5" t="s">
        <v>8531</v>
      </c>
      <c r="I2815" s="5" t="s">
        <v>212</v>
      </c>
      <c r="N2815" s="5" t="s">
        <v>8532</v>
      </c>
      <c r="O2815" s="5">
        <v>264.01</v>
      </c>
      <c r="P2815" s="5">
        <v>265.29000000000002</v>
      </c>
      <c r="Q2815" s="5">
        <v>263.52</v>
      </c>
      <c r="R2815" s="5">
        <v>264.18</v>
      </c>
      <c r="S2815" s="5">
        <v>265.25</v>
      </c>
      <c r="T2815" s="5">
        <v>265.02</v>
      </c>
      <c r="V2815" s="5">
        <v>264.18</v>
      </c>
      <c r="Y2815" s="5">
        <v>6790</v>
      </c>
      <c r="Z2815" s="5">
        <v>1799394.88</v>
      </c>
      <c r="AA2815" s="5">
        <v>44</v>
      </c>
      <c r="AB2815" s="5" t="s">
        <v>85</v>
      </c>
      <c r="AC2815" s="5">
        <v>1</v>
      </c>
    </row>
    <row r="2816" spans="1:29" x14ac:dyDescent="0.3">
      <c r="A2816" s="34">
        <v>46274</v>
      </c>
      <c r="B2816" s="34">
        <v>46274</v>
      </c>
      <c r="C2816" s="5" t="s">
        <v>78</v>
      </c>
      <c r="D2816" s="5" t="s">
        <v>79</v>
      </c>
      <c r="E2816" s="5" t="s">
        <v>80</v>
      </c>
      <c r="F2816" s="5">
        <v>762887</v>
      </c>
      <c r="G2816" s="5" t="s">
        <v>8533</v>
      </c>
      <c r="H2816" s="5" t="s">
        <v>8534</v>
      </c>
      <c r="I2816" s="5" t="s">
        <v>234</v>
      </c>
      <c r="N2816" s="5" t="s">
        <v>8535</v>
      </c>
      <c r="O2816" s="5">
        <v>58.39</v>
      </c>
      <c r="P2816" s="5">
        <v>58.97</v>
      </c>
      <c r="Q2816" s="5">
        <v>56</v>
      </c>
      <c r="R2816" s="5">
        <v>56.32</v>
      </c>
      <c r="S2816" s="5">
        <v>56.5</v>
      </c>
      <c r="T2816" s="5">
        <v>58.41</v>
      </c>
      <c r="V2816" s="5">
        <v>56.65</v>
      </c>
      <c r="Y2816" s="5">
        <v>46663</v>
      </c>
      <c r="Z2816" s="5">
        <v>2644421.39</v>
      </c>
      <c r="AA2816" s="5">
        <v>134</v>
      </c>
      <c r="AB2816" s="5" t="s">
        <v>85</v>
      </c>
      <c r="AC2816" s="5">
        <v>1</v>
      </c>
    </row>
    <row r="2817" spans="1:29" x14ac:dyDescent="0.3">
      <c r="A2817" s="34">
        <v>46274</v>
      </c>
      <c r="B2817" s="34">
        <v>46274</v>
      </c>
      <c r="C2817" s="5" t="s">
        <v>78</v>
      </c>
      <c r="D2817" s="5" t="s">
        <v>79</v>
      </c>
      <c r="E2817" s="5" t="s">
        <v>80</v>
      </c>
      <c r="F2817" s="5">
        <v>1011</v>
      </c>
      <c r="G2817" s="5" t="s">
        <v>8536</v>
      </c>
      <c r="H2817" s="5" t="s">
        <v>8537</v>
      </c>
      <c r="I2817" s="5" t="s">
        <v>212</v>
      </c>
      <c r="N2817" s="5" t="s">
        <v>8538</v>
      </c>
      <c r="O2817" s="5">
        <v>3954</v>
      </c>
      <c r="P2817" s="5">
        <v>3979.7</v>
      </c>
      <c r="Q2817" s="5">
        <v>3912</v>
      </c>
      <c r="R2817" s="5">
        <v>3933.8</v>
      </c>
      <c r="S2817" s="5">
        <v>3939</v>
      </c>
      <c r="T2817" s="5">
        <v>3954.6</v>
      </c>
      <c r="V2817" s="5">
        <v>3933.83</v>
      </c>
      <c r="Y2817" s="5">
        <v>76961</v>
      </c>
      <c r="Z2817" s="5">
        <v>302369908.10000002</v>
      </c>
      <c r="AA2817" s="5">
        <v>16102</v>
      </c>
      <c r="AB2817" s="5" t="s">
        <v>85</v>
      </c>
      <c r="AC2817" s="5">
        <v>1</v>
      </c>
    </row>
    <row r="2818" spans="1:29" x14ac:dyDescent="0.3">
      <c r="A2818" s="34">
        <v>46274</v>
      </c>
      <c r="B2818" s="34">
        <v>46274</v>
      </c>
      <c r="C2818" s="5" t="s">
        <v>78</v>
      </c>
      <c r="D2818" s="5" t="s">
        <v>79</v>
      </c>
      <c r="E2818" s="5" t="s">
        <v>80</v>
      </c>
      <c r="F2818" s="5">
        <v>31234</v>
      </c>
      <c r="G2818" s="5" t="s">
        <v>8539</v>
      </c>
      <c r="H2818" s="5" t="s">
        <v>8540</v>
      </c>
      <c r="I2818" s="5" t="s">
        <v>212</v>
      </c>
      <c r="N2818" s="5" t="s">
        <v>8541</v>
      </c>
      <c r="O2818" s="5">
        <v>1229.7</v>
      </c>
      <c r="P2818" s="5">
        <v>1235</v>
      </c>
      <c r="Q2818" s="5">
        <v>1186</v>
      </c>
      <c r="R2818" s="5">
        <v>1193.8</v>
      </c>
      <c r="S2818" s="5">
        <v>1190</v>
      </c>
      <c r="T2818" s="5">
        <v>1229.7</v>
      </c>
      <c r="V2818" s="5">
        <v>1193.93</v>
      </c>
      <c r="Y2818" s="5">
        <v>184315</v>
      </c>
      <c r="Z2818" s="5">
        <v>221468980.80000001</v>
      </c>
      <c r="AA2818" s="5">
        <v>13305</v>
      </c>
      <c r="AB2818" s="5" t="s">
        <v>85</v>
      </c>
      <c r="AC2818" s="5">
        <v>1</v>
      </c>
    </row>
    <row r="2819" spans="1:29" x14ac:dyDescent="0.3">
      <c r="A2819" s="34">
        <v>46274</v>
      </c>
      <c r="B2819" s="34">
        <v>46274</v>
      </c>
      <c r="C2819" s="5" t="s">
        <v>78</v>
      </c>
      <c r="D2819" s="5" t="s">
        <v>79</v>
      </c>
      <c r="E2819" s="5" t="s">
        <v>80</v>
      </c>
      <c r="F2819" s="5">
        <v>30204</v>
      </c>
      <c r="G2819" s="5" t="s">
        <v>8542</v>
      </c>
      <c r="H2819" s="5" t="s">
        <v>8543</v>
      </c>
      <c r="I2819" s="5" t="s">
        <v>2833</v>
      </c>
      <c r="N2819" s="5" t="s">
        <v>8544</v>
      </c>
      <c r="O2819" s="5">
        <v>1011</v>
      </c>
      <c r="P2819" s="5">
        <v>1011</v>
      </c>
      <c r="Q2819" s="5">
        <v>1011</v>
      </c>
      <c r="R2819" s="5">
        <v>1011</v>
      </c>
      <c r="S2819" s="5">
        <v>1011</v>
      </c>
      <c r="T2819" s="5">
        <v>1020</v>
      </c>
      <c r="V2819" s="5">
        <v>1011</v>
      </c>
      <c r="Y2819" s="5">
        <v>41</v>
      </c>
      <c r="Z2819" s="5">
        <v>41451</v>
      </c>
      <c r="AA2819" s="5">
        <v>1</v>
      </c>
      <c r="AB2819" s="5" t="s">
        <v>85</v>
      </c>
      <c r="AC2819" s="5">
        <v>1</v>
      </c>
    </row>
    <row r="2820" spans="1:29" x14ac:dyDescent="0.3">
      <c r="A2820" s="34">
        <v>46274</v>
      </c>
      <c r="B2820" s="34">
        <v>46274</v>
      </c>
      <c r="C2820" s="5" t="s">
        <v>78</v>
      </c>
      <c r="D2820" s="5" t="s">
        <v>79</v>
      </c>
      <c r="E2820" s="5" t="s">
        <v>80</v>
      </c>
      <c r="F2820" s="5">
        <v>757458</v>
      </c>
      <c r="G2820" s="5" t="s">
        <v>8545</v>
      </c>
      <c r="H2820" s="5" t="s">
        <v>8546</v>
      </c>
      <c r="I2820" s="5" t="s">
        <v>258</v>
      </c>
      <c r="N2820" s="5" t="s">
        <v>8547</v>
      </c>
      <c r="O2820" s="5">
        <v>1000</v>
      </c>
      <c r="P2820" s="5">
        <v>1002</v>
      </c>
      <c r="Q2820" s="5">
        <v>1000</v>
      </c>
      <c r="R2820" s="5">
        <v>1001</v>
      </c>
      <c r="S2820" s="5">
        <v>1002</v>
      </c>
      <c r="T2820" s="5">
        <v>1002</v>
      </c>
      <c r="V2820" s="5">
        <v>1001</v>
      </c>
      <c r="Y2820" s="5">
        <v>20</v>
      </c>
      <c r="Z2820" s="5">
        <v>20020</v>
      </c>
      <c r="AA2820" s="5">
        <v>2</v>
      </c>
      <c r="AB2820" s="5" t="s">
        <v>85</v>
      </c>
      <c r="AC2820" s="5">
        <v>1</v>
      </c>
    </row>
    <row r="2821" spans="1:29" x14ac:dyDescent="0.3">
      <c r="A2821" s="34">
        <v>46274</v>
      </c>
      <c r="B2821" s="34">
        <v>46274</v>
      </c>
      <c r="C2821" s="5" t="s">
        <v>78</v>
      </c>
      <c r="D2821" s="5" t="s">
        <v>79</v>
      </c>
      <c r="E2821" s="5" t="s">
        <v>80</v>
      </c>
      <c r="F2821" s="5">
        <v>757464</v>
      </c>
      <c r="G2821" s="5" t="s">
        <v>8548</v>
      </c>
      <c r="H2821" s="5" t="s">
        <v>8549</v>
      </c>
      <c r="I2821" s="5" t="s">
        <v>262</v>
      </c>
      <c r="N2821" s="5" t="s">
        <v>8550</v>
      </c>
      <c r="O2821" s="5">
        <v>1000</v>
      </c>
      <c r="P2821" s="5">
        <v>1000</v>
      </c>
      <c r="Q2821" s="5">
        <v>1000</v>
      </c>
      <c r="R2821" s="5">
        <v>1000</v>
      </c>
      <c r="S2821" s="5">
        <v>1000</v>
      </c>
      <c r="T2821" s="5">
        <v>999.21</v>
      </c>
      <c r="V2821" s="5">
        <v>1000</v>
      </c>
      <c r="Y2821" s="5">
        <v>100</v>
      </c>
      <c r="Z2821" s="5">
        <v>100000</v>
      </c>
      <c r="AA2821" s="5">
        <v>1</v>
      </c>
      <c r="AB2821" s="5" t="s">
        <v>85</v>
      </c>
      <c r="AC2821" s="5">
        <v>1</v>
      </c>
    </row>
    <row r="2822" spans="1:29" x14ac:dyDescent="0.3">
      <c r="A2822" s="34">
        <v>46274</v>
      </c>
      <c r="B2822" s="34">
        <v>46274</v>
      </c>
      <c r="C2822" s="5" t="s">
        <v>78</v>
      </c>
      <c r="D2822" s="5" t="s">
        <v>79</v>
      </c>
      <c r="E2822" s="5" t="s">
        <v>80</v>
      </c>
      <c r="F2822" s="5">
        <v>757610</v>
      </c>
      <c r="G2822" s="5" t="s">
        <v>8551</v>
      </c>
      <c r="H2822" s="5" t="s">
        <v>8552</v>
      </c>
      <c r="I2822" s="5" t="s">
        <v>580</v>
      </c>
      <c r="N2822" s="5" t="s">
        <v>8553</v>
      </c>
      <c r="O2822" s="5">
        <v>99400</v>
      </c>
      <c r="P2822" s="5">
        <v>99400</v>
      </c>
      <c r="Q2822" s="5">
        <v>99400</v>
      </c>
      <c r="R2822" s="5">
        <v>99400</v>
      </c>
      <c r="S2822" s="5">
        <v>99400</v>
      </c>
      <c r="T2822" s="5">
        <v>99500</v>
      </c>
      <c r="V2822" s="5">
        <v>99400</v>
      </c>
      <c r="Y2822" s="5">
        <v>1</v>
      </c>
      <c r="Z2822" s="5">
        <v>99400</v>
      </c>
      <c r="AA2822" s="5">
        <v>1</v>
      </c>
      <c r="AB2822" s="5" t="s">
        <v>85</v>
      </c>
      <c r="AC2822" s="5">
        <v>1</v>
      </c>
    </row>
    <row r="2823" spans="1:29" ht="15" customHeight="1" x14ac:dyDescent="0.3">
      <c r="A2823" s="34">
        <v>46274</v>
      </c>
      <c r="B2823" s="34">
        <v>46274</v>
      </c>
      <c r="C2823" s="5" t="s">
        <v>78</v>
      </c>
      <c r="D2823" s="5" t="s">
        <v>79</v>
      </c>
      <c r="E2823" s="5" t="s">
        <v>80</v>
      </c>
      <c r="F2823" s="5">
        <v>757478</v>
      </c>
      <c r="G2823" s="5" t="s">
        <v>8554</v>
      </c>
      <c r="H2823" s="5" t="s">
        <v>8555</v>
      </c>
      <c r="I2823" s="5" t="s">
        <v>212</v>
      </c>
      <c r="N2823" s="5" t="s">
        <v>8556</v>
      </c>
      <c r="O2823" s="5">
        <v>130</v>
      </c>
      <c r="P2823" s="5">
        <v>132.9</v>
      </c>
      <c r="Q2823" s="5">
        <v>129.01</v>
      </c>
      <c r="R2823" s="5">
        <v>130.99</v>
      </c>
      <c r="S2823" s="5">
        <v>131</v>
      </c>
      <c r="T2823" s="5">
        <v>129.85</v>
      </c>
      <c r="V2823" s="5">
        <v>130.99</v>
      </c>
      <c r="Y2823" s="5">
        <v>228232</v>
      </c>
      <c r="Z2823" s="5">
        <v>29817638.440000001</v>
      </c>
      <c r="AA2823" s="5">
        <v>2447</v>
      </c>
      <c r="AB2823" s="5" t="s">
        <v>85</v>
      </c>
      <c r="AC2823" s="5">
        <v>1</v>
      </c>
    </row>
    <row r="2824" spans="1:29" x14ac:dyDescent="0.3">
      <c r="A2824" s="34">
        <v>46274</v>
      </c>
      <c r="B2824" s="34">
        <v>46274</v>
      </c>
      <c r="C2824" s="5" t="s">
        <v>78</v>
      </c>
      <c r="D2824" s="5" t="s">
        <v>79</v>
      </c>
      <c r="E2824" s="5" t="s">
        <v>80</v>
      </c>
      <c r="F2824" s="5">
        <v>10963</v>
      </c>
      <c r="G2824" s="5" t="s">
        <v>8557</v>
      </c>
      <c r="H2824" s="5" t="s">
        <v>8558</v>
      </c>
      <c r="I2824" s="5" t="s">
        <v>8559</v>
      </c>
      <c r="N2824" s="5" t="s">
        <v>8560</v>
      </c>
      <c r="O2824" s="5">
        <v>98</v>
      </c>
      <c r="P2824" s="5">
        <v>98</v>
      </c>
      <c r="Q2824" s="5">
        <v>98</v>
      </c>
      <c r="R2824" s="5">
        <v>98</v>
      </c>
      <c r="S2824" s="5">
        <v>98</v>
      </c>
      <c r="T2824" s="5">
        <v>98</v>
      </c>
      <c r="V2824" s="5">
        <v>98</v>
      </c>
      <c r="Y2824" s="5">
        <v>100</v>
      </c>
      <c r="Z2824" s="5">
        <v>9800</v>
      </c>
      <c r="AA2824" s="5">
        <v>1</v>
      </c>
      <c r="AB2824" s="5" t="s">
        <v>85</v>
      </c>
      <c r="AC2824" s="5">
        <v>100</v>
      </c>
    </row>
    <row r="2825" spans="1:29" x14ac:dyDescent="0.3">
      <c r="A2825" s="34">
        <v>46274</v>
      </c>
      <c r="B2825" s="34">
        <v>46274</v>
      </c>
      <c r="C2825" s="5" t="s">
        <v>78</v>
      </c>
      <c r="D2825" s="5" t="s">
        <v>79</v>
      </c>
      <c r="E2825" s="5" t="s">
        <v>80</v>
      </c>
      <c r="F2825" s="5">
        <v>21494</v>
      </c>
      <c r="G2825" s="5" t="s">
        <v>8561</v>
      </c>
      <c r="H2825" s="5" t="s">
        <v>8562</v>
      </c>
      <c r="I2825" s="5" t="s">
        <v>8559</v>
      </c>
      <c r="N2825" s="5" t="s">
        <v>8563</v>
      </c>
      <c r="O2825" s="5">
        <v>100</v>
      </c>
      <c r="P2825" s="5">
        <v>100</v>
      </c>
      <c r="Q2825" s="5">
        <v>100</v>
      </c>
      <c r="R2825" s="5">
        <v>100</v>
      </c>
      <c r="S2825" s="5">
        <v>100</v>
      </c>
      <c r="T2825" s="5">
        <v>96.48</v>
      </c>
      <c r="V2825" s="5">
        <v>100</v>
      </c>
      <c r="Y2825" s="5">
        <v>100</v>
      </c>
      <c r="Z2825" s="5">
        <v>10000</v>
      </c>
      <c r="AA2825" s="5">
        <v>1</v>
      </c>
      <c r="AB2825" s="5" t="s">
        <v>85</v>
      </c>
      <c r="AC2825" s="5">
        <v>100</v>
      </c>
    </row>
    <row r="2826" spans="1:29" x14ac:dyDescent="0.3">
      <c r="A2826" s="34">
        <v>46274</v>
      </c>
      <c r="B2826" s="34">
        <v>46274</v>
      </c>
      <c r="C2826" s="5" t="s">
        <v>78</v>
      </c>
      <c r="D2826" s="5" t="s">
        <v>79</v>
      </c>
      <c r="E2826" s="5" t="s">
        <v>80</v>
      </c>
      <c r="F2826" s="5">
        <v>21167</v>
      </c>
      <c r="G2826" s="5" t="s">
        <v>8564</v>
      </c>
      <c r="H2826" s="5" t="s">
        <v>8565</v>
      </c>
      <c r="I2826" s="5" t="s">
        <v>8559</v>
      </c>
      <c r="N2826" s="5" t="s">
        <v>8566</v>
      </c>
      <c r="O2826" s="5">
        <v>93.1</v>
      </c>
      <c r="P2826" s="5">
        <v>93.1</v>
      </c>
      <c r="Q2826" s="5">
        <v>93.1</v>
      </c>
      <c r="R2826" s="5">
        <v>93.1</v>
      </c>
      <c r="S2826" s="5">
        <v>93.1</v>
      </c>
      <c r="T2826" s="5">
        <v>98</v>
      </c>
      <c r="V2826" s="5">
        <v>93.1</v>
      </c>
      <c r="Y2826" s="5">
        <v>100</v>
      </c>
      <c r="Z2826" s="5">
        <v>9310</v>
      </c>
      <c r="AA2826" s="5">
        <v>1</v>
      </c>
      <c r="AB2826" s="5" t="s">
        <v>85</v>
      </c>
      <c r="AC2826" s="5">
        <v>100</v>
      </c>
    </row>
    <row r="2827" spans="1:29" x14ac:dyDescent="0.3">
      <c r="A2827" s="34">
        <v>46274</v>
      </c>
      <c r="B2827" s="34">
        <v>46274</v>
      </c>
      <c r="C2827" s="5" t="s">
        <v>78</v>
      </c>
      <c r="D2827" s="5" t="s">
        <v>79</v>
      </c>
      <c r="E2827" s="5" t="s">
        <v>80</v>
      </c>
      <c r="F2827" s="5">
        <v>19746</v>
      </c>
      <c r="G2827" s="5" t="s">
        <v>8567</v>
      </c>
      <c r="H2827" s="5" t="s">
        <v>8568</v>
      </c>
      <c r="I2827" s="5" t="s">
        <v>8559</v>
      </c>
      <c r="N2827" s="5" t="s">
        <v>8569</v>
      </c>
      <c r="O2827" s="5">
        <v>97.85</v>
      </c>
      <c r="P2827" s="5">
        <v>97.85</v>
      </c>
      <c r="Q2827" s="5">
        <v>97.85</v>
      </c>
      <c r="R2827" s="5">
        <v>97.85</v>
      </c>
      <c r="S2827" s="5">
        <v>97.85</v>
      </c>
      <c r="T2827" s="5">
        <v>100</v>
      </c>
      <c r="V2827" s="5">
        <v>97.85</v>
      </c>
      <c r="Y2827" s="5">
        <v>100</v>
      </c>
      <c r="Z2827" s="5">
        <v>9785</v>
      </c>
      <c r="AA2827" s="5">
        <v>1</v>
      </c>
      <c r="AB2827" s="5" t="s">
        <v>85</v>
      </c>
      <c r="AC2827" s="5">
        <v>100</v>
      </c>
    </row>
    <row r="2828" spans="1:29" x14ac:dyDescent="0.3">
      <c r="A2828" s="34">
        <v>46274</v>
      </c>
      <c r="B2828" s="34">
        <v>46274</v>
      </c>
      <c r="C2828" s="5" t="s">
        <v>78</v>
      </c>
      <c r="D2828" s="5" t="s">
        <v>79</v>
      </c>
      <c r="E2828" s="5" t="s">
        <v>80</v>
      </c>
      <c r="F2828" s="5">
        <v>21133</v>
      </c>
      <c r="G2828" s="5" t="s">
        <v>8570</v>
      </c>
      <c r="H2828" s="5" t="s">
        <v>8571</v>
      </c>
      <c r="I2828" s="5" t="s">
        <v>8559</v>
      </c>
      <c r="N2828" s="5" t="s">
        <v>8572</v>
      </c>
      <c r="O2828" s="5">
        <v>100.06</v>
      </c>
      <c r="P2828" s="5">
        <v>101</v>
      </c>
      <c r="Q2828" s="5">
        <v>100.06</v>
      </c>
      <c r="R2828" s="5">
        <v>101</v>
      </c>
      <c r="S2828" s="5">
        <v>101</v>
      </c>
      <c r="T2828" s="5">
        <v>100.05</v>
      </c>
      <c r="V2828" s="5">
        <v>101</v>
      </c>
      <c r="Y2828" s="5">
        <v>200</v>
      </c>
      <c r="Z2828" s="5">
        <v>20106</v>
      </c>
      <c r="AA2828" s="5">
        <v>2</v>
      </c>
      <c r="AB2828" s="5" t="s">
        <v>85</v>
      </c>
      <c r="AC2828" s="5">
        <v>100</v>
      </c>
    </row>
    <row r="2829" spans="1:29" x14ac:dyDescent="0.3">
      <c r="A2829" s="34">
        <v>46274</v>
      </c>
      <c r="B2829" s="34">
        <v>46274</v>
      </c>
      <c r="C2829" s="5" t="s">
        <v>78</v>
      </c>
      <c r="D2829" s="5" t="s">
        <v>79</v>
      </c>
      <c r="E2829" s="5" t="s">
        <v>80</v>
      </c>
      <c r="F2829" s="5">
        <v>755742</v>
      </c>
      <c r="G2829" s="5" t="s">
        <v>8573</v>
      </c>
      <c r="H2829" s="5" t="s">
        <v>8574</v>
      </c>
      <c r="I2829" s="5" t="s">
        <v>8559</v>
      </c>
      <c r="N2829" s="5" t="s">
        <v>8575</v>
      </c>
      <c r="O2829" s="5">
        <v>99</v>
      </c>
      <c r="P2829" s="5">
        <v>99</v>
      </c>
      <c r="Q2829" s="5">
        <v>99</v>
      </c>
      <c r="R2829" s="5">
        <v>99</v>
      </c>
      <c r="S2829" s="5">
        <v>99</v>
      </c>
      <c r="T2829" s="5">
        <v>97.2</v>
      </c>
      <c r="V2829" s="5">
        <v>99</v>
      </c>
      <c r="Y2829" s="5">
        <v>200</v>
      </c>
      <c r="Z2829" s="5">
        <v>19800</v>
      </c>
      <c r="AA2829" s="5">
        <v>1</v>
      </c>
      <c r="AB2829" s="5" t="s">
        <v>85</v>
      </c>
      <c r="AC2829" s="5">
        <v>100</v>
      </c>
    </row>
    <row r="2830" spans="1:29" x14ac:dyDescent="0.3">
      <c r="A2830" s="34">
        <v>46274</v>
      </c>
      <c r="B2830" s="34">
        <v>46274</v>
      </c>
      <c r="C2830" s="5" t="s">
        <v>78</v>
      </c>
      <c r="D2830" s="5" t="s">
        <v>79</v>
      </c>
      <c r="E2830" s="5" t="s">
        <v>80</v>
      </c>
      <c r="F2830" s="5">
        <v>11507</v>
      </c>
      <c r="G2830" s="5" t="s">
        <v>8576</v>
      </c>
      <c r="H2830" s="5" t="s">
        <v>8577</v>
      </c>
      <c r="I2830" s="5" t="s">
        <v>8559</v>
      </c>
      <c r="N2830" s="5" t="s">
        <v>8578</v>
      </c>
      <c r="O2830" s="5">
        <v>102.61</v>
      </c>
      <c r="P2830" s="5">
        <v>102.61</v>
      </c>
      <c r="Q2830" s="5">
        <v>102.61</v>
      </c>
      <c r="R2830" s="5">
        <v>102.61</v>
      </c>
      <c r="S2830" s="5">
        <v>102.61</v>
      </c>
      <c r="T2830" s="5">
        <v>100</v>
      </c>
      <c r="V2830" s="5">
        <v>102.61</v>
      </c>
      <c r="Y2830" s="5">
        <v>600</v>
      </c>
      <c r="Z2830" s="5">
        <v>61566</v>
      </c>
      <c r="AA2830" s="5">
        <v>1</v>
      </c>
      <c r="AB2830" s="5" t="s">
        <v>85</v>
      </c>
      <c r="AC2830" s="5">
        <v>100</v>
      </c>
    </row>
    <row r="2831" spans="1:29" x14ac:dyDescent="0.3">
      <c r="A2831" s="34">
        <v>46274</v>
      </c>
      <c r="B2831" s="34">
        <v>46274</v>
      </c>
      <c r="C2831" s="5" t="s">
        <v>78</v>
      </c>
      <c r="D2831" s="5" t="s">
        <v>79</v>
      </c>
      <c r="E2831" s="5" t="s">
        <v>80</v>
      </c>
      <c r="F2831" s="5">
        <v>25470</v>
      </c>
      <c r="G2831" s="5" t="s">
        <v>8579</v>
      </c>
      <c r="H2831" s="5" t="s">
        <v>8580</v>
      </c>
      <c r="I2831" s="5" t="s">
        <v>8559</v>
      </c>
      <c r="N2831" s="5" t="s">
        <v>8581</v>
      </c>
      <c r="O2831" s="5">
        <v>99</v>
      </c>
      <c r="P2831" s="5">
        <v>99</v>
      </c>
      <c r="Q2831" s="5">
        <v>99</v>
      </c>
      <c r="R2831" s="5">
        <v>99</v>
      </c>
      <c r="S2831" s="5">
        <v>99</v>
      </c>
      <c r="T2831" s="5">
        <v>100</v>
      </c>
      <c r="V2831" s="5">
        <v>99</v>
      </c>
      <c r="Y2831" s="5">
        <v>100</v>
      </c>
      <c r="Z2831" s="5">
        <v>9900</v>
      </c>
      <c r="AA2831" s="5">
        <v>1</v>
      </c>
      <c r="AB2831" s="5" t="s">
        <v>85</v>
      </c>
      <c r="AC2831" s="5">
        <v>100</v>
      </c>
    </row>
    <row r="2832" spans="1:29" x14ac:dyDescent="0.3">
      <c r="A2832" s="34">
        <v>46274</v>
      </c>
      <c r="B2832" s="34">
        <v>46274</v>
      </c>
      <c r="C2832" s="5" t="s">
        <v>78</v>
      </c>
      <c r="D2832" s="5" t="s">
        <v>79</v>
      </c>
      <c r="E2832" s="5" t="s">
        <v>80</v>
      </c>
      <c r="F2832" s="5">
        <v>15973</v>
      </c>
      <c r="G2832" s="5" t="s">
        <v>8582</v>
      </c>
      <c r="H2832" s="5" t="s">
        <v>8583</v>
      </c>
      <c r="I2832" s="5" t="s">
        <v>8559</v>
      </c>
      <c r="N2832" s="5" t="s">
        <v>8584</v>
      </c>
      <c r="O2832" s="5">
        <v>100</v>
      </c>
      <c r="P2832" s="5">
        <v>100</v>
      </c>
      <c r="Q2832" s="5">
        <v>100</v>
      </c>
      <c r="R2832" s="5">
        <v>100</v>
      </c>
      <c r="S2832" s="5">
        <v>100</v>
      </c>
      <c r="T2832" s="5">
        <v>99</v>
      </c>
      <c r="V2832" s="5">
        <v>100</v>
      </c>
      <c r="Y2832" s="5">
        <v>100</v>
      </c>
      <c r="Z2832" s="5">
        <v>10000</v>
      </c>
      <c r="AA2832" s="5">
        <v>1</v>
      </c>
      <c r="AB2832" s="5" t="s">
        <v>85</v>
      </c>
      <c r="AC2832" s="5">
        <v>100</v>
      </c>
    </row>
    <row r="2833" spans="1:29" x14ac:dyDescent="0.3">
      <c r="A2833" s="34">
        <v>46274</v>
      </c>
      <c r="B2833" s="34">
        <v>46274</v>
      </c>
      <c r="C2833" s="5" t="s">
        <v>78</v>
      </c>
      <c r="D2833" s="5" t="s">
        <v>79</v>
      </c>
      <c r="E2833" s="5" t="s">
        <v>80</v>
      </c>
      <c r="F2833" s="5">
        <v>13913</v>
      </c>
      <c r="G2833" s="5" t="s">
        <v>8585</v>
      </c>
      <c r="H2833" s="5" t="s">
        <v>8586</v>
      </c>
      <c r="I2833" s="5" t="s">
        <v>8559</v>
      </c>
      <c r="N2833" s="5" t="s">
        <v>8587</v>
      </c>
      <c r="O2833" s="5">
        <v>96.04</v>
      </c>
      <c r="P2833" s="5">
        <v>96.04</v>
      </c>
      <c r="Q2833" s="5">
        <v>96.04</v>
      </c>
      <c r="R2833" s="5">
        <v>96.04</v>
      </c>
      <c r="S2833" s="5">
        <v>96.04</v>
      </c>
      <c r="T2833" s="5">
        <v>95</v>
      </c>
      <c r="V2833" s="5">
        <v>96.04</v>
      </c>
      <c r="Y2833" s="5">
        <v>100</v>
      </c>
      <c r="Z2833" s="5">
        <v>9604</v>
      </c>
      <c r="AA2833" s="5">
        <v>1</v>
      </c>
      <c r="AB2833" s="5" t="s">
        <v>85</v>
      </c>
      <c r="AC2833" s="5">
        <v>100</v>
      </c>
    </row>
    <row r="2834" spans="1:29" x14ac:dyDescent="0.3">
      <c r="A2834" s="34">
        <v>46274</v>
      </c>
      <c r="B2834" s="34">
        <v>46274</v>
      </c>
      <c r="C2834" s="5" t="s">
        <v>78</v>
      </c>
      <c r="D2834" s="5" t="s">
        <v>79</v>
      </c>
      <c r="E2834" s="5" t="s">
        <v>80</v>
      </c>
      <c r="F2834" s="5">
        <v>760774</v>
      </c>
      <c r="G2834" s="5" t="s">
        <v>8588</v>
      </c>
      <c r="H2834" s="5" t="s">
        <v>8589</v>
      </c>
      <c r="I2834" s="5" t="s">
        <v>8559</v>
      </c>
      <c r="N2834" s="5" t="s">
        <v>8590</v>
      </c>
      <c r="O2834" s="5">
        <v>96.64</v>
      </c>
      <c r="P2834" s="5">
        <v>96.64</v>
      </c>
      <c r="Q2834" s="5">
        <v>96.64</v>
      </c>
      <c r="R2834" s="5">
        <v>96.64</v>
      </c>
      <c r="S2834" s="5">
        <v>96.64</v>
      </c>
      <c r="T2834" s="5">
        <v>97</v>
      </c>
      <c r="V2834" s="5">
        <v>96.64</v>
      </c>
      <c r="Y2834" s="5">
        <v>100</v>
      </c>
      <c r="Z2834" s="5">
        <v>9664</v>
      </c>
      <c r="AA2834" s="5">
        <v>1</v>
      </c>
      <c r="AB2834" s="5" t="s">
        <v>85</v>
      </c>
      <c r="AC2834" s="5">
        <v>100</v>
      </c>
    </row>
    <row r="2835" spans="1:29" x14ac:dyDescent="0.3">
      <c r="A2835" s="34">
        <v>46274</v>
      </c>
      <c r="B2835" s="34">
        <v>46274</v>
      </c>
      <c r="C2835" s="5" t="s">
        <v>78</v>
      </c>
      <c r="D2835" s="5" t="s">
        <v>79</v>
      </c>
      <c r="E2835" s="5" t="s">
        <v>80</v>
      </c>
      <c r="F2835" s="5">
        <v>763773</v>
      </c>
      <c r="G2835" s="5" t="s">
        <v>8591</v>
      </c>
      <c r="H2835" s="5" t="s">
        <v>8592</v>
      </c>
      <c r="I2835" s="5" t="s">
        <v>8559</v>
      </c>
      <c r="N2835" s="5" t="s">
        <v>8593</v>
      </c>
      <c r="O2835" s="5">
        <v>97</v>
      </c>
      <c r="P2835" s="5">
        <v>97</v>
      </c>
      <c r="Q2835" s="5">
        <v>97</v>
      </c>
      <c r="R2835" s="5">
        <v>97</v>
      </c>
      <c r="S2835" s="5">
        <v>97</v>
      </c>
      <c r="T2835" s="5">
        <v>100</v>
      </c>
      <c r="V2835" s="5">
        <v>97</v>
      </c>
      <c r="Y2835" s="5">
        <v>1400</v>
      </c>
      <c r="Z2835" s="5">
        <v>135800</v>
      </c>
      <c r="AA2835" s="5">
        <v>2</v>
      </c>
      <c r="AB2835" s="5" t="s">
        <v>85</v>
      </c>
      <c r="AC2835" s="5">
        <v>100</v>
      </c>
    </row>
    <row r="2836" spans="1:29" x14ac:dyDescent="0.3">
      <c r="A2836" s="34">
        <v>46274</v>
      </c>
      <c r="B2836" s="34">
        <v>46274</v>
      </c>
      <c r="C2836" s="5" t="s">
        <v>78</v>
      </c>
      <c r="D2836" s="5" t="s">
        <v>79</v>
      </c>
      <c r="E2836" s="5" t="s">
        <v>80</v>
      </c>
      <c r="F2836" s="5">
        <v>21166</v>
      </c>
      <c r="G2836" s="5" t="s">
        <v>8594</v>
      </c>
      <c r="H2836" s="5" t="s">
        <v>8595</v>
      </c>
      <c r="I2836" s="5" t="s">
        <v>8559</v>
      </c>
      <c r="N2836" s="5" t="s">
        <v>8596</v>
      </c>
      <c r="O2836" s="5">
        <v>99.7</v>
      </c>
      <c r="P2836" s="5">
        <v>99.7</v>
      </c>
      <c r="Q2836" s="5">
        <v>99.7</v>
      </c>
      <c r="R2836" s="5">
        <v>99.7</v>
      </c>
      <c r="S2836" s="5">
        <v>99.7</v>
      </c>
      <c r="T2836" s="5">
        <v>98</v>
      </c>
      <c r="V2836" s="5">
        <v>99.7</v>
      </c>
      <c r="Y2836" s="5">
        <v>100</v>
      </c>
      <c r="Z2836" s="5">
        <v>9970</v>
      </c>
      <c r="AA2836" s="5">
        <v>1</v>
      </c>
      <c r="AB2836" s="5" t="s">
        <v>85</v>
      </c>
      <c r="AC2836" s="5">
        <v>100</v>
      </c>
    </row>
    <row r="2837" spans="1:29" x14ac:dyDescent="0.3">
      <c r="A2837" s="34">
        <v>46274</v>
      </c>
      <c r="B2837" s="34">
        <v>46274</v>
      </c>
      <c r="C2837" s="5" t="s">
        <v>78</v>
      </c>
      <c r="D2837" s="5" t="s">
        <v>79</v>
      </c>
      <c r="E2837" s="5" t="s">
        <v>80</v>
      </c>
      <c r="F2837" s="5">
        <v>763735</v>
      </c>
      <c r="G2837" s="5" t="s">
        <v>8597</v>
      </c>
      <c r="H2837" s="5" t="s">
        <v>8598</v>
      </c>
      <c r="I2837" s="5" t="s">
        <v>8559</v>
      </c>
      <c r="N2837" s="5" t="s">
        <v>8599</v>
      </c>
      <c r="O2837" s="5">
        <v>99.68</v>
      </c>
      <c r="P2837" s="5">
        <v>99.68</v>
      </c>
      <c r="Q2837" s="5">
        <v>99.68</v>
      </c>
      <c r="R2837" s="5">
        <v>99.68</v>
      </c>
      <c r="S2837" s="5">
        <v>99.68</v>
      </c>
      <c r="T2837" s="5">
        <v>100.98</v>
      </c>
      <c r="V2837" s="5">
        <v>99.68</v>
      </c>
      <c r="Y2837" s="5">
        <v>100</v>
      </c>
      <c r="Z2837" s="5">
        <v>9968</v>
      </c>
      <c r="AA2837" s="5">
        <v>1</v>
      </c>
      <c r="AB2837" s="5" t="s">
        <v>85</v>
      </c>
      <c r="AC2837" s="5">
        <v>100</v>
      </c>
    </row>
    <row r="2838" spans="1:29" x14ac:dyDescent="0.3">
      <c r="A2838" s="34">
        <v>46274</v>
      </c>
      <c r="B2838" s="34">
        <v>46274</v>
      </c>
      <c r="C2838" s="5" t="s">
        <v>78</v>
      </c>
      <c r="D2838" s="5" t="s">
        <v>79</v>
      </c>
      <c r="E2838" s="5" t="s">
        <v>80</v>
      </c>
      <c r="F2838" s="5">
        <v>9869</v>
      </c>
      <c r="G2838" s="5" t="s">
        <v>8600</v>
      </c>
      <c r="H2838" s="5" t="s">
        <v>8601</v>
      </c>
      <c r="I2838" s="5" t="s">
        <v>8559</v>
      </c>
      <c r="N2838" s="5" t="s">
        <v>8602</v>
      </c>
      <c r="O2838" s="5">
        <v>100.01</v>
      </c>
      <c r="P2838" s="5">
        <v>100.01</v>
      </c>
      <c r="Q2838" s="5">
        <v>100</v>
      </c>
      <c r="R2838" s="5">
        <v>100</v>
      </c>
      <c r="S2838" s="5">
        <v>100</v>
      </c>
      <c r="T2838" s="5">
        <v>103</v>
      </c>
      <c r="V2838" s="5">
        <v>100</v>
      </c>
      <c r="Y2838" s="5">
        <v>2500</v>
      </c>
      <c r="Z2838" s="5">
        <v>250005</v>
      </c>
      <c r="AA2838" s="5">
        <v>2</v>
      </c>
      <c r="AB2838" s="5" t="s">
        <v>85</v>
      </c>
      <c r="AC2838" s="5">
        <v>100</v>
      </c>
    </row>
    <row r="2839" spans="1:29" x14ac:dyDescent="0.3">
      <c r="A2839" s="34">
        <v>46274</v>
      </c>
      <c r="B2839" s="34">
        <v>46274</v>
      </c>
      <c r="C2839" s="5" t="s">
        <v>78</v>
      </c>
      <c r="D2839" s="5" t="s">
        <v>79</v>
      </c>
      <c r="E2839" s="5" t="s">
        <v>80</v>
      </c>
      <c r="F2839" s="5">
        <v>23498</v>
      </c>
      <c r="G2839" s="5" t="s">
        <v>8603</v>
      </c>
      <c r="H2839" s="5" t="s">
        <v>8604</v>
      </c>
      <c r="I2839" s="5" t="s">
        <v>8559</v>
      </c>
      <c r="N2839" s="5" t="s">
        <v>8605</v>
      </c>
      <c r="O2839" s="5">
        <v>91.1</v>
      </c>
      <c r="P2839" s="5">
        <v>91.1</v>
      </c>
      <c r="Q2839" s="5">
        <v>91.1</v>
      </c>
      <c r="R2839" s="5">
        <v>91.1</v>
      </c>
      <c r="S2839" s="5">
        <v>91.1</v>
      </c>
      <c r="T2839" s="5">
        <v>91.14</v>
      </c>
      <c r="V2839" s="5">
        <v>91.1</v>
      </c>
      <c r="Y2839" s="5">
        <v>100</v>
      </c>
      <c r="Z2839" s="5">
        <v>9110</v>
      </c>
      <c r="AA2839" s="5">
        <v>1</v>
      </c>
      <c r="AB2839" s="5" t="s">
        <v>85</v>
      </c>
      <c r="AC2839" s="5">
        <v>100</v>
      </c>
    </row>
    <row r="2840" spans="1:29" x14ac:dyDescent="0.3">
      <c r="A2840" s="34">
        <v>46274</v>
      </c>
      <c r="B2840" s="34">
        <v>46274</v>
      </c>
      <c r="C2840" s="5" t="s">
        <v>78</v>
      </c>
      <c r="D2840" s="5" t="s">
        <v>79</v>
      </c>
      <c r="E2840" s="5" t="s">
        <v>80</v>
      </c>
      <c r="F2840" s="5">
        <v>760026</v>
      </c>
      <c r="G2840" s="5" t="s">
        <v>8606</v>
      </c>
      <c r="H2840" s="5" t="s">
        <v>8607</v>
      </c>
      <c r="I2840" s="5" t="s">
        <v>8559</v>
      </c>
      <c r="N2840" s="5" t="s">
        <v>8608</v>
      </c>
      <c r="O2840" s="5">
        <v>95</v>
      </c>
      <c r="P2840" s="5">
        <v>95</v>
      </c>
      <c r="Q2840" s="5">
        <v>95</v>
      </c>
      <c r="R2840" s="5">
        <v>95</v>
      </c>
      <c r="S2840" s="5">
        <v>95</v>
      </c>
      <c r="T2840" s="5">
        <v>100</v>
      </c>
      <c r="V2840" s="5">
        <v>95</v>
      </c>
      <c r="Y2840" s="5">
        <v>900</v>
      </c>
      <c r="Z2840" s="5">
        <v>85500</v>
      </c>
      <c r="AA2840" s="5">
        <v>1</v>
      </c>
      <c r="AB2840" s="5" t="s">
        <v>85</v>
      </c>
      <c r="AC2840" s="5">
        <v>100</v>
      </c>
    </row>
    <row r="2841" spans="1:29" x14ac:dyDescent="0.3">
      <c r="A2841" s="34">
        <v>46274</v>
      </c>
      <c r="B2841" s="34">
        <v>46274</v>
      </c>
      <c r="C2841" s="5" t="s">
        <v>78</v>
      </c>
      <c r="D2841" s="5" t="s">
        <v>79</v>
      </c>
      <c r="E2841" s="5" t="s">
        <v>80</v>
      </c>
      <c r="F2841" s="5">
        <v>22876</v>
      </c>
      <c r="G2841" s="5" t="s">
        <v>8609</v>
      </c>
      <c r="H2841" s="5" t="s">
        <v>8610</v>
      </c>
      <c r="I2841" s="5" t="s">
        <v>8559</v>
      </c>
      <c r="N2841" s="5" t="s">
        <v>8611</v>
      </c>
      <c r="O2841" s="5">
        <v>94.08</v>
      </c>
      <c r="P2841" s="5">
        <v>94.08</v>
      </c>
      <c r="Q2841" s="5">
        <v>94.08</v>
      </c>
      <c r="R2841" s="5">
        <v>94.08</v>
      </c>
      <c r="S2841" s="5">
        <v>94.08</v>
      </c>
      <c r="T2841" s="5">
        <v>96</v>
      </c>
      <c r="V2841" s="5">
        <v>94.08</v>
      </c>
      <c r="Y2841" s="5">
        <v>200</v>
      </c>
      <c r="Z2841" s="5">
        <v>18816</v>
      </c>
      <c r="AA2841" s="5">
        <v>1</v>
      </c>
      <c r="AB2841" s="5" t="s">
        <v>85</v>
      </c>
      <c r="AC2841" s="5">
        <v>100</v>
      </c>
    </row>
    <row r="2842" spans="1:29" x14ac:dyDescent="0.3">
      <c r="A2842" s="34">
        <v>46274</v>
      </c>
      <c r="B2842" s="34">
        <v>46274</v>
      </c>
      <c r="C2842" s="5" t="s">
        <v>78</v>
      </c>
      <c r="D2842" s="5" t="s">
        <v>79</v>
      </c>
      <c r="E2842" s="5" t="s">
        <v>80</v>
      </c>
      <c r="F2842" s="5">
        <v>19748</v>
      </c>
      <c r="G2842" s="5" t="s">
        <v>8612</v>
      </c>
      <c r="H2842" s="5" t="s">
        <v>8613</v>
      </c>
      <c r="I2842" s="5" t="s">
        <v>8559</v>
      </c>
      <c r="N2842" s="5" t="s">
        <v>8614</v>
      </c>
      <c r="O2842" s="5">
        <v>96.4</v>
      </c>
      <c r="P2842" s="5">
        <v>96.4</v>
      </c>
      <c r="Q2842" s="5">
        <v>96.4</v>
      </c>
      <c r="R2842" s="5">
        <v>96.4</v>
      </c>
      <c r="S2842" s="5">
        <v>96.4</v>
      </c>
      <c r="T2842" s="5">
        <v>100</v>
      </c>
      <c r="V2842" s="5">
        <v>96.4</v>
      </c>
      <c r="Y2842" s="5">
        <v>100</v>
      </c>
      <c r="Z2842" s="5">
        <v>9640</v>
      </c>
      <c r="AA2842" s="5">
        <v>1</v>
      </c>
      <c r="AB2842" s="5" t="s">
        <v>85</v>
      </c>
      <c r="AC2842" s="5">
        <v>100</v>
      </c>
    </row>
    <row r="2843" spans="1:29" x14ac:dyDescent="0.3">
      <c r="A2843" s="34">
        <v>46274</v>
      </c>
      <c r="B2843" s="34">
        <v>46274</v>
      </c>
      <c r="C2843" s="5" t="s">
        <v>78</v>
      </c>
      <c r="D2843" s="5" t="s">
        <v>79</v>
      </c>
      <c r="E2843" s="5" t="s">
        <v>80</v>
      </c>
      <c r="F2843" s="5">
        <v>3519</v>
      </c>
      <c r="G2843" s="5" t="s">
        <v>8615</v>
      </c>
      <c r="H2843" s="5" t="s">
        <v>8616</v>
      </c>
      <c r="I2843" s="5" t="s">
        <v>8559</v>
      </c>
      <c r="N2843" s="5" t="s">
        <v>8617</v>
      </c>
      <c r="O2843" s="5">
        <v>97.95</v>
      </c>
      <c r="P2843" s="5">
        <v>97.95</v>
      </c>
      <c r="Q2843" s="5">
        <v>97.95</v>
      </c>
      <c r="R2843" s="5">
        <v>97.95</v>
      </c>
      <c r="S2843" s="5">
        <v>97.95</v>
      </c>
      <c r="T2843" s="5">
        <v>95</v>
      </c>
      <c r="V2843" s="5">
        <v>97.95</v>
      </c>
      <c r="Y2843" s="5">
        <v>400</v>
      </c>
      <c r="Z2843" s="5">
        <v>39180</v>
      </c>
      <c r="AA2843" s="5">
        <v>1</v>
      </c>
      <c r="AB2843" s="5" t="s">
        <v>85</v>
      </c>
      <c r="AC2843" s="5">
        <v>100</v>
      </c>
    </row>
    <row r="2844" spans="1:29" x14ac:dyDescent="0.3">
      <c r="A2844" s="34">
        <v>46274</v>
      </c>
      <c r="B2844" s="34">
        <v>46274</v>
      </c>
      <c r="C2844" s="5" t="s">
        <v>78</v>
      </c>
      <c r="D2844" s="5" t="s">
        <v>79</v>
      </c>
      <c r="E2844" s="5" t="s">
        <v>80</v>
      </c>
      <c r="F2844" s="5">
        <v>2616</v>
      </c>
      <c r="G2844" s="5" t="s">
        <v>8618</v>
      </c>
      <c r="H2844" s="5" t="s">
        <v>8619</v>
      </c>
      <c r="I2844" s="5" t="s">
        <v>212</v>
      </c>
      <c r="N2844" s="5" t="s">
        <v>8620</v>
      </c>
      <c r="O2844" s="5">
        <v>1788.7</v>
      </c>
      <c r="P2844" s="5">
        <v>1812.2</v>
      </c>
      <c r="Q2844" s="5">
        <v>1769.1</v>
      </c>
      <c r="R2844" s="5">
        <v>1772.6</v>
      </c>
      <c r="S2844" s="5">
        <v>1770</v>
      </c>
      <c r="T2844" s="5">
        <v>1782.6</v>
      </c>
      <c r="V2844" s="5">
        <v>1772.6</v>
      </c>
      <c r="Y2844" s="5">
        <v>97645</v>
      </c>
      <c r="Z2844" s="5">
        <v>174808956.40000001</v>
      </c>
      <c r="AA2844" s="5">
        <v>5843</v>
      </c>
      <c r="AB2844" s="5" t="s">
        <v>85</v>
      </c>
      <c r="AC2844" s="5">
        <v>1</v>
      </c>
    </row>
    <row r="2845" spans="1:29" x14ac:dyDescent="0.3">
      <c r="A2845" s="34">
        <v>46274</v>
      </c>
      <c r="B2845" s="34">
        <v>46274</v>
      </c>
      <c r="C2845" s="5" t="s">
        <v>78</v>
      </c>
      <c r="D2845" s="5" t="s">
        <v>79</v>
      </c>
      <c r="E2845" s="5" t="s">
        <v>80</v>
      </c>
      <c r="F2845" s="5">
        <v>6207</v>
      </c>
      <c r="G2845" s="5" t="s">
        <v>8621</v>
      </c>
      <c r="H2845" s="5" t="s">
        <v>8622</v>
      </c>
      <c r="I2845" s="5" t="s">
        <v>536</v>
      </c>
      <c r="N2845" s="5" t="s">
        <v>8623</v>
      </c>
      <c r="O2845" s="5">
        <v>1502</v>
      </c>
      <c r="P2845" s="5">
        <v>1502</v>
      </c>
      <c r="Q2845" s="5">
        <v>1473</v>
      </c>
      <c r="R2845" s="5">
        <v>1495.8</v>
      </c>
      <c r="S2845" s="5">
        <v>1495.8</v>
      </c>
      <c r="T2845" s="5">
        <v>1501.16</v>
      </c>
      <c r="V2845" s="5">
        <v>1495.8</v>
      </c>
      <c r="Y2845" s="5">
        <v>650</v>
      </c>
      <c r="Z2845" s="5">
        <v>965885</v>
      </c>
      <c r="AA2845" s="5">
        <v>9</v>
      </c>
      <c r="AB2845" s="5" t="s">
        <v>85</v>
      </c>
      <c r="AC2845" s="5">
        <v>1</v>
      </c>
    </row>
    <row r="2846" spans="1:29" x14ac:dyDescent="0.3">
      <c r="A2846" s="34">
        <v>46274</v>
      </c>
      <c r="B2846" s="34">
        <v>46274</v>
      </c>
      <c r="C2846" s="5" t="s">
        <v>78</v>
      </c>
      <c r="D2846" s="5" t="s">
        <v>79</v>
      </c>
      <c r="E2846" s="5" t="s">
        <v>80</v>
      </c>
      <c r="F2846" s="5">
        <v>20771</v>
      </c>
      <c r="G2846" s="5" t="s">
        <v>8624</v>
      </c>
      <c r="H2846" s="5" t="s">
        <v>8625</v>
      </c>
      <c r="I2846" s="5" t="s">
        <v>7428</v>
      </c>
      <c r="N2846" s="5" t="s">
        <v>8626</v>
      </c>
      <c r="O2846" s="5">
        <v>1068</v>
      </c>
      <c r="P2846" s="5">
        <v>1068</v>
      </c>
      <c r="Q2846" s="5">
        <v>1068</v>
      </c>
      <c r="R2846" s="5">
        <v>1068</v>
      </c>
      <c r="S2846" s="5">
        <v>1068</v>
      </c>
      <c r="T2846" s="5">
        <v>1068.2</v>
      </c>
      <c r="V2846" s="5">
        <v>1068</v>
      </c>
      <c r="Y2846" s="5">
        <v>1</v>
      </c>
      <c r="Z2846" s="5">
        <v>1068</v>
      </c>
      <c r="AA2846" s="5">
        <v>1</v>
      </c>
      <c r="AB2846" s="5" t="s">
        <v>85</v>
      </c>
      <c r="AC2846" s="5">
        <v>1</v>
      </c>
    </row>
    <row r="2847" spans="1:29" x14ac:dyDescent="0.3">
      <c r="A2847" s="34">
        <v>46274</v>
      </c>
      <c r="B2847" s="34">
        <v>46274</v>
      </c>
      <c r="C2847" s="5" t="s">
        <v>78</v>
      </c>
      <c r="D2847" s="5" t="s">
        <v>79</v>
      </c>
      <c r="E2847" s="5" t="s">
        <v>80</v>
      </c>
      <c r="F2847" s="5">
        <v>20779</v>
      </c>
      <c r="G2847" s="5" t="s">
        <v>8627</v>
      </c>
      <c r="H2847" s="5" t="s">
        <v>8628</v>
      </c>
      <c r="I2847" s="5" t="s">
        <v>250</v>
      </c>
      <c r="N2847" s="5" t="s">
        <v>8629</v>
      </c>
      <c r="O2847" s="5">
        <v>1019.44</v>
      </c>
      <c r="P2847" s="5">
        <v>1019.44</v>
      </c>
      <c r="Q2847" s="5">
        <v>1019.44</v>
      </c>
      <c r="R2847" s="5">
        <v>1019.44</v>
      </c>
      <c r="S2847" s="5">
        <v>1019.44</v>
      </c>
      <c r="T2847" s="5">
        <v>1012</v>
      </c>
      <c r="V2847" s="5">
        <v>1019.44</v>
      </c>
      <c r="Y2847" s="5">
        <v>31</v>
      </c>
      <c r="Z2847" s="5">
        <v>31602.639999999999</v>
      </c>
      <c r="AA2847" s="5">
        <v>2</v>
      </c>
      <c r="AB2847" s="5" t="s">
        <v>85</v>
      </c>
      <c r="AC2847" s="5">
        <v>1</v>
      </c>
    </row>
    <row r="2848" spans="1:29" x14ac:dyDescent="0.3">
      <c r="A2848" s="34">
        <v>46274</v>
      </c>
      <c r="B2848" s="34">
        <v>46274</v>
      </c>
      <c r="C2848" s="5" t="s">
        <v>78</v>
      </c>
      <c r="D2848" s="5" t="s">
        <v>79</v>
      </c>
      <c r="E2848" s="5" t="s">
        <v>80</v>
      </c>
      <c r="F2848" s="5">
        <v>24141</v>
      </c>
      <c r="G2848" s="5" t="s">
        <v>8630</v>
      </c>
      <c r="H2848" s="5" t="s">
        <v>8631</v>
      </c>
      <c r="I2848" s="5" t="s">
        <v>1820</v>
      </c>
      <c r="N2848" s="5" t="s">
        <v>8632</v>
      </c>
      <c r="O2848" s="5">
        <v>1010</v>
      </c>
      <c r="P2848" s="5">
        <v>1010</v>
      </c>
      <c r="Q2848" s="5">
        <v>1010</v>
      </c>
      <c r="R2848" s="5">
        <v>1010</v>
      </c>
      <c r="S2848" s="5">
        <v>1010</v>
      </c>
      <c r="T2848" s="5">
        <v>1012</v>
      </c>
      <c r="V2848" s="5">
        <v>1010</v>
      </c>
      <c r="Y2848" s="5">
        <v>25</v>
      </c>
      <c r="Z2848" s="5">
        <v>25250</v>
      </c>
      <c r="AA2848" s="5">
        <v>3</v>
      </c>
      <c r="AB2848" s="5" t="s">
        <v>85</v>
      </c>
      <c r="AC2848" s="5">
        <v>1</v>
      </c>
    </row>
    <row r="2849" spans="1:29" x14ac:dyDescent="0.3">
      <c r="A2849" s="34">
        <v>46274</v>
      </c>
      <c r="B2849" s="34">
        <v>46274</v>
      </c>
      <c r="C2849" s="5" t="s">
        <v>78</v>
      </c>
      <c r="D2849" s="5" t="s">
        <v>79</v>
      </c>
      <c r="E2849" s="5" t="s">
        <v>80</v>
      </c>
      <c r="F2849" s="5">
        <v>20116</v>
      </c>
      <c r="G2849" s="5" t="s">
        <v>8633</v>
      </c>
      <c r="H2849" s="5" t="s">
        <v>8634</v>
      </c>
      <c r="I2849" s="5" t="s">
        <v>8635</v>
      </c>
      <c r="N2849" s="5" t="s">
        <v>8636</v>
      </c>
      <c r="O2849" s="5">
        <v>783</v>
      </c>
      <c r="P2849" s="5">
        <v>787</v>
      </c>
      <c r="Q2849" s="5">
        <v>720.71</v>
      </c>
      <c r="R2849" s="5">
        <v>754.4</v>
      </c>
      <c r="S2849" s="5">
        <v>720.71</v>
      </c>
      <c r="T2849" s="5">
        <v>755.53</v>
      </c>
      <c r="V2849" s="5">
        <v>754.4</v>
      </c>
      <c r="Y2849" s="5">
        <v>48</v>
      </c>
      <c r="Z2849" s="5">
        <v>36211.5</v>
      </c>
      <c r="AA2849" s="5">
        <v>7</v>
      </c>
      <c r="AB2849" s="5" t="s">
        <v>85</v>
      </c>
      <c r="AC2849" s="5">
        <v>1</v>
      </c>
    </row>
    <row r="2850" spans="1:29" x14ac:dyDescent="0.3">
      <c r="A2850" s="34">
        <v>46274</v>
      </c>
      <c r="B2850" s="34">
        <v>46274</v>
      </c>
      <c r="C2850" s="5" t="s">
        <v>78</v>
      </c>
      <c r="D2850" s="5" t="s">
        <v>79</v>
      </c>
      <c r="E2850" s="5" t="s">
        <v>80</v>
      </c>
      <c r="F2850" s="5">
        <v>20102</v>
      </c>
      <c r="G2850" s="5" t="s">
        <v>8637</v>
      </c>
      <c r="H2850" s="5" t="s">
        <v>8638</v>
      </c>
      <c r="I2850" s="5" t="s">
        <v>8639</v>
      </c>
      <c r="N2850" s="5" t="s">
        <v>8640</v>
      </c>
      <c r="O2850" s="5">
        <v>999</v>
      </c>
      <c r="P2850" s="5">
        <v>999</v>
      </c>
      <c r="Q2850" s="5">
        <v>999</v>
      </c>
      <c r="R2850" s="5">
        <v>999</v>
      </c>
      <c r="S2850" s="5">
        <v>999</v>
      </c>
      <c r="T2850" s="5">
        <v>1000</v>
      </c>
      <c r="V2850" s="5">
        <v>999</v>
      </c>
      <c r="Y2850" s="5">
        <v>200</v>
      </c>
      <c r="Z2850" s="5">
        <v>199800</v>
      </c>
      <c r="AA2850" s="5">
        <v>8</v>
      </c>
      <c r="AB2850" s="5" t="s">
        <v>85</v>
      </c>
      <c r="AC2850" s="5">
        <v>1</v>
      </c>
    </row>
    <row r="2851" spans="1:29" x14ac:dyDescent="0.3">
      <c r="A2851" s="34">
        <v>46274</v>
      </c>
      <c r="B2851" s="34">
        <v>46274</v>
      </c>
      <c r="C2851" s="5" t="s">
        <v>78</v>
      </c>
      <c r="D2851" s="5" t="s">
        <v>79</v>
      </c>
      <c r="E2851" s="5" t="s">
        <v>80</v>
      </c>
      <c r="F2851" s="5">
        <v>18859</v>
      </c>
      <c r="G2851" s="5" t="s">
        <v>8641</v>
      </c>
      <c r="H2851" s="5" t="s">
        <v>8642</v>
      </c>
      <c r="I2851" s="5" t="s">
        <v>8643</v>
      </c>
      <c r="N2851" s="5" t="s">
        <v>8640</v>
      </c>
      <c r="O2851" s="5">
        <v>603.29999999999995</v>
      </c>
      <c r="P2851" s="5">
        <v>750</v>
      </c>
      <c r="Q2851" s="5">
        <v>603.29999999999995</v>
      </c>
      <c r="R2851" s="5">
        <v>750</v>
      </c>
      <c r="S2851" s="5">
        <v>750</v>
      </c>
      <c r="T2851" s="5">
        <v>750</v>
      </c>
      <c r="V2851" s="5">
        <v>676.65</v>
      </c>
      <c r="Y2851" s="5">
        <v>2</v>
      </c>
      <c r="Z2851" s="5">
        <v>1353.3</v>
      </c>
      <c r="AA2851" s="5">
        <v>2</v>
      </c>
      <c r="AB2851" s="5" t="s">
        <v>85</v>
      </c>
      <c r="AC2851" s="5">
        <v>1</v>
      </c>
    </row>
    <row r="2852" spans="1:29" x14ac:dyDescent="0.3">
      <c r="A2852" s="34">
        <v>46274</v>
      </c>
      <c r="B2852" s="34">
        <v>46274</v>
      </c>
      <c r="C2852" s="5" t="s">
        <v>78</v>
      </c>
      <c r="D2852" s="5" t="s">
        <v>79</v>
      </c>
      <c r="E2852" s="5" t="s">
        <v>80</v>
      </c>
      <c r="F2852" s="5">
        <v>25914</v>
      </c>
      <c r="G2852" s="5" t="s">
        <v>8644</v>
      </c>
      <c r="H2852" s="5" t="s">
        <v>8645</v>
      </c>
      <c r="I2852" s="5" t="s">
        <v>2833</v>
      </c>
      <c r="N2852" s="5" t="s">
        <v>8646</v>
      </c>
      <c r="O2852" s="5">
        <v>999</v>
      </c>
      <c r="P2852" s="5">
        <v>999</v>
      </c>
      <c r="Q2852" s="5">
        <v>999</v>
      </c>
      <c r="R2852" s="5">
        <v>999</v>
      </c>
      <c r="S2852" s="5">
        <v>999</v>
      </c>
      <c r="T2852" s="5">
        <v>999.7</v>
      </c>
      <c r="V2852" s="5">
        <v>999.6</v>
      </c>
      <c r="Y2852" s="5">
        <v>12</v>
      </c>
      <c r="Z2852" s="5">
        <v>11988</v>
      </c>
      <c r="AA2852" s="5">
        <v>5</v>
      </c>
      <c r="AB2852" s="5" t="s">
        <v>85</v>
      </c>
      <c r="AC2852" s="5">
        <v>1</v>
      </c>
    </row>
    <row r="2853" spans="1:29" x14ac:dyDescent="0.3">
      <c r="A2853" s="34">
        <v>46274</v>
      </c>
      <c r="B2853" s="34">
        <v>46274</v>
      </c>
      <c r="C2853" s="5" t="s">
        <v>78</v>
      </c>
      <c r="D2853" s="5" t="s">
        <v>79</v>
      </c>
      <c r="E2853" s="5" t="s">
        <v>80</v>
      </c>
      <c r="F2853" s="5">
        <v>20130</v>
      </c>
      <c r="G2853" s="5" t="s">
        <v>8647</v>
      </c>
      <c r="H2853" s="5" t="s">
        <v>8648</v>
      </c>
      <c r="I2853" s="5" t="s">
        <v>8649</v>
      </c>
      <c r="N2853" s="5" t="s">
        <v>8650</v>
      </c>
      <c r="O2853" s="5">
        <v>840</v>
      </c>
      <c r="P2853" s="5">
        <v>840</v>
      </c>
      <c r="Q2853" s="5">
        <v>840</v>
      </c>
      <c r="R2853" s="5">
        <v>840</v>
      </c>
      <c r="S2853" s="5">
        <v>840</v>
      </c>
      <c r="T2853" s="5">
        <v>801.3</v>
      </c>
      <c r="V2853" s="5">
        <v>840</v>
      </c>
      <c r="Y2853" s="5">
        <v>1</v>
      </c>
      <c r="Z2853" s="5">
        <v>840</v>
      </c>
      <c r="AA2853" s="5">
        <v>1</v>
      </c>
      <c r="AB2853" s="5" t="s">
        <v>85</v>
      </c>
      <c r="AC2853" s="5">
        <v>1</v>
      </c>
    </row>
    <row r="2854" spans="1:29" x14ac:dyDescent="0.3">
      <c r="A2854" s="34">
        <v>46274</v>
      </c>
      <c r="B2854" s="34">
        <v>46274</v>
      </c>
      <c r="C2854" s="5" t="s">
        <v>78</v>
      </c>
      <c r="D2854" s="5" t="s">
        <v>79</v>
      </c>
      <c r="E2854" s="5" t="s">
        <v>80</v>
      </c>
      <c r="F2854" s="5">
        <v>23123</v>
      </c>
      <c r="G2854" s="5" t="s">
        <v>8651</v>
      </c>
      <c r="H2854" s="5" t="s">
        <v>8652</v>
      </c>
      <c r="I2854" s="5" t="s">
        <v>1820</v>
      </c>
      <c r="N2854" s="5" t="s">
        <v>8653</v>
      </c>
      <c r="O2854" s="5">
        <v>1023.96</v>
      </c>
      <c r="P2854" s="5">
        <v>1023.96</v>
      </c>
      <c r="Q2854" s="5">
        <v>1000.2</v>
      </c>
      <c r="R2854" s="5">
        <v>1023</v>
      </c>
      <c r="S2854" s="5">
        <v>1023</v>
      </c>
      <c r="T2854" s="5">
        <v>1023.97</v>
      </c>
      <c r="V2854" s="5">
        <v>1023</v>
      </c>
      <c r="Y2854" s="5">
        <v>3</v>
      </c>
      <c r="Z2854" s="5">
        <v>3047.16</v>
      </c>
      <c r="AA2854" s="5">
        <v>3</v>
      </c>
      <c r="AB2854" s="5" t="s">
        <v>85</v>
      </c>
      <c r="AC2854" s="5">
        <v>1</v>
      </c>
    </row>
    <row r="2855" spans="1:29" x14ac:dyDescent="0.3">
      <c r="A2855" s="34">
        <v>46274</v>
      </c>
      <c r="B2855" s="34">
        <v>46274</v>
      </c>
      <c r="C2855" s="5" t="s">
        <v>78</v>
      </c>
      <c r="D2855" s="5" t="s">
        <v>79</v>
      </c>
      <c r="E2855" s="5" t="s">
        <v>80</v>
      </c>
      <c r="F2855" s="5">
        <v>18902</v>
      </c>
      <c r="G2855" s="5" t="s">
        <v>8654</v>
      </c>
      <c r="H2855" s="5" t="s">
        <v>8655</v>
      </c>
      <c r="I2855" s="5" t="s">
        <v>258</v>
      </c>
      <c r="N2855" s="5" t="s">
        <v>8656</v>
      </c>
      <c r="O2855" s="5">
        <v>984</v>
      </c>
      <c r="P2855" s="5">
        <v>984</v>
      </c>
      <c r="Q2855" s="5">
        <v>984</v>
      </c>
      <c r="R2855" s="5">
        <v>984</v>
      </c>
      <c r="S2855" s="5">
        <v>984</v>
      </c>
      <c r="T2855" s="5">
        <v>820.2</v>
      </c>
      <c r="V2855" s="5">
        <v>986</v>
      </c>
      <c r="Y2855" s="5">
        <v>25</v>
      </c>
      <c r="Z2855" s="5">
        <v>24600</v>
      </c>
      <c r="AA2855" s="5">
        <v>1</v>
      </c>
      <c r="AB2855" s="5" t="s">
        <v>85</v>
      </c>
      <c r="AC2855" s="5">
        <v>1</v>
      </c>
    </row>
    <row r="2856" spans="1:29" x14ac:dyDescent="0.3">
      <c r="A2856" s="34">
        <v>46274</v>
      </c>
      <c r="B2856" s="34">
        <v>46274</v>
      </c>
      <c r="C2856" s="5" t="s">
        <v>78</v>
      </c>
      <c r="D2856" s="5" t="s">
        <v>79</v>
      </c>
      <c r="E2856" s="5" t="s">
        <v>80</v>
      </c>
      <c r="F2856" s="5">
        <v>3451</v>
      </c>
      <c r="G2856" s="5" t="s">
        <v>8657</v>
      </c>
      <c r="H2856" s="5" t="s">
        <v>8658</v>
      </c>
      <c r="I2856" s="5" t="s">
        <v>528</v>
      </c>
      <c r="N2856" s="5" t="s">
        <v>8659</v>
      </c>
      <c r="O2856" s="5">
        <v>1015.55</v>
      </c>
      <c r="P2856" s="5">
        <v>1015.55</v>
      </c>
      <c r="Q2856" s="5">
        <v>1015.55</v>
      </c>
      <c r="R2856" s="5">
        <v>1015.55</v>
      </c>
      <c r="S2856" s="5">
        <v>1015.55</v>
      </c>
      <c r="T2856" s="5">
        <v>1005</v>
      </c>
      <c r="V2856" s="5">
        <v>1015.55</v>
      </c>
      <c r="Y2856" s="5">
        <v>50</v>
      </c>
      <c r="Z2856" s="5">
        <v>50777.5</v>
      </c>
      <c r="AA2856" s="5">
        <v>2</v>
      </c>
      <c r="AB2856" s="5" t="s">
        <v>85</v>
      </c>
      <c r="AC2856" s="5">
        <v>1</v>
      </c>
    </row>
    <row r="2857" spans="1:29" x14ac:dyDescent="0.3">
      <c r="A2857" s="34">
        <v>46274</v>
      </c>
      <c r="B2857" s="34">
        <v>46274</v>
      </c>
      <c r="C2857" s="5" t="s">
        <v>78</v>
      </c>
      <c r="D2857" s="5" t="s">
        <v>79</v>
      </c>
      <c r="E2857" s="5" t="s">
        <v>80</v>
      </c>
      <c r="F2857" s="5">
        <v>11658</v>
      </c>
      <c r="G2857" s="5" t="s">
        <v>8660</v>
      </c>
      <c r="H2857" s="5" t="s">
        <v>8661</v>
      </c>
      <c r="I2857" s="5" t="s">
        <v>2833</v>
      </c>
      <c r="N2857" s="5" t="s">
        <v>8662</v>
      </c>
      <c r="O2857" s="5">
        <v>312</v>
      </c>
      <c r="P2857" s="5">
        <v>312</v>
      </c>
      <c r="Q2857" s="5">
        <v>312</v>
      </c>
      <c r="R2857" s="5">
        <v>312</v>
      </c>
      <c r="S2857" s="5">
        <v>312</v>
      </c>
      <c r="T2857" s="5">
        <v>310.55</v>
      </c>
      <c r="V2857" s="5">
        <v>312</v>
      </c>
      <c r="Y2857" s="5">
        <v>1</v>
      </c>
      <c r="Z2857" s="5">
        <v>312</v>
      </c>
      <c r="AA2857" s="5">
        <v>1</v>
      </c>
      <c r="AB2857" s="5" t="s">
        <v>85</v>
      </c>
      <c r="AC2857" s="5">
        <v>1</v>
      </c>
    </row>
    <row r="2858" spans="1:29" x14ac:dyDescent="0.3">
      <c r="A2858" s="34">
        <v>46274</v>
      </c>
      <c r="B2858" s="34">
        <v>46274</v>
      </c>
      <c r="C2858" s="5" t="s">
        <v>78</v>
      </c>
      <c r="D2858" s="5" t="s">
        <v>79</v>
      </c>
      <c r="E2858" s="5" t="s">
        <v>80</v>
      </c>
      <c r="F2858" s="5">
        <v>11665</v>
      </c>
      <c r="G2858" s="5" t="s">
        <v>8663</v>
      </c>
      <c r="H2858" s="5" t="s">
        <v>8664</v>
      </c>
      <c r="I2858" s="5" t="s">
        <v>258</v>
      </c>
      <c r="N2858" s="5" t="s">
        <v>8665</v>
      </c>
      <c r="O2858" s="5">
        <v>312.5</v>
      </c>
      <c r="P2858" s="5">
        <v>314</v>
      </c>
      <c r="Q2858" s="5">
        <v>311.25</v>
      </c>
      <c r="R2858" s="5">
        <v>314</v>
      </c>
      <c r="S2858" s="5">
        <v>314</v>
      </c>
      <c r="T2858" s="5">
        <v>312.5</v>
      </c>
      <c r="V2858" s="5">
        <v>314</v>
      </c>
      <c r="Y2858" s="5">
        <v>140</v>
      </c>
      <c r="Z2858" s="5">
        <v>43604</v>
      </c>
      <c r="AA2858" s="5">
        <v>6</v>
      </c>
      <c r="AB2858" s="5" t="s">
        <v>85</v>
      </c>
      <c r="AC2858" s="5">
        <v>1</v>
      </c>
    </row>
    <row r="2859" spans="1:29" x14ac:dyDescent="0.3">
      <c r="A2859" s="34">
        <v>46274</v>
      </c>
      <c r="B2859" s="34">
        <v>46274</v>
      </c>
      <c r="C2859" s="5" t="s">
        <v>78</v>
      </c>
      <c r="D2859" s="5" t="s">
        <v>79</v>
      </c>
      <c r="E2859" s="5" t="s">
        <v>80</v>
      </c>
      <c r="F2859" s="5">
        <v>11669</v>
      </c>
      <c r="G2859" s="5" t="s">
        <v>8666</v>
      </c>
      <c r="H2859" s="5" t="s">
        <v>8667</v>
      </c>
      <c r="I2859" s="5" t="s">
        <v>7428</v>
      </c>
      <c r="N2859" s="5" t="s">
        <v>8668</v>
      </c>
      <c r="O2859" s="5">
        <v>406.57</v>
      </c>
      <c r="P2859" s="5">
        <v>415.11</v>
      </c>
      <c r="Q2859" s="5">
        <v>406.57</v>
      </c>
      <c r="R2859" s="5">
        <v>415.11</v>
      </c>
      <c r="S2859" s="5">
        <v>415.11</v>
      </c>
      <c r="T2859" s="5">
        <v>417</v>
      </c>
      <c r="V2859" s="5">
        <v>415.11</v>
      </c>
      <c r="Y2859" s="5">
        <v>36</v>
      </c>
      <c r="Z2859" s="5">
        <v>14926.88</v>
      </c>
      <c r="AA2859" s="5">
        <v>2</v>
      </c>
      <c r="AB2859" s="5" t="s">
        <v>85</v>
      </c>
      <c r="AC2859" s="5">
        <v>1</v>
      </c>
    </row>
    <row r="2860" spans="1:29" x14ac:dyDescent="0.3">
      <c r="A2860" s="34">
        <v>46274</v>
      </c>
      <c r="B2860" s="34">
        <v>46274</v>
      </c>
      <c r="C2860" s="5" t="s">
        <v>78</v>
      </c>
      <c r="D2860" s="5" t="s">
        <v>79</v>
      </c>
      <c r="E2860" s="5" t="s">
        <v>80</v>
      </c>
      <c r="F2860" s="5">
        <v>3476</v>
      </c>
      <c r="G2860" s="5" t="s">
        <v>8669</v>
      </c>
      <c r="H2860" s="5" t="s">
        <v>8670</v>
      </c>
      <c r="I2860" s="5" t="s">
        <v>8671</v>
      </c>
      <c r="N2860" s="5" t="s">
        <v>8672</v>
      </c>
      <c r="O2860" s="5">
        <v>1005</v>
      </c>
      <c r="P2860" s="5">
        <v>1005</v>
      </c>
      <c r="Q2860" s="5">
        <v>1005</v>
      </c>
      <c r="R2860" s="5">
        <v>1005</v>
      </c>
      <c r="S2860" s="5">
        <v>1005</v>
      </c>
      <c r="T2860" s="5">
        <v>1017.8</v>
      </c>
      <c r="V2860" s="5">
        <v>1005</v>
      </c>
      <c r="Y2860" s="5">
        <v>3</v>
      </c>
      <c r="Z2860" s="5">
        <v>3015</v>
      </c>
      <c r="AA2860" s="5">
        <v>1</v>
      </c>
      <c r="AB2860" s="5" t="s">
        <v>85</v>
      </c>
      <c r="AC2860" s="5">
        <v>1</v>
      </c>
    </row>
    <row r="2861" spans="1:29" x14ac:dyDescent="0.3">
      <c r="A2861" s="34">
        <v>46274</v>
      </c>
      <c r="B2861" s="34">
        <v>46274</v>
      </c>
      <c r="C2861" s="5" t="s">
        <v>78</v>
      </c>
      <c r="D2861" s="5" t="s">
        <v>79</v>
      </c>
      <c r="E2861" s="5" t="s">
        <v>80</v>
      </c>
      <c r="F2861" s="5">
        <v>7648</v>
      </c>
      <c r="G2861" s="5" t="s">
        <v>8673</v>
      </c>
      <c r="H2861" s="5" t="s">
        <v>8674</v>
      </c>
      <c r="I2861" s="5" t="s">
        <v>266</v>
      </c>
      <c r="N2861" s="5" t="s">
        <v>8675</v>
      </c>
      <c r="O2861" s="5">
        <v>992</v>
      </c>
      <c r="P2861" s="5">
        <v>997</v>
      </c>
      <c r="Q2861" s="5">
        <v>992</v>
      </c>
      <c r="R2861" s="5">
        <v>997</v>
      </c>
      <c r="S2861" s="5">
        <v>997</v>
      </c>
      <c r="T2861" s="5">
        <v>990</v>
      </c>
      <c r="V2861" s="5">
        <v>997</v>
      </c>
      <c r="Y2861" s="5">
        <v>419</v>
      </c>
      <c r="Z2861" s="5">
        <v>416706</v>
      </c>
      <c r="AA2861" s="5">
        <v>4</v>
      </c>
      <c r="AB2861" s="5" t="s">
        <v>85</v>
      </c>
      <c r="AC2861" s="5">
        <v>1</v>
      </c>
    </row>
    <row r="2862" spans="1:29" x14ac:dyDescent="0.3">
      <c r="A2862" s="34">
        <v>46274</v>
      </c>
      <c r="B2862" s="34">
        <v>46274</v>
      </c>
      <c r="C2862" s="5" t="s">
        <v>78</v>
      </c>
      <c r="D2862" s="5" t="s">
        <v>79</v>
      </c>
      <c r="E2862" s="5" t="s">
        <v>80</v>
      </c>
      <c r="F2862" s="5">
        <v>3464</v>
      </c>
      <c r="G2862" s="5" t="s">
        <v>8676</v>
      </c>
      <c r="H2862" s="5" t="s">
        <v>8677</v>
      </c>
      <c r="I2862" s="5" t="s">
        <v>8678</v>
      </c>
      <c r="N2862" s="5" t="s">
        <v>8679</v>
      </c>
      <c r="O2862" s="5">
        <v>1036</v>
      </c>
      <c r="P2862" s="5">
        <v>1036</v>
      </c>
      <c r="Q2862" s="5">
        <v>1036</v>
      </c>
      <c r="R2862" s="5">
        <v>1036</v>
      </c>
      <c r="S2862" s="5">
        <v>1036</v>
      </c>
      <c r="T2862" s="5">
        <v>1038.5</v>
      </c>
      <c r="V2862" s="5">
        <v>1036</v>
      </c>
      <c r="Y2862" s="5">
        <v>127</v>
      </c>
      <c r="Z2862" s="5">
        <v>131572</v>
      </c>
      <c r="AA2862" s="5">
        <v>5</v>
      </c>
      <c r="AB2862" s="5" t="s">
        <v>85</v>
      </c>
      <c r="AC2862" s="5">
        <v>1</v>
      </c>
    </row>
    <row r="2863" spans="1:29" x14ac:dyDescent="0.3">
      <c r="A2863" s="34">
        <v>46274</v>
      </c>
      <c r="B2863" s="34">
        <v>46274</v>
      </c>
      <c r="C2863" s="5" t="s">
        <v>78</v>
      </c>
      <c r="D2863" s="5" t="s">
        <v>79</v>
      </c>
      <c r="E2863" s="5" t="s">
        <v>80</v>
      </c>
      <c r="F2863" s="5">
        <v>6197</v>
      </c>
      <c r="G2863" s="5" t="s">
        <v>8680</v>
      </c>
      <c r="H2863" s="5" t="s">
        <v>8681</v>
      </c>
      <c r="I2863" s="5" t="s">
        <v>8671</v>
      </c>
      <c r="N2863" s="5" t="s">
        <v>8682</v>
      </c>
      <c r="O2863" s="5">
        <v>1000</v>
      </c>
      <c r="P2863" s="5">
        <v>1000</v>
      </c>
      <c r="Q2863" s="5">
        <v>999</v>
      </c>
      <c r="R2863" s="5">
        <v>999.94</v>
      </c>
      <c r="S2863" s="5">
        <v>1000</v>
      </c>
      <c r="T2863" s="5">
        <v>1001.15</v>
      </c>
      <c r="V2863" s="5">
        <v>999.94</v>
      </c>
      <c r="Y2863" s="5">
        <v>4883</v>
      </c>
      <c r="Z2863" s="5">
        <v>4882934.9800000004</v>
      </c>
      <c r="AA2863" s="5">
        <v>46</v>
      </c>
      <c r="AB2863" s="5" t="s">
        <v>85</v>
      </c>
      <c r="AC2863" s="5">
        <v>1</v>
      </c>
    </row>
    <row r="2864" spans="1:29" x14ac:dyDescent="0.3">
      <c r="A2864" s="34">
        <v>46274</v>
      </c>
      <c r="B2864" s="34">
        <v>46274</v>
      </c>
      <c r="C2864" s="5" t="s">
        <v>78</v>
      </c>
      <c r="D2864" s="5" t="s">
        <v>79</v>
      </c>
      <c r="E2864" s="5" t="s">
        <v>80</v>
      </c>
      <c r="F2864" s="5">
        <v>28856</v>
      </c>
      <c r="G2864" s="5" t="s">
        <v>8683</v>
      </c>
      <c r="H2864" s="5" t="s">
        <v>8684</v>
      </c>
      <c r="I2864" s="5" t="s">
        <v>2833</v>
      </c>
      <c r="N2864" s="5" t="s">
        <v>8685</v>
      </c>
      <c r="O2864" s="5">
        <v>984</v>
      </c>
      <c r="P2864" s="5">
        <v>989</v>
      </c>
      <c r="Q2864" s="5">
        <v>984</v>
      </c>
      <c r="R2864" s="5">
        <v>985</v>
      </c>
      <c r="S2864" s="5">
        <v>985</v>
      </c>
      <c r="T2864" s="5">
        <v>990</v>
      </c>
      <c r="V2864" s="5">
        <v>985</v>
      </c>
      <c r="Y2864" s="5">
        <v>102</v>
      </c>
      <c r="Z2864" s="5">
        <v>100543</v>
      </c>
      <c r="AA2864" s="5">
        <v>6</v>
      </c>
      <c r="AB2864" s="5" t="s">
        <v>85</v>
      </c>
      <c r="AC2864" s="5">
        <v>1</v>
      </c>
    </row>
    <row r="2865" spans="1:29" x14ac:dyDescent="0.3">
      <c r="A2865" s="34">
        <v>46274</v>
      </c>
      <c r="B2865" s="34">
        <v>46274</v>
      </c>
      <c r="C2865" s="5" t="s">
        <v>78</v>
      </c>
      <c r="D2865" s="5" t="s">
        <v>79</v>
      </c>
      <c r="E2865" s="5" t="s">
        <v>80</v>
      </c>
      <c r="F2865" s="5">
        <v>17039</v>
      </c>
      <c r="G2865" s="5" t="s">
        <v>8686</v>
      </c>
      <c r="H2865" s="5" t="s">
        <v>8687</v>
      </c>
      <c r="I2865" s="5" t="s">
        <v>8649</v>
      </c>
      <c r="N2865" s="5" t="s">
        <v>8688</v>
      </c>
      <c r="O2865" s="5">
        <v>985</v>
      </c>
      <c r="P2865" s="5">
        <v>985.5</v>
      </c>
      <c r="Q2865" s="5">
        <v>984.01</v>
      </c>
      <c r="R2865" s="5">
        <v>984.01</v>
      </c>
      <c r="S2865" s="5">
        <v>984.01</v>
      </c>
      <c r="T2865" s="5">
        <v>994</v>
      </c>
      <c r="V2865" s="5">
        <v>984.01</v>
      </c>
      <c r="Y2865" s="5">
        <v>240</v>
      </c>
      <c r="Z2865" s="5">
        <v>236268.85</v>
      </c>
      <c r="AA2865" s="5">
        <v>3</v>
      </c>
      <c r="AB2865" s="5" t="s">
        <v>85</v>
      </c>
      <c r="AC2865" s="5">
        <v>1</v>
      </c>
    </row>
    <row r="2866" spans="1:29" x14ac:dyDescent="0.3">
      <c r="A2866" s="34">
        <v>46274</v>
      </c>
      <c r="B2866" s="34">
        <v>46274</v>
      </c>
      <c r="C2866" s="5" t="s">
        <v>78</v>
      </c>
      <c r="D2866" s="5" t="s">
        <v>79</v>
      </c>
      <c r="E2866" s="5" t="s">
        <v>80</v>
      </c>
      <c r="F2866" s="5">
        <v>13852</v>
      </c>
      <c r="G2866" s="5" t="s">
        <v>8689</v>
      </c>
      <c r="H2866" s="5" t="s">
        <v>8690</v>
      </c>
      <c r="I2866" s="5" t="s">
        <v>8691</v>
      </c>
      <c r="N2866" s="5" t="s">
        <v>8688</v>
      </c>
      <c r="O2866" s="5">
        <v>994.99</v>
      </c>
      <c r="P2866" s="5">
        <v>995.1</v>
      </c>
      <c r="Q2866" s="5">
        <v>988</v>
      </c>
      <c r="R2866" s="5">
        <v>988</v>
      </c>
      <c r="S2866" s="5">
        <v>988</v>
      </c>
      <c r="T2866" s="5">
        <v>995.99</v>
      </c>
      <c r="V2866" s="5">
        <v>990</v>
      </c>
      <c r="Y2866" s="5">
        <v>600</v>
      </c>
      <c r="Z2866" s="5">
        <v>595595.1</v>
      </c>
      <c r="AA2866" s="5">
        <v>17</v>
      </c>
      <c r="AB2866" s="5" t="s">
        <v>85</v>
      </c>
      <c r="AC2866" s="5">
        <v>1</v>
      </c>
    </row>
    <row r="2867" spans="1:29" x14ac:dyDescent="0.3">
      <c r="A2867" s="34">
        <v>46274</v>
      </c>
      <c r="B2867" s="34">
        <v>46274</v>
      </c>
      <c r="C2867" s="5" t="s">
        <v>78</v>
      </c>
      <c r="D2867" s="5" t="s">
        <v>79</v>
      </c>
      <c r="E2867" s="5" t="s">
        <v>80</v>
      </c>
      <c r="F2867" s="5">
        <v>6200</v>
      </c>
      <c r="G2867" s="5" t="s">
        <v>8692</v>
      </c>
      <c r="H2867" s="5" t="s">
        <v>8693</v>
      </c>
      <c r="I2867" s="5" t="s">
        <v>532</v>
      </c>
      <c r="N2867" s="5" t="s">
        <v>8694</v>
      </c>
      <c r="O2867" s="5">
        <v>1072.7</v>
      </c>
      <c r="P2867" s="5">
        <v>1072.7</v>
      </c>
      <c r="Q2867" s="5">
        <v>1072.7</v>
      </c>
      <c r="R2867" s="5">
        <v>1072.7</v>
      </c>
      <c r="S2867" s="5">
        <v>1072.7</v>
      </c>
      <c r="T2867" s="5">
        <v>1072.7</v>
      </c>
      <c r="V2867" s="5">
        <v>1072.7</v>
      </c>
      <c r="Y2867" s="5">
        <v>279</v>
      </c>
      <c r="Z2867" s="5">
        <v>299283.3</v>
      </c>
      <c r="AA2867" s="5">
        <v>11</v>
      </c>
      <c r="AB2867" s="5" t="s">
        <v>85</v>
      </c>
      <c r="AC2867" s="5">
        <v>1</v>
      </c>
    </row>
    <row r="2868" spans="1:29" x14ac:dyDescent="0.3">
      <c r="A2868" s="34">
        <v>46274</v>
      </c>
      <c r="B2868" s="34">
        <v>46274</v>
      </c>
      <c r="C2868" s="5" t="s">
        <v>78</v>
      </c>
      <c r="D2868" s="5" t="s">
        <v>79</v>
      </c>
      <c r="E2868" s="5" t="s">
        <v>80</v>
      </c>
      <c r="F2868" s="5">
        <v>7671</v>
      </c>
      <c r="G2868" s="5" t="s">
        <v>8695</v>
      </c>
      <c r="H2868" s="5" t="s">
        <v>8696</v>
      </c>
      <c r="I2868" s="5" t="s">
        <v>281</v>
      </c>
      <c r="N2868" s="5" t="s">
        <v>8697</v>
      </c>
      <c r="O2868" s="5">
        <v>1027.4000000000001</v>
      </c>
      <c r="P2868" s="5">
        <v>1027.4000000000001</v>
      </c>
      <c r="Q2868" s="5">
        <v>1027.4000000000001</v>
      </c>
      <c r="R2868" s="5">
        <v>1027.4000000000001</v>
      </c>
      <c r="S2868" s="5">
        <v>1027.4000000000001</v>
      </c>
      <c r="T2868" s="5">
        <v>1020</v>
      </c>
      <c r="V2868" s="5">
        <v>1027.4000000000001</v>
      </c>
      <c r="Y2868" s="5">
        <v>7</v>
      </c>
      <c r="Z2868" s="5">
        <v>7191.8</v>
      </c>
      <c r="AA2868" s="5">
        <v>2</v>
      </c>
      <c r="AB2868" s="5" t="s">
        <v>85</v>
      </c>
      <c r="AC2868" s="5">
        <v>1</v>
      </c>
    </row>
    <row r="2869" spans="1:29" x14ac:dyDescent="0.3">
      <c r="A2869" s="34">
        <v>46274</v>
      </c>
      <c r="B2869" s="34">
        <v>46274</v>
      </c>
      <c r="C2869" s="5" t="s">
        <v>78</v>
      </c>
      <c r="D2869" s="5" t="s">
        <v>79</v>
      </c>
      <c r="E2869" s="5" t="s">
        <v>80</v>
      </c>
      <c r="F2869" s="5">
        <v>28869</v>
      </c>
      <c r="G2869" s="5" t="s">
        <v>8698</v>
      </c>
      <c r="H2869" s="5" t="s">
        <v>8699</v>
      </c>
      <c r="I2869" s="5" t="s">
        <v>2833</v>
      </c>
      <c r="N2869" s="5" t="s">
        <v>8700</v>
      </c>
      <c r="O2869" s="5">
        <v>980.5</v>
      </c>
      <c r="P2869" s="5">
        <v>980.5</v>
      </c>
      <c r="Q2869" s="5">
        <v>976.01</v>
      </c>
      <c r="R2869" s="5">
        <v>976.01</v>
      </c>
      <c r="S2869" s="5">
        <v>976.01</v>
      </c>
      <c r="T2869" s="5">
        <v>975</v>
      </c>
      <c r="V2869" s="5">
        <v>976.24</v>
      </c>
      <c r="Y2869" s="5">
        <v>248</v>
      </c>
      <c r="Z2869" s="5">
        <v>242255.78</v>
      </c>
      <c r="AA2869" s="5">
        <v>8</v>
      </c>
      <c r="AB2869" s="5" t="s">
        <v>85</v>
      </c>
      <c r="AC2869" s="5">
        <v>1</v>
      </c>
    </row>
    <row r="2870" spans="1:29" x14ac:dyDescent="0.3">
      <c r="A2870" s="34">
        <v>46274</v>
      </c>
      <c r="B2870" s="34">
        <v>46274</v>
      </c>
      <c r="C2870" s="5" t="s">
        <v>78</v>
      </c>
      <c r="D2870" s="5" t="s">
        <v>79</v>
      </c>
      <c r="E2870" s="5" t="s">
        <v>80</v>
      </c>
      <c r="F2870" s="5">
        <v>23706</v>
      </c>
      <c r="G2870" s="5" t="s">
        <v>8701</v>
      </c>
      <c r="H2870" s="5" t="s">
        <v>8702</v>
      </c>
      <c r="I2870" s="5" t="s">
        <v>250</v>
      </c>
      <c r="N2870" s="5" t="s">
        <v>8703</v>
      </c>
      <c r="O2870" s="5">
        <v>1021</v>
      </c>
      <c r="P2870" s="5">
        <v>1021</v>
      </c>
      <c r="Q2870" s="5">
        <v>1020</v>
      </c>
      <c r="R2870" s="5">
        <v>1020</v>
      </c>
      <c r="S2870" s="5">
        <v>1020</v>
      </c>
      <c r="T2870" s="5">
        <v>1020</v>
      </c>
      <c r="V2870" s="5">
        <v>995</v>
      </c>
      <c r="Y2870" s="5">
        <v>350</v>
      </c>
      <c r="Z2870" s="5">
        <v>357030</v>
      </c>
      <c r="AA2870" s="5">
        <v>7</v>
      </c>
      <c r="AB2870" s="5" t="s">
        <v>85</v>
      </c>
      <c r="AC2870" s="5">
        <v>1</v>
      </c>
    </row>
    <row r="2871" spans="1:29" x14ac:dyDescent="0.3">
      <c r="A2871" s="34">
        <v>46274</v>
      </c>
      <c r="B2871" s="34">
        <v>46274</v>
      </c>
      <c r="C2871" s="5" t="s">
        <v>78</v>
      </c>
      <c r="D2871" s="5" t="s">
        <v>79</v>
      </c>
      <c r="E2871" s="5" t="s">
        <v>80</v>
      </c>
      <c r="F2871" s="5">
        <v>13854</v>
      </c>
      <c r="G2871" s="5" t="s">
        <v>8704</v>
      </c>
      <c r="H2871" s="5" t="s">
        <v>8705</v>
      </c>
      <c r="I2871" s="5" t="s">
        <v>8706</v>
      </c>
      <c r="N2871" s="5" t="s">
        <v>8707</v>
      </c>
      <c r="O2871" s="5">
        <v>1053</v>
      </c>
      <c r="P2871" s="5">
        <v>1065</v>
      </c>
      <c r="Q2871" s="5">
        <v>1035.2</v>
      </c>
      <c r="R2871" s="5">
        <v>1041.05</v>
      </c>
      <c r="S2871" s="5">
        <v>1041.05</v>
      </c>
      <c r="T2871" s="5">
        <v>1040</v>
      </c>
      <c r="V2871" s="5">
        <v>1041.05</v>
      </c>
      <c r="Y2871" s="5">
        <v>2131</v>
      </c>
      <c r="Z2871" s="5">
        <v>2244697.5299999998</v>
      </c>
      <c r="AA2871" s="5">
        <v>18</v>
      </c>
      <c r="AB2871" s="5" t="s">
        <v>85</v>
      </c>
      <c r="AC2871" s="5">
        <v>1</v>
      </c>
    </row>
    <row r="2872" spans="1:29" x14ac:dyDescent="0.3">
      <c r="A2872" s="34">
        <v>46274</v>
      </c>
      <c r="B2872" s="34">
        <v>46274</v>
      </c>
      <c r="C2872" s="5" t="s">
        <v>78</v>
      </c>
      <c r="D2872" s="5" t="s">
        <v>79</v>
      </c>
      <c r="E2872" s="5" t="s">
        <v>80</v>
      </c>
      <c r="F2872" s="5">
        <v>23955</v>
      </c>
      <c r="G2872" s="5" t="s">
        <v>8708</v>
      </c>
      <c r="H2872" s="5" t="s">
        <v>8709</v>
      </c>
      <c r="I2872" s="5" t="s">
        <v>8710</v>
      </c>
      <c r="N2872" s="5" t="s">
        <v>8711</v>
      </c>
      <c r="O2872" s="5">
        <v>996.14</v>
      </c>
      <c r="P2872" s="5">
        <v>996.14</v>
      </c>
      <c r="Q2872" s="5">
        <v>996.14</v>
      </c>
      <c r="R2872" s="5">
        <v>996.14</v>
      </c>
      <c r="S2872" s="5">
        <v>996.14</v>
      </c>
      <c r="T2872" s="5">
        <v>990</v>
      </c>
      <c r="V2872" s="5">
        <v>996.14</v>
      </c>
      <c r="Y2872" s="5">
        <v>335</v>
      </c>
      <c r="Z2872" s="5">
        <v>333706.90000000002</v>
      </c>
      <c r="AA2872" s="5">
        <v>1</v>
      </c>
      <c r="AB2872" s="5" t="s">
        <v>85</v>
      </c>
      <c r="AC2872" s="5">
        <v>1</v>
      </c>
    </row>
    <row r="2873" spans="1:29" x14ac:dyDescent="0.3">
      <c r="A2873" s="34">
        <v>46274</v>
      </c>
      <c r="B2873" s="34">
        <v>46274</v>
      </c>
      <c r="C2873" s="5" t="s">
        <v>78</v>
      </c>
      <c r="D2873" s="5" t="s">
        <v>79</v>
      </c>
      <c r="E2873" s="5" t="s">
        <v>80</v>
      </c>
      <c r="F2873" s="5">
        <v>23708</v>
      </c>
      <c r="G2873" s="5" t="s">
        <v>8712</v>
      </c>
      <c r="H2873" s="5" t="s">
        <v>8713</v>
      </c>
      <c r="I2873" s="5" t="s">
        <v>254</v>
      </c>
      <c r="N2873" s="5" t="s">
        <v>8714</v>
      </c>
      <c r="O2873" s="5">
        <v>1050</v>
      </c>
      <c r="P2873" s="5">
        <v>1050</v>
      </c>
      <c r="Q2873" s="5">
        <v>1050</v>
      </c>
      <c r="R2873" s="5">
        <v>1050</v>
      </c>
      <c r="S2873" s="5">
        <v>1050</v>
      </c>
      <c r="T2873" s="5">
        <v>1051</v>
      </c>
      <c r="V2873" s="5">
        <v>1050</v>
      </c>
      <c r="Y2873" s="5">
        <v>25</v>
      </c>
      <c r="Z2873" s="5">
        <v>26250</v>
      </c>
      <c r="AA2873" s="5">
        <v>1</v>
      </c>
      <c r="AB2873" s="5" t="s">
        <v>85</v>
      </c>
      <c r="AC2873" s="5">
        <v>1</v>
      </c>
    </row>
    <row r="2874" spans="1:29" x14ac:dyDescent="0.3">
      <c r="A2874" s="34">
        <v>46274</v>
      </c>
      <c r="B2874" s="34">
        <v>46274</v>
      </c>
      <c r="C2874" s="5" t="s">
        <v>78</v>
      </c>
      <c r="D2874" s="5" t="s">
        <v>79</v>
      </c>
      <c r="E2874" s="5" t="s">
        <v>80</v>
      </c>
      <c r="F2874" s="5">
        <v>21000</v>
      </c>
      <c r="G2874" s="5" t="s">
        <v>8715</v>
      </c>
      <c r="H2874" s="5" t="s">
        <v>8716</v>
      </c>
      <c r="I2874" s="5" t="s">
        <v>8717</v>
      </c>
      <c r="N2874" s="5" t="s">
        <v>8718</v>
      </c>
      <c r="O2874" s="5">
        <v>1009.99</v>
      </c>
      <c r="P2874" s="5">
        <v>1009.99</v>
      </c>
      <c r="Q2874" s="5">
        <v>996.21</v>
      </c>
      <c r="R2874" s="5">
        <v>1000.12</v>
      </c>
      <c r="S2874" s="5">
        <v>999.99</v>
      </c>
      <c r="T2874" s="5">
        <v>998.99</v>
      </c>
      <c r="V2874" s="5">
        <v>1000.12</v>
      </c>
      <c r="Y2874" s="5">
        <v>202</v>
      </c>
      <c r="Z2874" s="5">
        <v>202439.08</v>
      </c>
      <c r="AA2874" s="5">
        <v>6</v>
      </c>
      <c r="AB2874" s="5" t="s">
        <v>85</v>
      </c>
      <c r="AC2874" s="5">
        <v>1</v>
      </c>
    </row>
    <row r="2875" spans="1:29" x14ac:dyDescent="0.3">
      <c r="A2875" s="34">
        <v>46274</v>
      </c>
      <c r="B2875" s="34">
        <v>46274</v>
      </c>
      <c r="C2875" s="5" t="s">
        <v>78</v>
      </c>
      <c r="D2875" s="5" t="s">
        <v>79</v>
      </c>
      <c r="E2875" s="5" t="s">
        <v>80</v>
      </c>
      <c r="F2875" s="5">
        <v>23948</v>
      </c>
      <c r="G2875" s="5" t="s">
        <v>8719</v>
      </c>
      <c r="H2875" s="5" t="s">
        <v>8720</v>
      </c>
      <c r="I2875" s="5" t="s">
        <v>8721</v>
      </c>
      <c r="N2875" s="5" t="s">
        <v>8718</v>
      </c>
      <c r="O2875" s="5">
        <v>1000</v>
      </c>
      <c r="P2875" s="5">
        <v>1000</v>
      </c>
      <c r="Q2875" s="5">
        <v>1000</v>
      </c>
      <c r="R2875" s="5">
        <v>1000</v>
      </c>
      <c r="S2875" s="5">
        <v>1000</v>
      </c>
      <c r="T2875" s="5">
        <v>1000</v>
      </c>
      <c r="V2875" s="5">
        <v>1000</v>
      </c>
      <c r="Y2875" s="5">
        <v>125</v>
      </c>
      <c r="Z2875" s="5">
        <v>125000</v>
      </c>
      <c r="AA2875" s="5">
        <v>2</v>
      </c>
      <c r="AB2875" s="5" t="s">
        <v>85</v>
      </c>
      <c r="AC2875" s="5">
        <v>1</v>
      </c>
    </row>
    <row r="2876" spans="1:29" x14ac:dyDescent="0.3">
      <c r="A2876" s="34">
        <v>46274</v>
      </c>
      <c r="B2876" s="34">
        <v>46274</v>
      </c>
      <c r="C2876" s="5" t="s">
        <v>78</v>
      </c>
      <c r="D2876" s="5" t="s">
        <v>79</v>
      </c>
      <c r="E2876" s="5" t="s">
        <v>80</v>
      </c>
      <c r="F2876" s="5">
        <v>25287</v>
      </c>
      <c r="G2876" s="5" t="s">
        <v>8722</v>
      </c>
      <c r="H2876" s="5" t="s">
        <v>8723</v>
      </c>
      <c r="I2876" s="5" t="s">
        <v>250</v>
      </c>
      <c r="N2876" s="5" t="s">
        <v>8724</v>
      </c>
      <c r="O2876" s="5">
        <v>1012.95</v>
      </c>
      <c r="P2876" s="5">
        <v>1013</v>
      </c>
      <c r="Q2876" s="5">
        <v>1012.7</v>
      </c>
      <c r="R2876" s="5">
        <v>1013</v>
      </c>
      <c r="S2876" s="5">
        <v>1013</v>
      </c>
      <c r="T2876" s="5">
        <v>1012.25</v>
      </c>
      <c r="V2876" s="5">
        <v>1013</v>
      </c>
      <c r="Y2876" s="5">
        <v>736</v>
      </c>
      <c r="Z2876" s="5">
        <v>745513.3</v>
      </c>
      <c r="AA2876" s="5">
        <v>15</v>
      </c>
      <c r="AB2876" s="5" t="s">
        <v>85</v>
      </c>
      <c r="AC2876" s="5">
        <v>1</v>
      </c>
    </row>
    <row r="2877" spans="1:29" x14ac:dyDescent="0.3">
      <c r="A2877" s="34">
        <v>46274</v>
      </c>
      <c r="B2877" s="34">
        <v>46274</v>
      </c>
      <c r="C2877" s="5" t="s">
        <v>78</v>
      </c>
      <c r="D2877" s="5" t="s">
        <v>79</v>
      </c>
      <c r="E2877" s="5" t="s">
        <v>80</v>
      </c>
      <c r="F2877" s="5">
        <v>18487</v>
      </c>
      <c r="G2877" s="5" t="s">
        <v>8725</v>
      </c>
      <c r="H2877" s="5" t="s">
        <v>8726</v>
      </c>
      <c r="I2877" s="5" t="s">
        <v>281</v>
      </c>
      <c r="N2877" s="5" t="s">
        <v>8727</v>
      </c>
      <c r="O2877" s="5">
        <v>1020</v>
      </c>
      <c r="P2877" s="5">
        <v>1020</v>
      </c>
      <c r="Q2877" s="5">
        <v>1018</v>
      </c>
      <c r="R2877" s="5">
        <v>1018</v>
      </c>
      <c r="S2877" s="5">
        <v>1018</v>
      </c>
      <c r="T2877" s="5">
        <v>1017</v>
      </c>
      <c r="V2877" s="5">
        <v>1018</v>
      </c>
      <c r="Y2877" s="5">
        <v>462</v>
      </c>
      <c r="Z2877" s="5">
        <v>471144.92</v>
      </c>
      <c r="AA2877" s="5">
        <v>15</v>
      </c>
      <c r="AB2877" s="5" t="s">
        <v>85</v>
      </c>
      <c r="AC2877" s="5">
        <v>1</v>
      </c>
    </row>
    <row r="2878" spans="1:29" x14ac:dyDescent="0.3">
      <c r="A2878" s="34">
        <v>46274</v>
      </c>
      <c r="B2878" s="34">
        <v>46274</v>
      </c>
      <c r="C2878" s="5" t="s">
        <v>78</v>
      </c>
      <c r="D2878" s="5" t="s">
        <v>79</v>
      </c>
      <c r="E2878" s="5" t="s">
        <v>80</v>
      </c>
      <c r="F2878" s="5">
        <v>23712</v>
      </c>
      <c r="G2878" s="5" t="s">
        <v>8728</v>
      </c>
      <c r="H2878" s="5" t="s">
        <v>8729</v>
      </c>
      <c r="I2878" s="5" t="s">
        <v>270</v>
      </c>
      <c r="N2878" s="5" t="s">
        <v>8730</v>
      </c>
      <c r="O2878" s="5">
        <v>1109</v>
      </c>
      <c r="P2878" s="5">
        <v>1109</v>
      </c>
      <c r="Q2878" s="5">
        <v>1109</v>
      </c>
      <c r="R2878" s="5">
        <v>1109</v>
      </c>
      <c r="S2878" s="5">
        <v>1109</v>
      </c>
      <c r="T2878" s="5">
        <v>1111.6300000000001</v>
      </c>
      <c r="V2878" s="5">
        <v>1109</v>
      </c>
      <c r="Y2878" s="5">
        <v>50</v>
      </c>
      <c r="Z2878" s="5">
        <v>55450</v>
      </c>
      <c r="AA2878" s="5">
        <v>2</v>
      </c>
      <c r="AB2878" s="5" t="s">
        <v>85</v>
      </c>
      <c r="AC2878" s="5">
        <v>1</v>
      </c>
    </row>
    <row r="2879" spans="1:29" x14ac:dyDescent="0.3">
      <c r="A2879" s="34">
        <v>46274</v>
      </c>
      <c r="B2879" s="34">
        <v>46274</v>
      </c>
      <c r="C2879" s="5" t="s">
        <v>78</v>
      </c>
      <c r="D2879" s="5" t="s">
        <v>79</v>
      </c>
      <c r="E2879" s="5" t="s">
        <v>80</v>
      </c>
      <c r="F2879" s="5">
        <v>14038</v>
      </c>
      <c r="G2879" s="5" t="s">
        <v>8731</v>
      </c>
      <c r="H2879" s="5" t="s">
        <v>8732</v>
      </c>
      <c r="I2879" s="5" t="s">
        <v>8733</v>
      </c>
      <c r="N2879" s="5" t="s">
        <v>8734</v>
      </c>
      <c r="O2879" s="5">
        <v>375.25</v>
      </c>
      <c r="P2879" s="5">
        <v>411.9</v>
      </c>
      <c r="Q2879" s="5">
        <v>375.25</v>
      </c>
      <c r="R2879" s="5">
        <v>410.57</v>
      </c>
      <c r="S2879" s="5">
        <v>410</v>
      </c>
      <c r="T2879" s="5">
        <v>410</v>
      </c>
      <c r="V2879" s="5">
        <v>410.57</v>
      </c>
      <c r="Y2879" s="5">
        <v>198</v>
      </c>
      <c r="Z2879" s="5">
        <v>79395.25</v>
      </c>
      <c r="AA2879" s="5">
        <v>8</v>
      </c>
      <c r="AB2879" s="5" t="s">
        <v>85</v>
      </c>
      <c r="AC2879" s="5">
        <v>1</v>
      </c>
    </row>
    <row r="2880" spans="1:29" x14ac:dyDescent="0.3">
      <c r="A2880" s="34">
        <v>46274</v>
      </c>
      <c r="B2880" s="34">
        <v>46274</v>
      </c>
      <c r="C2880" s="5" t="s">
        <v>78</v>
      </c>
      <c r="D2880" s="5" t="s">
        <v>79</v>
      </c>
      <c r="E2880" s="5" t="s">
        <v>80</v>
      </c>
      <c r="F2880" s="5">
        <v>19760</v>
      </c>
      <c r="G2880" s="5" t="s">
        <v>8735</v>
      </c>
      <c r="H2880" s="5" t="s">
        <v>8736</v>
      </c>
      <c r="I2880" s="5" t="s">
        <v>270</v>
      </c>
      <c r="N2880" s="5" t="s">
        <v>8737</v>
      </c>
      <c r="O2880" s="5">
        <v>358.01</v>
      </c>
      <c r="P2880" s="5">
        <v>358.01</v>
      </c>
      <c r="Q2880" s="5">
        <v>358.01</v>
      </c>
      <c r="R2880" s="5">
        <v>358.01</v>
      </c>
      <c r="S2880" s="5">
        <v>358.01</v>
      </c>
      <c r="T2880" s="5">
        <v>365.8</v>
      </c>
      <c r="V2880" s="5">
        <v>358.01</v>
      </c>
      <c r="Y2880" s="5">
        <v>100</v>
      </c>
      <c r="Z2880" s="5">
        <v>35801</v>
      </c>
      <c r="AA2880" s="5">
        <v>1</v>
      </c>
      <c r="AB2880" s="5" t="s">
        <v>85</v>
      </c>
      <c r="AC2880" s="5">
        <v>1</v>
      </c>
    </row>
    <row r="2881" spans="1:29" x14ac:dyDescent="0.3">
      <c r="A2881" s="34">
        <v>46274</v>
      </c>
      <c r="B2881" s="34">
        <v>46274</v>
      </c>
      <c r="C2881" s="5" t="s">
        <v>78</v>
      </c>
      <c r="D2881" s="5" t="s">
        <v>79</v>
      </c>
      <c r="E2881" s="5" t="s">
        <v>80</v>
      </c>
      <c r="F2881" s="5">
        <v>25296</v>
      </c>
      <c r="G2881" s="5" t="s">
        <v>8738</v>
      </c>
      <c r="H2881" s="5" t="s">
        <v>8739</v>
      </c>
      <c r="I2881" s="5" t="s">
        <v>270</v>
      </c>
      <c r="N2881" s="5" t="s">
        <v>8740</v>
      </c>
      <c r="O2881" s="5">
        <v>1059.5</v>
      </c>
      <c r="P2881" s="5">
        <v>1059.5</v>
      </c>
      <c r="Q2881" s="5">
        <v>1051.25</v>
      </c>
      <c r="R2881" s="5">
        <v>1059.49</v>
      </c>
      <c r="S2881" s="5">
        <v>1059.49</v>
      </c>
      <c r="T2881" s="5">
        <v>1059.8900000000001</v>
      </c>
      <c r="V2881" s="5">
        <v>1059.49</v>
      </c>
      <c r="Y2881" s="5">
        <v>150</v>
      </c>
      <c r="Z2881" s="5">
        <v>158099.79999999999</v>
      </c>
      <c r="AA2881" s="5">
        <v>5</v>
      </c>
      <c r="AB2881" s="5" t="s">
        <v>85</v>
      </c>
      <c r="AC2881" s="5">
        <v>1</v>
      </c>
    </row>
    <row r="2882" spans="1:29" x14ac:dyDescent="0.3">
      <c r="A2882" s="34">
        <v>46274</v>
      </c>
      <c r="B2882" s="34">
        <v>46274</v>
      </c>
      <c r="C2882" s="5" t="s">
        <v>78</v>
      </c>
      <c r="D2882" s="5" t="s">
        <v>79</v>
      </c>
      <c r="E2882" s="5" t="s">
        <v>80</v>
      </c>
      <c r="F2882" s="5">
        <v>14219</v>
      </c>
      <c r="G2882" s="5" t="s">
        <v>8741</v>
      </c>
      <c r="H2882" s="5" t="s">
        <v>8742</v>
      </c>
      <c r="I2882" s="5" t="s">
        <v>2833</v>
      </c>
      <c r="N2882" s="5" t="s">
        <v>8743</v>
      </c>
      <c r="O2882" s="5">
        <v>250.11</v>
      </c>
      <c r="P2882" s="5">
        <v>250.11</v>
      </c>
      <c r="Q2882" s="5">
        <v>250.11</v>
      </c>
      <c r="R2882" s="5">
        <v>250.11</v>
      </c>
      <c r="S2882" s="5">
        <v>250.11</v>
      </c>
      <c r="T2882" s="5">
        <v>250</v>
      </c>
      <c r="V2882" s="5">
        <v>250.11</v>
      </c>
      <c r="Y2882" s="5">
        <v>23</v>
      </c>
      <c r="Z2882" s="5">
        <v>5752.53</v>
      </c>
      <c r="AA2882" s="5">
        <v>2</v>
      </c>
      <c r="AB2882" s="5" t="s">
        <v>85</v>
      </c>
      <c r="AC2882" s="5">
        <v>1</v>
      </c>
    </row>
    <row r="2883" spans="1:29" x14ac:dyDescent="0.3">
      <c r="A2883" s="34">
        <v>46274</v>
      </c>
      <c r="B2883" s="34">
        <v>46274</v>
      </c>
      <c r="C2883" s="5" t="s">
        <v>78</v>
      </c>
      <c r="D2883" s="5" t="s">
        <v>79</v>
      </c>
      <c r="E2883" s="5" t="s">
        <v>80</v>
      </c>
      <c r="F2883" s="5">
        <v>14224</v>
      </c>
      <c r="G2883" s="5" t="s">
        <v>8744</v>
      </c>
      <c r="H2883" s="5" t="s">
        <v>8742</v>
      </c>
      <c r="I2883" s="5" t="s">
        <v>258</v>
      </c>
      <c r="N2883" s="5" t="s">
        <v>8745</v>
      </c>
      <c r="O2883" s="5">
        <v>250.1</v>
      </c>
      <c r="P2883" s="5">
        <v>250.1</v>
      </c>
      <c r="Q2883" s="5">
        <v>250</v>
      </c>
      <c r="R2883" s="5">
        <v>250</v>
      </c>
      <c r="S2883" s="5">
        <v>250</v>
      </c>
      <c r="T2883" s="5">
        <v>250</v>
      </c>
      <c r="V2883" s="5">
        <v>250</v>
      </c>
      <c r="Y2883" s="5">
        <v>21</v>
      </c>
      <c r="Z2883" s="5">
        <v>5252</v>
      </c>
      <c r="AA2883" s="5">
        <v>2</v>
      </c>
      <c r="AB2883" s="5" t="s">
        <v>85</v>
      </c>
      <c r="AC2883" s="5">
        <v>1</v>
      </c>
    </row>
    <row r="2884" spans="1:29" x14ac:dyDescent="0.3">
      <c r="A2884" s="34">
        <v>46274</v>
      </c>
      <c r="B2884" s="34">
        <v>46274</v>
      </c>
      <c r="C2884" s="5" t="s">
        <v>78</v>
      </c>
      <c r="D2884" s="5" t="s">
        <v>79</v>
      </c>
      <c r="E2884" s="5" t="s">
        <v>80</v>
      </c>
      <c r="F2884" s="5">
        <v>14228</v>
      </c>
      <c r="G2884" s="5" t="s">
        <v>8746</v>
      </c>
      <c r="H2884" s="5" t="s">
        <v>8742</v>
      </c>
      <c r="I2884" s="5" t="s">
        <v>7428</v>
      </c>
      <c r="N2884" s="5" t="s">
        <v>8747</v>
      </c>
      <c r="O2884" s="5">
        <v>250.1</v>
      </c>
      <c r="P2884" s="5">
        <v>250.1</v>
      </c>
      <c r="Q2884" s="5">
        <v>250.1</v>
      </c>
      <c r="R2884" s="5">
        <v>250.1</v>
      </c>
      <c r="S2884" s="5">
        <v>250.1</v>
      </c>
      <c r="T2884" s="5">
        <v>250</v>
      </c>
      <c r="V2884" s="5">
        <v>250.1</v>
      </c>
      <c r="Y2884" s="5">
        <v>21</v>
      </c>
      <c r="Z2884" s="5">
        <v>5252.1</v>
      </c>
      <c r="AA2884" s="5">
        <v>1</v>
      </c>
      <c r="AB2884" s="5" t="s">
        <v>85</v>
      </c>
      <c r="AC2884" s="5">
        <v>1</v>
      </c>
    </row>
    <row r="2885" spans="1:29" x14ac:dyDescent="0.3">
      <c r="A2885" s="34">
        <v>46274</v>
      </c>
      <c r="B2885" s="34">
        <v>46274</v>
      </c>
      <c r="C2885" s="5" t="s">
        <v>78</v>
      </c>
      <c r="D2885" s="5" t="s">
        <v>79</v>
      </c>
      <c r="E2885" s="5" t="s">
        <v>80</v>
      </c>
      <c r="F2885" s="5">
        <v>7975</v>
      </c>
      <c r="G2885" s="5" t="s">
        <v>8748</v>
      </c>
      <c r="H2885" s="5" t="s">
        <v>8749</v>
      </c>
      <c r="I2885" s="5" t="s">
        <v>8639</v>
      </c>
      <c r="N2885" s="5" t="s">
        <v>8750</v>
      </c>
      <c r="O2885" s="5">
        <v>1020.9</v>
      </c>
      <c r="P2885" s="5">
        <v>1020.9</v>
      </c>
      <c r="Q2885" s="5">
        <v>1018</v>
      </c>
      <c r="R2885" s="5">
        <v>1018</v>
      </c>
      <c r="S2885" s="5">
        <v>1018</v>
      </c>
      <c r="T2885" s="5">
        <v>1019.4</v>
      </c>
      <c r="V2885" s="5">
        <v>1018</v>
      </c>
      <c r="Y2885" s="5">
        <v>718</v>
      </c>
      <c r="Z2885" s="5">
        <v>732153.8</v>
      </c>
      <c r="AA2885" s="5">
        <v>5</v>
      </c>
      <c r="AB2885" s="5" t="s">
        <v>85</v>
      </c>
      <c r="AC2885" s="5">
        <v>1</v>
      </c>
    </row>
    <row r="2886" spans="1:29" x14ac:dyDescent="0.3">
      <c r="A2886" s="34">
        <v>46274</v>
      </c>
      <c r="B2886" s="34">
        <v>46274</v>
      </c>
      <c r="C2886" s="5" t="s">
        <v>78</v>
      </c>
      <c r="D2886" s="5" t="s">
        <v>79</v>
      </c>
      <c r="E2886" s="5" t="s">
        <v>80</v>
      </c>
      <c r="F2886" s="5">
        <v>7986</v>
      </c>
      <c r="G2886" s="5" t="s">
        <v>8751</v>
      </c>
      <c r="H2886" s="5" t="s">
        <v>8752</v>
      </c>
      <c r="I2886" s="5" t="s">
        <v>8691</v>
      </c>
      <c r="N2886" s="5" t="s">
        <v>8753</v>
      </c>
      <c r="O2886" s="5">
        <v>1074.9000000000001</v>
      </c>
      <c r="P2886" s="5">
        <v>1074.9000000000001</v>
      </c>
      <c r="Q2886" s="5">
        <v>1074.9000000000001</v>
      </c>
      <c r="R2886" s="5">
        <v>1074.9000000000001</v>
      </c>
      <c r="S2886" s="5">
        <v>1074.9000000000001</v>
      </c>
      <c r="T2886" s="5">
        <v>1074.5999999999999</v>
      </c>
      <c r="V2886" s="5">
        <v>1074.99</v>
      </c>
      <c r="Y2886" s="5">
        <v>5</v>
      </c>
      <c r="Z2886" s="5">
        <v>5374.5</v>
      </c>
      <c r="AA2886" s="5">
        <v>1</v>
      </c>
      <c r="AB2886" s="5" t="s">
        <v>85</v>
      </c>
      <c r="AC2886" s="5">
        <v>1</v>
      </c>
    </row>
    <row r="2887" spans="1:29" x14ac:dyDescent="0.3">
      <c r="A2887" s="34">
        <v>46274</v>
      </c>
      <c r="B2887" s="34">
        <v>46274</v>
      </c>
      <c r="C2887" s="5" t="s">
        <v>78</v>
      </c>
      <c r="D2887" s="5" t="s">
        <v>79</v>
      </c>
      <c r="E2887" s="5" t="s">
        <v>80</v>
      </c>
      <c r="F2887" s="5">
        <v>18624</v>
      </c>
      <c r="G2887" s="5" t="s">
        <v>8754</v>
      </c>
      <c r="H2887" s="5" t="s">
        <v>8755</v>
      </c>
      <c r="I2887" s="5" t="s">
        <v>262</v>
      </c>
      <c r="N2887" s="5" t="s">
        <v>8756</v>
      </c>
      <c r="O2887" s="5">
        <v>1000.01</v>
      </c>
      <c r="P2887" s="5">
        <v>1000.01</v>
      </c>
      <c r="Q2887" s="5">
        <v>1000.01</v>
      </c>
      <c r="R2887" s="5">
        <v>1000.01</v>
      </c>
      <c r="S2887" s="5">
        <v>1000.01</v>
      </c>
      <c r="T2887" s="5">
        <v>1001</v>
      </c>
      <c r="V2887" s="5">
        <v>1000.01</v>
      </c>
      <c r="Y2887" s="5">
        <v>28</v>
      </c>
      <c r="Z2887" s="5">
        <v>28000.28</v>
      </c>
      <c r="AA2887" s="5">
        <v>2</v>
      </c>
      <c r="AB2887" s="5" t="s">
        <v>85</v>
      </c>
      <c r="AC2887" s="5">
        <v>1</v>
      </c>
    </row>
    <row r="2888" spans="1:29" x14ac:dyDescent="0.3">
      <c r="A2888" s="34">
        <v>46274</v>
      </c>
      <c r="B2888" s="34">
        <v>46274</v>
      </c>
      <c r="C2888" s="5" t="s">
        <v>78</v>
      </c>
      <c r="D2888" s="5" t="s">
        <v>79</v>
      </c>
      <c r="E2888" s="5" t="s">
        <v>80</v>
      </c>
      <c r="F2888" s="5">
        <v>17159</v>
      </c>
      <c r="G2888" s="5" t="s">
        <v>8757</v>
      </c>
      <c r="H2888" s="5" t="s">
        <v>8758</v>
      </c>
      <c r="I2888" s="5" t="s">
        <v>8759</v>
      </c>
      <c r="N2888" s="5" t="s">
        <v>8760</v>
      </c>
      <c r="O2888" s="5">
        <v>1027.99</v>
      </c>
      <c r="P2888" s="5">
        <v>1028</v>
      </c>
      <c r="Q2888" s="5">
        <v>1024.9000000000001</v>
      </c>
      <c r="R2888" s="5">
        <v>1028</v>
      </c>
      <c r="S2888" s="5">
        <v>1028</v>
      </c>
      <c r="T2888" s="5">
        <v>1010</v>
      </c>
      <c r="V2888" s="5">
        <v>1028</v>
      </c>
      <c r="Y2888" s="5">
        <v>3</v>
      </c>
      <c r="Z2888" s="5">
        <v>3080.89</v>
      </c>
      <c r="AA2888" s="5">
        <v>3</v>
      </c>
      <c r="AB2888" s="5" t="s">
        <v>85</v>
      </c>
      <c r="AC2888" s="5">
        <v>1</v>
      </c>
    </row>
    <row r="2889" spans="1:29" x14ac:dyDescent="0.3">
      <c r="A2889" s="34">
        <v>46274</v>
      </c>
      <c r="B2889" s="34">
        <v>46274</v>
      </c>
      <c r="C2889" s="5" t="s">
        <v>78</v>
      </c>
      <c r="D2889" s="5" t="s">
        <v>79</v>
      </c>
      <c r="E2889" s="5" t="s">
        <v>80</v>
      </c>
      <c r="F2889" s="5">
        <v>18626</v>
      </c>
      <c r="G2889" s="5" t="s">
        <v>8761</v>
      </c>
      <c r="H2889" s="5" t="s">
        <v>8762</v>
      </c>
      <c r="I2889" s="5" t="s">
        <v>266</v>
      </c>
      <c r="N2889" s="5" t="s">
        <v>8763</v>
      </c>
      <c r="O2889" s="5">
        <v>1080.5</v>
      </c>
      <c r="P2889" s="5">
        <v>1080.5</v>
      </c>
      <c r="Q2889" s="5">
        <v>1080.5</v>
      </c>
      <c r="R2889" s="5">
        <v>1080.5</v>
      </c>
      <c r="S2889" s="5">
        <v>1080.5</v>
      </c>
      <c r="T2889" s="5">
        <v>1080.5</v>
      </c>
      <c r="V2889" s="5">
        <v>1079.75</v>
      </c>
      <c r="Y2889" s="5">
        <v>5</v>
      </c>
      <c r="Z2889" s="5">
        <v>5402.5</v>
      </c>
      <c r="AA2889" s="5">
        <v>1</v>
      </c>
      <c r="AB2889" s="5" t="s">
        <v>85</v>
      </c>
      <c r="AC2889" s="5">
        <v>1</v>
      </c>
    </row>
    <row r="2890" spans="1:29" x14ac:dyDescent="0.3">
      <c r="A2890" s="34">
        <v>46274</v>
      </c>
      <c r="B2890" s="34">
        <v>46274</v>
      </c>
      <c r="C2890" s="5" t="s">
        <v>78</v>
      </c>
      <c r="D2890" s="5" t="s">
        <v>79</v>
      </c>
      <c r="E2890" s="5" t="s">
        <v>80</v>
      </c>
      <c r="F2890" s="5">
        <v>18628</v>
      </c>
      <c r="G2890" s="5" t="s">
        <v>8764</v>
      </c>
      <c r="H2890" s="5" t="s">
        <v>8765</v>
      </c>
      <c r="I2890" s="5" t="s">
        <v>1824</v>
      </c>
      <c r="N2890" s="5" t="s">
        <v>8766</v>
      </c>
      <c r="O2890" s="5">
        <v>1084.25</v>
      </c>
      <c r="P2890" s="5">
        <v>1084.25</v>
      </c>
      <c r="Q2890" s="5">
        <v>1081</v>
      </c>
      <c r="R2890" s="5">
        <v>1081.01</v>
      </c>
      <c r="S2890" s="5">
        <v>1081</v>
      </c>
      <c r="T2890" s="5">
        <v>1081.7</v>
      </c>
      <c r="V2890" s="5">
        <v>1081.01</v>
      </c>
      <c r="Y2890" s="5">
        <v>341</v>
      </c>
      <c r="Z2890" s="5">
        <v>368628.46</v>
      </c>
      <c r="AA2890" s="5">
        <v>11</v>
      </c>
      <c r="AB2890" s="5" t="s">
        <v>85</v>
      </c>
      <c r="AC2890" s="5">
        <v>1</v>
      </c>
    </row>
    <row r="2891" spans="1:29" x14ac:dyDescent="0.3">
      <c r="A2891" s="34">
        <v>46274</v>
      </c>
      <c r="B2891" s="34">
        <v>46274</v>
      </c>
      <c r="C2891" s="5" t="s">
        <v>78</v>
      </c>
      <c r="D2891" s="5" t="s">
        <v>79</v>
      </c>
      <c r="E2891" s="5" t="s">
        <v>80</v>
      </c>
      <c r="F2891" s="5">
        <v>498</v>
      </c>
      <c r="G2891" s="5" t="s">
        <v>8767</v>
      </c>
      <c r="H2891" s="5" t="s">
        <v>8768</v>
      </c>
      <c r="I2891" s="5" t="s">
        <v>8769</v>
      </c>
      <c r="N2891" s="5" t="s">
        <v>8770</v>
      </c>
      <c r="O2891" s="5">
        <v>1035</v>
      </c>
      <c r="P2891" s="5">
        <v>1035</v>
      </c>
      <c r="Q2891" s="5">
        <v>1035</v>
      </c>
      <c r="R2891" s="5">
        <v>1035</v>
      </c>
      <c r="S2891" s="5">
        <v>1035</v>
      </c>
      <c r="T2891" s="5">
        <v>1025.01</v>
      </c>
      <c r="V2891" s="5">
        <v>1026.1099999999999</v>
      </c>
      <c r="Y2891" s="5">
        <v>25</v>
      </c>
      <c r="Z2891" s="5">
        <v>25875</v>
      </c>
      <c r="AA2891" s="5">
        <v>1</v>
      </c>
      <c r="AB2891" s="5" t="s">
        <v>85</v>
      </c>
      <c r="AC2891" s="5">
        <v>1</v>
      </c>
    </row>
    <row r="2892" spans="1:29" x14ac:dyDescent="0.3">
      <c r="A2892" s="34">
        <v>46274</v>
      </c>
      <c r="B2892" s="34">
        <v>46274</v>
      </c>
      <c r="C2892" s="5" t="s">
        <v>78</v>
      </c>
      <c r="D2892" s="5" t="s">
        <v>79</v>
      </c>
      <c r="E2892" s="5" t="s">
        <v>80</v>
      </c>
      <c r="F2892" s="5">
        <v>6149</v>
      </c>
      <c r="G2892" s="5" t="s">
        <v>8771</v>
      </c>
      <c r="H2892" s="5" t="s">
        <v>8772</v>
      </c>
      <c r="I2892" s="5" t="s">
        <v>8773</v>
      </c>
      <c r="N2892" s="5" t="s">
        <v>8774</v>
      </c>
      <c r="O2892" s="5">
        <v>1045</v>
      </c>
      <c r="P2892" s="5">
        <v>1050</v>
      </c>
      <c r="Q2892" s="5">
        <v>1045</v>
      </c>
      <c r="R2892" s="5">
        <v>1049</v>
      </c>
      <c r="S2892" s="5">
        <v>1049</v>
      </c>
      <c r="T2892" s="5">
        <v>1045</v>
      </c>
      <c r="V2892" s="5">
        <v>1049</v>
      </c>
      <c r="Y2892" s="5">
        <v>170</v>
      </c>
      <c r="Z2892" s="5">
        <v>178155</v>
      </c>
      <c r="AA2892" s="5">
        <v>4</v>
      </c>
      <c r="AB2892" s="5" t="s">
        <v>85</v>
      </c>
      <c r="AC2892" s="5">
        <v>1</v>
      </c>
    </row>
    <row r="2893" spans="1:29" x14ac:dyDescent="0.3">
      <c r="A2893" s="34">
        <v>46274</v>
      </c>
      <c r="B2893" s="34">
        <v>46274</v>
      </c>
      <c r="C2893" s="5" t="s">
        <v>78</v>
      </c>
      <c r="D2893" s="5" t="s">
        <v>79</v>
      </c>
      <c r="E2893" s="5" t="s">
        <v>80</v>
      </c>
      <c r="F2893" s="5">
        <v>8625</v>
      </c>
      <c r="G2893" s="5" t="s">
        <v>8775</v>
      </c>
      <c r="H2893" s="5" t="s">
        <v>8776</v>
      </c>
      <c r="I2893" s="5" t="s">
        <v>8777</v>
      </c>
      <c r="N2893" s="5" t="s">
        <v>8774</v>
      </c>
      <c r="O2893" s="5">
        <v>1042</v>
      </c>
      <c r="P2893" s="5">
        <v>1042</v>
      </c>
      <c r="Q2893" s="5">
        <v>1040</v>
      </c>
      <c r="R2893" s="5">
        <v>1040</v>
      </c>
      <c r="S2893" s="5">
        <v>1040</v>
      </c>
      <c r="T2893" s="5">
        <v>1042</v>
      </c>
      <c r="V2893" s="5">
        <v>1040</v>
      </c>
      <c r="Y2893" s="5">
        <v>300</v>
      </c>
      <c r="Z2893" s="5">
        <v>312108</v>
      </c>
      <c r="AA2893" s="5">
        <v>5</v>
      </c>
      <c r="AB2893" s="5" t="s">
        <v>85</v>
      </c>
      <c r="AC2893" s="5">
        <v>1</v>
      </c>
    </row>
    <row r="2894" spans="1:29" x14ac:dyDescent="0.3">
      <c r="A2894" s="34">
        <v>46274</v>
      </c>
      <c r="B2894" s="34">
        <v>46274</v>
      </c>
      <c r="C2894" s="5" t="s">
        <v>78</v>
      </c>
      <c r="D2894" s="5" t="s">
        <v>79</v>
      </c>
      <c r="E2894" s="5" t="s">
        <v>80</v>
      </c>
      <c r="F2894" s="5">
        <v>1001</v>
      </c>
      <c r="G2894" s="5" t="s">
        <v>8778</v>
      </c>
      <c r="H2894" s="5" t="s">
        <v>8779</v>
      </c>
      <c r="I2894" s="5" t="s">
        <v>8780</v>
      </c>
      <c r="N2894" s="5" t="s">
        <v>8781</v>
      </c>
      <c r="O2894" s="5">
        <v>1048.99</v>
      </c>
      <c r="P2894" s="5">
        <v>1049</v>
      </c>
      <c r="Q2894" s="5">
        <v>1040</v>
      </c>
      <c r="R2894" s="5">
        <v>1040</v>
      </c>
      <c r="S2894" s="5">
        <v>1040</v>
      </c>
      <c r="T2894" s="5">
        <v>1040</v>
      </c>
      <c r="V2894" s="5">
        <v>1040</v>
      </c>
      <c r="Y2894" s="5">
        <v>320</v>
      </c>
      <c r="Z2894" s="5">
        <v>333700.8</v>
      </c>
      <c r="AA2894" s="5">
        <v>4</v>
      </c>
      <c r="AB2894" s="5" t="s">
        <v>85</v>
      </c>
      <c r="AC2894" s="5">
        <v>1</v>
      </c>
    </row>
    <row r="2895" spans="1:29" x14ac:dyDescent="0.3">
      <c r="A2895" s="34">
        <v>46274</v>
      </c>
      <c r="B2895" s="34">
        <v>46274</v>
      </c>
      <c r="C2895" s="5" t="s">
        <v>78</v>
      </c>
      <c r="D2895" s="5" t="s">
        <v>79</v>
      </c>
      <c r="E2895" s="5" t="s">
        <v>80</v>
      </c>
      <c r="F2895" s="5">
        <v>4288</v>
      </c>
      <c r="G2895" s="5" t="s">
        <v>8782</v>
      </c>
      <c r="H2895" s="5" t="s">
        <v>8783</v>
      </c>
      <c r="I2895" s="5" t="s">
        <v>8678</v>
      </c>
      <c r="N2895" s="5" t="s">
        <v>8784</v>
      </c>
      <c r="O2895" s="5">
        <v>1006</v>
      </c>
      <c r="P2895" s="5">
        <v>1009</v>
      </c>
      <c r="Q2895" s="5">
        <v>1006</v>
      </c>
      <c r="R2895" s="5">
        <v>1009</v>
      </c>
      <c r="S2895" s="5">
        <v>1009</v>
      </c>
      <c r="T2895" s="5">
        <v>1006</v>
      </c>
      <c r="V2895" s="5">
        <v>1009</v>
      </c>
      <c r="Y2895" s="5">
        <v>100</v>
      </c>
      <c r="Z2895" s="5">
        <v>100815</v>
      </c>
      <c r="AA2895" s="5">
        <v>4</v>
      </c>
      <c r="AB2895" s="5" t="s">
        <v>85</v>
      </c>
      <c r="AC2895" s="5">
        <v>1</v>
      </c>
    </row>
    <row r="2896" spans="1:29" x14ac:dyDescent="0.3">
      <c r="A2896" s="34">
        <v>46274</v>
      </c>
      <c r="B2896" s="34">
        <v>46274</v>
      </c>
      <c r="C2896" s="5" t="s">
        <v>78</v>
      </c>
      <c r="D2896" s="5" t="s">
        <v>79</v>
      </c>
      <c r="E2896" s="5" t="s">
        <v>80</v>
      </c>
      <c r="F2896" s="5">
        <v>8642</v>
      </c>
      <c r="G2896" s="5" t="s">
        <v>8785</v>
      </c>
      <c r="H2896" s="5" t="s">
        <v>8786</v>
      </c>
      <c r="I2896" s="5" t="s">
        <v>8787</v>
      </c>
      <c r="N2896" s="5" t="s">
        <v>8788</v>
      </c>
      <c r="O2896" s="5">
        <v>1125</v>
      </c>
      <c r="P2896" s="5">
        <v>1125</v>
      </c>
      <c r="Q2896" s="5">
        <v>1111.1500000000001</v>
      </c>
      <c r="R2896" s="5">
        <v>1111.1500000000001</v>
      </c>
      <c r="S2896" s="5">
        <v>1111.1500000000001</v>
      </c>
      <c r="T2896" s="5">
        <v>1032.0999999999999</v>
      </c>
      <c r="V2896" s="5">
        <v>1111.1500000000001</v>
      </c>
      <c r="Y2896" s="5">
        <v>30</v>
      </c>
      <c r="Z2896" s="5">
        <v>33542.25</v>
      </c>
      <c r="AA2896" s="5">
        <v>2</v>
      </c>
      <c r="AB2896" s="5" t="s">
        <v>85</v>
      </c>
      <c r="AC2896" s="5">
        <v>1</v>
      </c>
    </row>
    <row r="2897" spans="1:29" x14ac:dyDescent="0.3">
      <c r="A2897" s="34">
        <v>46274</v>
      </c>
      <c r="B2897" s="34">
        <v>46274</v>
      </c>
      <c r="C2897" s="5" t="s">
        <v>78</v>
      </c>
      <c r="D2897" s="5" t="s">
        <v>79</v>
      </c>
      <c r="E2897" s="5" t="s">
        <v>80</v>
      </c>
      <c r="F2897" s="5">
        <v>4292</v>
      </c>
      <c r="G2897" s="5" t="s">
        <v>8789</v>
      </c>
      <c r="H2897" s="5" t="s">
        <v>8790</v>
      </c>
      <c r="I2897" s="5" t="s">
        <v>8791</v>
      </c>
      <c r="N2897" s="5" t="s">
        <v>8792</v>
      </c>
      <c r="O2897" s="5">
        <v>906</v>
      </c>
      <c r="P2897" s="5">
        <v>1050</v>
      </c>
      <c r="Q2897" s="5">
        <v>906</v>
      </c>
      <c r="R2897" s="5">
        <v>1004</v>
      </c>
      <c r="S2897" s="5">
        <v>1004</v>
      </c>
      <c r="T2897" s="5">
        <v>1004.38</v>
      </c>
      <c r="V2897" s="5">
        <v>1004</v>
      </c>
      <c r="Y2897" s="5">
        <v>713</v>
      </c>
      <c r="Z2897" s="5">
        <v>705316</v>
      </c>
      <c r="AA2897" s="5">
        <v>21</v>
      </c>
      <c r="AB2897" s="5" t="s">
        <v>85</v>
      </c>
      <c r="AC2897" s="5">
        <v>1</v>
      </c>
    </row>
    <row r="2898" spans="1:29" x14ac:dyDescent="0.3">
      <c r="A2898" s="34">
        <v>46274</v>
      </c>
      <c r="B2898" s="34">
        <v>46274</v>
      </c>
      <c r="C2898" s="5" t="s">
        <v>78</v>
      </c>
      <c r="D2898" s="5" t="s">
        <v>79</v>
      </c>
      <c r="E2898" s="5" t="s">
        <v>80</v>
      </c>
      <c r="F2898" s="5">
        <v>18630</v>
      </c>
      <c r="G2898" s="5" t="s">
        <v>8793</v>
      </c>
      <c r="H2898" s="5" t="s">
        <v>8794</v>
      </c>
      <c r="I2898" s="5" t="s">
        <v>8795</v>
      </c>
      <c r="N2898" s="5" t="s">
        <v>8796</v>
      </c>
      <c r="O2898" s="5">
        <v>2345</v>
      </c>
      <c r="P2898" s="5">
        <v>2349.8000000000002</v>
      </c>
      <c r="Q2898" s="5">
        <v>2345</v>
      </c>
      <c r="R2898" s="5">
        <v>2349.8000000000002</v>
      </c>
      <c r="S2898" s="5">
        <v>2349.8000000000002</v>
      </c>
      <c r="T2898" s="5">
        <v>2361</v>
      </c>
      <c r="V2898" s="5">
        <v>2349.8000000000002</v>
      </c>
      <c r="Y2898" s="5">
        <v>22</v>
      </c>
      <c r="Z2898" s="5">
        <v>51599.6</v>
      </c>
      <c r="AA2898" s="5">
        <v>2</v>
      </c>
      <c r="AB2898" s="5" t="s">
        <v>85</v>
      </c>
      <c r="AC2898" s="5">
        <v>1</v>
      </c>
    </row>
    <row r="2899" spans="1:29" x14ac:dyDescent="0.3">
      <c r="A2899" s="34">
        <v>46274</v>
      </c>
      <c r="B2899" s="34">
        <v>46274</v>
      </c>
      <c r="C2899" s="5" t="s">
        <v>78</v>
      </c>
      <c r="D2899" s="5" t="s">
        <v>79</v>
      </c>
      <c r="E2899" s="5" t="s">
        <v>80</v>
      </c>
      <c r="F2899" s="5">
        <v>19496</v>
      </c>
      <c r="G2899" s="5" t="s">
        <v>8797</v>
      </c>
      <c r="H2899" s="5" t="s">
        <v>8798</v>
      </c>
      <c r="I2899" s="5" t="s">
        <v>212</v>
      </c>
      <c r="N2899" s="5" t="s">
        <v>8799</v>
      </c>
      <c r="O2899" s="5">
        <v>148.4</v>
      </c>
      <c r="P2899" s="5">
        <v>149.44999999999999</v>
      </c>
      <c r="Q2899" s="5">
        <v>138.4</v>
      </c>
      <c r="R2899" s="5">
        <v>141.47</v>
      </c>
      <c r="S2899" s="5">
        <v>140</v>
      </c>
      <c r="T2899" s="5">
        <v>139.33000000000001</v>
      </c>
      <c r="V2899" s="5">
        <v>141.47</v>
      </c>
      <c r="Y2899" s="5">
        <v>4964</v>
      </c>
      <c r="Z2899" s="5">
        <v>717952.65</v>
      </c>
      <c r="AA2899" s="5">
        <v>241</v>
      </c>
      <c r="AB2899" s="5" t="s">
        <v>85</v>
      </c>
      <c r="AC2899" s="5">
        <v>1</v>
      </c>
    </row>
    <row r="2900" spans="1:29" x14ac:dyDescent="0.3">
      <c r="A2900" s="34">
        <v>46274</v>
      </c>
      <c r="B2900" s="34">
        <v>46274</v>
      </c>
      <c r="C2900" s="5" t="s">
        <v>78</v>
      </c>
      <c r="D2900" s="5" t="s">
        <v>79</v>
      </c>
      <c r="E2900" s="5" t="s">
        <v>80</v>
      </c>
      <c r="F2900" s="5">
        <v>11058</v>
      </c>
      <c r="G2900" s="5" t="s">
        <v>8800</v>
      </c>
      <c r="H2900" s="5" t="s">
        <v>8801</v>
      </c>
      <c r="I2900" s="5" t="s">
        <v>212</v>
      </c>
      <c r="N2900" s="5" t="s">
        <v>8802</v>
      </c>
      <c r="O2900" s="5">
        <v>17.399999999999999</v>
      </c>
      <c r="P2900" s="5">
        <v>17.399999999999999</v>
      </c>
      <c r="Q2900" s="5">
        <v>16.5</v>
      </c>
      <c r="R2900" s="5">
        <v>16.96</v>
      </c>
      <c r="S2900" s="5">
        <v>17.170000000000002</v>
      </c>
      <c r="T2900" s="5">
        <v>16.989999999999998</v>
      </c>
      <c r="V2900" s="5">
        <v>16.98</v>
      </c>
      <c r="Y2900" s="5">
        <v>12897</v>
      </c>
      <c r="Z2900" s="5">
        <v>219486.33</v>
      </c>
      <c r="AA2900" s="5">
        <v>111</v>
      </c>
      <c r="AB2900" s="5" t="s">
        <v>85</v>
      </c>
      <c r="AC2900" s="5">
        <v>1</v>
      </c>
    </row>
    <row r="2901" spans="1:29" x14ac:dyDescent="0.3">
      <c r="A2901" s="34">
        <v>46274</v>
      </c>
      <c r="B2901" s="34">
        <v>46274</v>
      </c>
      <c r="C2901" s="5" t="s">
        <v>78</v>
      </c>
      <c r="D2901" s="5" t="s">
        <v>79</v>
      </c>
      <c r="E2901" s="5" t="s">
        <v>80</v>
      </c>
      <c r="F2901" s="5">
        <v>761153</v>
      </c>
      <c r="G2901" s="5" t="s">
        <v>8803</v>
      </c>
      <c r="H2901" s="5" t="s">
        <v>8804</v>
      </c>
      <c r="I2901" s="5" t="s">
        <v>212</v>
      </c>
      <c r="N2901" s="5" t="s">
        <v>8805</v>
      </c>
      <c r="O2901" s="5">
        <v>2852.6</v>
      </c>
      <c r="P2901" s="5">
        <v>2869.8</v>
      </c>
      <c r="Q2901" s="5">
        <v>2813.5</v>
      </c>
      <c r="R2901" s="5">
        <v>2850.4</v>
      </c>
      <c r="S2901" s="5">
        <v>2850</v>
      </c>
      <c r="T2901" s="5">
        <v>2867.5</v>
      </c>
      <c r="V2901" s="5">
        <v>2850.23</v>
      </c>
      <c r="Y2901" s="5">
        <v>80637</v>
      </c>
      <c r="Z2901" s="5">
        <v>229376730.19999999</v>
      </c>
      <c r="AA2901" s="5">
        <v>10730</v>
      </c>
      <c r="AB2901" s="5" t="s">
        <v>85</v>
      </c>
      <c r="AC2901" s="5">
        <v>1</v>
      </c>
    </row>
    <row r="2902" spans="1:29" x14ac:dyDescent="0.3">
      <c r="A2902" s="34">
        <v>46274</v>
      </c>
      <c r="B2902" s="34">
        <v>46274</v>
      </c>
      <c r="C2902" s="5" t="s">
        <v>78</v>
      </c>
      <c r="D2902" s="5" t="s">
        <v>79</v>
      </c>
      <c r="E2902" s="5" t="s">
        <v>80</v>
      </c>
      <c r="F2902" s="5">
        <v>7091</v>
      </c>
      <c r="G2902" s="5" t="s">
        <v>8806</v>
      </c>
      <c r="H2902" s="5" t="s">
        <v>8807</v>
      </c>
      <c r="I2902" s="5" t="s">
        <v>212</v>
      </c>
      <c r="N2902" s="5" t="s">
        <v>8808</v>
      </c>
      <c r="O2902" s="5">
        <v>656.4</v>
      </c>
      <c r="P2902" s="5">
        <v>657</v>
      </c>
      <c r="Q2902" s="5">
        <v>645.20000000000005</v>
      </c>
      <c r="R2902" s="5">
        <v>645.6</v>
      </c>
      <c r="S2902" s="5">
        <v>645.20000000000005</v>
      </c>
      <c r="T2902" s="5">
        <v>651.35</v>
      </c>
      <c r="V2902" s="5">
        <v>645.69000000000005</v>
      </c>
      <c r="Y2902" s="5">
        <v>2864</v>
      </c>
      <c r="Z2902" s="5">
        <v>1859037.15</v>
      </c>
      <c r="AA2902" s="5">
        <v>361</v>
      </c>
      <c r="AB2902" s="5" t="s">
        <v>85</v>
      </c>
      <c r="AC2902" s="5">
        <v>1</v>
      </c>
    </row>
    <row r="2903" spans="1:29" x14ac:dyDescent="0.3">
      <c r="A2903" s="34">
        <v>46274</v>
      </c>
      <c r="B2903" s="34">
        <v>46274</v>
      </c>
      <c r="C2903" s="5" t="s">
        <v>78</v>
      </c>
      <c r="D2903" s="5" t="s">
        <v>79</v>
      </c>
      <c r="E2903" s="5" t="s">
        <v>80</v>
      </c>
      <c r="F2903" s="5">
        <v>6262</v>
      </c>
      <c r="G2903" s="5" t="s">
        <v>8809</v>
      </c>
      <c r="H2903" s="5" t="s">
        <v>8810</v>
      </c>
      <c r="I2903" s="5" t="s">
        <v>212</v>
      </c>
      <c r="N2903" s="5" t="s">
        <v>8811</v>
      </c>
      <c r="O2903" s="5">
        <v>28.81</v>
      </c>
      <c r="P2903" s="5">
        <v>31.89</v>
      </c>
      <c r="Q2903" s="5">
        <v>27.91</v>
      </c>
      <c r="R2903" s="5">
        <v>29.25</v>
      </c>
      <c r="S2903" s="5">
        <v>29.34</v>
      </c>
      <c r="T2903" s="5">
        <v>28.81</v>
      </c>
      <c r="V2903" s="5">
        <v>29.37</v>
      </c>
      <c r="Y2903" s="5">
        <v>335077</v>
      </c>
      <c r="Z2903" s="5">
        <v>9961852.1600000001</v>
      </c>
      <c r="AA2903" s="5">
        <v>1293</v>
      </c>
      <c r="AB2903" s="5" t="s">
        <v>85</v>
      </c>
      <c r="AC2903" s="5">
        <v>1</v>
      </c>
    </row>
    <row r="2904" spans="1:29" x14ac:dyDescent="0.3">
      <c r="A2904" s="34">
        <v>46274</v>
      </c>
      <c r="B2904" s="34">
        <v>46274</v>
      </c>
      <c r="C2904" s="5" t="s">
        <v>78</v>
      </c>
      <c r="D2904" s="5" t="s">
        <v>79</v>
      </c>
      <c r="E2904" s="5" t="s">
        <v>80</v>
      </c>
      <c r="F2904" s="5">
        <v>757982</v>
      </c>
      <c r="G2904" s="5" t="s">
        <v>8812</v>
      </c>
      <c r="H2904" s="5" t="s">
        <v>8813</v>
      </c>
      <c r="I2904" s="5" t="s">
        <v>313</v>
      </c>
      <c r="N2904" s="5" t="s">
        <v>8814</v>
      </c>
      <c r="O2904" s="5">
        <v>70.599999999999994</v>
      </c>
      <c r="P2904" s="5">
        <v>70.599999999999994</v>
      </c>
      <c r="Q2904" s="5">
        <v>67.599999999999994</v>
      </c>
      <c r="R2904" s="5">
        <v>67.599999999999994</v>
      </c>
      <c r="S2904" s="5">
        <v>67.599999999999994</v>
      </c>
      <c r="T2904" s="5">
        <v>67.5</v>
      </c>
      <c r="V2904" s="5">
        <v>67.599999999999994</v>
      </c>
      <c r="Y2904" s="5">
        <v>3200</v>
      </c>
      <c r="Z2904" s="5">
        <v>221120</v>
      </c>
      <c r="AA2904" s="5">
        <v>2</v>
      </c>
      <c r="AB2904" s="5" t="s">
        <v>85</v>
      </c>
      <c r="AC2904" s="5">
        <v>1600</v>
      </c>
    </row>
    <row r="2905" spans="1:29" x14ac:dyDescent="0.3">
      <c r="A2905" s="34">
        <v>46274</v>
      </c>
      <c r="B2905" s="34">
        <v>46274</v>
      </c>
      <c r="C2905" s="5" t="s">
        <v>78</v>
      </c>
      <c r="D2905" s="5" t="s">
        <v>79</v>
      </c>
      <c r="E2905" s="5" t="s">
        <v>80</v>
      </c>
      <c r="F2905" s="5">
        <v>11961</v>
      </c>
      <c r="G2905" s="5" t="s">
        <v>8815</v>
      </c>
      <c r="H2905" s="5" t="s">
        <v>8816</v>
      </c>
      <c r="I2905" s="5" t="s">
        <v>212</v>
      </c>
      <c r="N2905" s="5" t="s">
        <v>8817</v>
      </c>
      <c r="O2905" s="5">
        <v>273.45</v>
      </c>
      <c r="P2905" s="5">
        <v>285</v>
      </c>
      <c r="Q2905" s="5">
        <v>273.39999999999998</v>
      </c>
      <c r="R2905" s="5">
        <v>279.85000000000002</v>
      </c>
      <c r="S2905" s="5">
        <v>279.85000000000002</v>
      </c>
      <c r="T2905" s="5">
        <v>285.95</v>
      </c>
      <c r="V2905" s="5">
        <v>279.85000000000002</v>
      </c>
      <c r="Y2905" s="5">
        <v>512</v>
      </c>
      <c r="Z2905" s="5">
        <v>142045.9</v>
      </c>
      <c r="AA2905" s="5">
        <v>60</v>
      </c>
      <c r="AB2905" s="5" t="s">
        <v>85</v>
      </c>
      <c r="AC2905" s="5">
        <v>1</v>
      </c>
    </row>
    <row r="2906" spans="1:29" x14ac:dyDescent="0.3">
      <c r="A2906" s="34">
        <v>46274</v>
      </c>
      <c r="B2906" s="34">
        <v>46274</v>
      </c>
      <c r="C2906" s="5" t="s">
        <v>78</v>
      </c>
      <c r="D2906" s="5" t="s">
        <v>79</v>
      </c>
      <c r="E2906" s="5" t="s">
        <v>80</v>
      </c>
      <c r="F2906" s="5">
        <v>17271</v>
      </c>
      <c r="G2906" s="5" t="s">
        <v>8818</v>
      </c>
      <c r="H2906" s="5" t="s">
        <v>8819</v>
      </c>
      <c r="I2906" s="5" t="s">
        <v>212</v>
      </c>
      <c r="N2906" s="5" t="s">
        <v>8820</v>
      </c>
      <c r="O2906" s="5">
        <v>360</v>
      </c>
      <c r="P2906" s="5">
        <v>363.7</v>
      </c>
      <c r="Q2906" s="5">
        <v>354.45</v>
      </c>
      <c r="R2906" s="5">
        <v>355.8</v>
      </c>
      <c r="S2906" s="5">
        <v>355</v>
      </c>
      <c r="T2906" s="5">
        <v>361.85</v>
      </c>
      <c r="V2906" s="5">
        <v>355.79</v>
      </c>
      <c r="Y2906" s="5">
        <v>534010</v>
      </c>
      <c r="Z2906" s="5">
        <v>191467801.34999999</v>
      </c>
      <c r="AA2906" s="5">
        <v>13838</v>
      </c>
      <c r="AB2906" s="5" t="s">
        <v>85</v>
      </c>
      <c r="AC2906" s="5">
        <v>1</v>
      </c>
    </row>
    <row r="2907" spans="1:29" x14ac:dyDescent="0.3">
      <c r="A2907" s="34">
        <v>46274</v>
      </c>
      <c r="B2907" s="34">
        <v>46274</v>
      </c>
      <c r="C2907" s="5" t="s">
        <v>78</v>
      </c>
      <c r="D2907" s="5" t="s">
        <v>79</v>
      </c>
      <c r="E2907" s="5" t="s">
        <v>80</v>
      </c>
      <c r="F2907" s="5">
        <v>28888</v>
      </c>
      <c r="G2907" s="5" t="s">
        <v>8821</v>
      </c>
      <c r="H2907" s="5" t="s">
        <v>8822</v>
      </c>
      <c r="I2907" s="5" t="s">
        <v>212</v>
      </c>
      <c r="N2907" s="5" t="s">
        <v>8823</v>
      </c>
      <c r="O2907" s="5">
        <v>1519.9</v>
      </c>
      <c r="P2907" s="5">
        <v>1525</v>
      </c>
      <c r="Q2907" s="5">
        <v>1460.2</v>
      </c>
      <c r="R2907" s="5">
        <v>1488.6</v>
      </c>
      <c r="S2907" s="5">
        <v>1490</v>
      </c>
      <c r="T2907" s="5">
        <v>1509.8</v>
      </c>
      <c r="V2907" s="5">
        <v>1488.61</v>
      </c>
      <c r="Y2907" s="5">
        <v>233104</v>
      </c>
      <c r="Z2907" s="5">
        <v>346003104</v>
      </c>
      <c r="AA2907" s="5">
        <v>18242</v>
      </c>
      <c r="AB2907" s="5" t="s">
        <v>85</v>
      </c>
      <c r="AC2907" s="5">
        <v>1</v>
      </c>
    </row>
    <row r="2908" spans="1:29" x14ac:dyDescent="0.3">
      <c r="A2908" s="34">
        <v>46274</v>
      </c>
      <c r="B2908" s="34">
        <v>46274</v>
      </c>
      <c r="C2908" s="5" t="s">
        <v>78</v>
      </c>
      <c r="D2908" s="5" t="s">
        <v>79</v>
      </c>
      <c r="E2908" s="5" t="s">
        <v>80</v>
      </c>
      <c r="F2908" s="5">
        <v>15308</v>
      </c>
      <c r="G2908" s="5" t="s">
        <v>8824</v>
      </c>
      <c r="H2908" s="5" t="s">
        <v>8825</v>
      </c>
      <c r="I2908" s="5" t="s">
        <v>212</v>
      </c>
      <c r="N2908" s="5" t="s">
        <v>8826</v>
      </c>
      <c r="O2908" s="5">
        <v>5.34</v>
      </c>
      <c r="P2908" s="5">
        <v>5.44</v>
      </c>
      <c r="Q2908" s="5">
        <v>5.31</v>
      </c>
      <c r="R2908" s="5">
        <v>5.36</v>
      </c>
      <c r="S2908" s="5">
        <v>5.35</v>
      </c>
      <c r="T2908" s="5">
        <v>5.34</v>
      </c>
      <c r="V2908" s="5">
        <v>5.36</v>
      </c>
      <c r="Y2908" s="5">
        <v>6609217</v>
      </c>
      <c r="Z2908" s="5">
        <v>35580032.409999996</v>
      </c>
      <c r="AA2908" s="5">
        <v>3514</v>
      </c>
      <c r="AB2908" s="5" t="s">
        <v>85</v>
      </c>
      <c r="AC2908" s="5">
        <v>1</v>
      </c>
    </row>
    <row r="2909" spans="1:29" x14ac:dyDescent="0.3">
      <c r="A2909" s="34">
        <v>46274</v>
      </c>
      <c r="B2909" s="34">
        <v>46274</v>
      </c>
      <c r="C2909" s="5" t="s">
        <v>78</v>
      </c>
      <c r="D2909" s="5" t="s">
        <v>79</v>
      </c>
      <c r="E2909" s="5" t="s">
        <v>80</v>
      </c>
      <c r="F2909" s="5">
        <v>20715</v>
      </c>
      <c r="G2909" s="5" t="s">
        <v>8827</v>
      </c>
      <c r="H2909" s="5" t="s">
        <v>8828</v>
      </c>
      <c r="I2909" s="5" t="s">
        <v>536</v>
      </c>
      <c r="N2909" s="5" t="s">
        <v>8829</v>
      </c>
      <c r="O2909" s="5">
        <v>1062</v>
      </c>
      <c r="P2909" s="5">
        <v>1062</v>
      </c>
      <c r="Q2909" s="5">
        <v>1061</v>
      </c>
      <c r="R2909" s="5">
        <v>1061</v>
      </c>
      <c r="S2909" s="5">
        <v>1061</v>
      </c>
      <c r="T2909" s="5">
        <v>1062</v>
      </c>
      <c r="V2909" s="5">
        <v>1063.29</v>
      </c>
      <c r="Y2909" s="5">
        <v>355</v>
      </c>
      <c r="Z2909" s="5">
        <v>376859.95</v>
      </c>
      <c r="AA2909" s="5">
        <v>10</v>
      </c>
      <c r="AB2909" s="5" t="s">
        <v>85</v>
      </c>
      <c r="AC2909" s="5">
        <v>1</v>
      </c>
    </row>
    <row r="2910" spans="1:29" x14ac:dyDescent="0.3">
      <c r="A2910" s="34">
        <v>46274</v>
      </c>
      <c r="B2910" s="34">
        <v>46274</v>
      </c>
      <c r="C2910" s="5" t="s">
        <v>78</v>
      </c>
      <c r="D2910" s="5" t="s">
        <v>79</v>
      </c>
      <c r="E2910" s="5" t="s">
        <v>80</v>
      </c>
      <c r="F2910" s="5">
        <v>20655</v>
      </c>
      <c r="G2910" s="5" t="s">
        <v>8830</v>
      </c>
      <c r="H2910" s="5" t="s">
        <v>8831</v>
      </c>
      <c r="I2910" s="5" t="s">
        <v>270</v>
      </c>
      <c r="N2910" s="5" t="s">
        <v>8832</v>
      </c>
      <c r="O2910" s="5">
        <v>1075.9000000000001</v>
      </c>
      <c r="P2910" s="5">
        <v>1075.95</v>
      </c>
      <c r="Q2910" s="5">
        <v>1075.9000000000001</v>
      </c>
      <c r="R2910" s="5">
        <v>1075.95</v>
      </c>
      <c r="S2910" s="5">
        <v>1075.95</v>
      </c>
      <c r="T2910" s="5">
        <v>1069.1300000000001</v>
      </c>
      <c r="V2910" s="5">
        <v>1075.95</v>
      </c>
      <c r="Y2910" s="5">
        <v>74</v>
      </c>
      <c r="Z2910" s="5">
        <v>79617.8</v>
      </c>
      <c r="AA2910" s="5">
        <v>3</v>
      </c>
      <c r="AB2910" s="5" t="s">
        <v>85</v>
      </c>
      <c r="AC2910" s="5">
        <v>1</v>
      </c>
    </row>
    <row r="2911" spans="1:29" x14ac:dyDescent="0.3">
      <c r="A2911" s="34">
        <v>46274</v>
      </c>
      <c r="B2911" s="34">
        <v>46274</v>
      </c>
      <c r="C2911" s="5" t="s">
        <v>78</v>
      </c>
      <c r="D2911" s="5" t="s">
        <v>79</v>
      </c>
      <c r="E2911" s="5" t="s">
        <v>80</v>
      </c>
      <c r="F2911" s="5">
        <v>20687</v>
      </c>
      <c r="G2911" s="5" t="s">
        <v>8833</v>
      </c>
      <c r="H2911" s="5" t="s">
        <v>8834</v>
      </c>
      <c r="I2911" s="5" t="s">
        <v>546</v>
      </c>
      <c r="N2911" s="5" t="s">
        <v>8835</v>
      </c>
      <c r="O2911" s="5">
        <v>1040</v>
      </c>
      <c r="P2911" s="5">
        <v>1040</v>
      </c>
      <c r="Q2911" s="5">
        <v>1039.73</v>
      </c>
      <c r="R2911" s="5">
        <v>1039.73</v>
      </c>
      <c r="S2911" s="5">
        <v>1039.73</v>
      </c>
      <c r="T2911" s="5">
        <v>1038.46</v>
      </c>
      <c r="V2911" s="5">
        <v>1039.33</v>
      </c>
      <c r="Y2911" s="5">
        <v>193</v>
      </c>
      <c r="Z2911" s="5">
        <v>200700.01</v>
      </c>
      <c r="AA2911" s="5">
        <v>15</v>
      </c>
      <c r="AB2911" s="5" t="s">
        <v>85</v>
      </c>
      <c r="AC2911" s="5">
        <v>1</v>
      </c>
    </row>
    <row r="2912" spans="1:29" x14ac:dyDescent="0.3">
      <c r="A2912" s="34">
        <v>46274</v>
      </c>
      <c r="B2912" s="34">
        <v>46274</v>
      </c>
      <c r="C2912" s="5" t="s">
        <v>78</v>
      </c>
      <c r="D2912" s="5" t="s">
        <v>79</v>
      </c>
      <c r="E2912" s="5" t="s">
        <v>80</v>
      </c>
      <c r="F2912" s="5">
        <v>21197</v>
      </c>
      <c r="G2912" s="5" t="s">
        <v>8836</v>
      </c>
      <c r="H2912" s="5" t="s">
        <v>8837</v>
      </c>
      <c r="I2912" s="5" t="s">
        <v>262</v>
      </c>
      <c r="N2912" s="5" t="s">
        <v>8838</v>
      </c>
      <c r="O2912" s="5">
        <v>1019.99</v>
      </c>
      <c r="P2912" s="5">
        <v>1019.99</v>
      </c>
      <c r="Q2912" s="5">
        <v>1012.25</v>
      </c>
      <c r="R2912" s="5">
        <v>1018</v>
      </c>
      <c r="S2912" s="5">
        <v>1018</v>
      </c>
      <c r="T2912" s="5">
        <v>1016.81</v>
      </c>
      <c r="V2912" s="5">
        <v>1016.5</v>
      </c>
      <c r="Y2912" s="5">
        <v>220</v>
      </c>
      <c r="Z2912" s="5">
        <v>223580.02</v>
      </c>
      <c r="AA2912" s="5">
        <v>9</v>
      </c>
      <c r="AB2912" s="5" t="s">
        <v>85</v>
      </c>
      <c r="AC2912" s="5">
        <v>1</v>
      </c>
    </row>
    <row r="2913" spans="1:29" x14ac:dyDescent="0.3">
      <c r="A2913" s="34">
        <v>46274</v>
      </c>
      <c r="B2913" s="34">
        <v>46274</v>
      </c>
      <c r="C2913" s="5" t="s">
        <v>78</v>
      </c>
      <c r="D2913" s="5" t="s">
        <v>79</v>
      </c>
      <c r="E2913" s="5" t="s">
        <v>80</v>
      </c>
      <c r="F2913" s="5">
        <v>17399</v>
      </c>
      <c r="G2913" s="5" t="s">
        <v>8839</v>
      </c>
      <c r="H2913" s="5" t="s">
        <v>8840</v>
      </c>
      <c r="I2913" s="5" t="s">
        <v>313</v>
      </c>
      <c r="N2913" s="5" t="s">
        <v>8841</v>
      </c>
      <c r="O2913" s="5">
        <v>71</v>
      </c>
      <c r="P2913" s="5">
        <v>71</v>
      </c>
      <c r="Q2913" s="5">
        <v>70.7</v>
      </c>
      <c r="R2913" s="5">
        <v>70.7</v>
      </c>
      <c r="S2913" s="5">
        <v>70.7</v>
      </c>
      <c r="T2913" s="5">
        <v>70.8</v>
      </c>
      <c r="V2913" s="5">
        <v>70.7</v>
      </c>
      <c r="Y2913" s="5">
        <v>10000</v>
      </c>
      <c r="Z2913" s="5">
        <v>709300</v>
      </c>
      <c r="AA2913" s="5">
        <v>5</v>
      </c>
      <c r="AB2913" s="5" t="s">
        <v>85</v>
      </c>
      <c r="AC2913" s="5">
        <v>2000</v>
      </c>
    </row>
    <row r="2914" spans="1:29" x14ac:dyDescent="0.3">
      <c r="A2914" s="34">
        <v>46274</v>
      </c>
      <c r="B2914" s="34">
        <v>46274</v>
      </c>
      <c r="C2914" s="5" t="s">
        <v>78</v>
      </c>
      <c r="D2914" s="5" t="s">
        <v>79</v>
      </c>
      <c r="E2914" s="5" t="s">
        <v>80</v>
      </c>
      <c r="F2914" s="5">
        <v>5507</v>
      </c>
      <c r="G2914" s="5" t="s">
        <v>8842</v>
      </c>
      <c r="H2914" s="5" t="s">
        <v>8843</v>
      </c>
      <c r="I2914" s="5" t="s">
        <v>212</v>
      </c>
      <c r="N2914" s="5" t="s">
        <v>8844</v>
      </c>
      <c r="O2914" s="5">
        <v>79.900000000000006</v>
      </c>
      <c r="P2914" s="5">
        <v>79.900000000000006</v>
      </c>
      <c r="Q2914" s="5">
        <v>77.12</v>
      </c>
      <c r="R2914" s="5">
        <v>77.84</v>
      </c>
      <c r="S2914" s="5">
        <v>78.5</v>
      </c>
      <c r="T2914" s="5">
        <v>79.06</v>
      </c>
      <c r="V2914" s="5">
        <v>77.84</v>
      </c>
      <c r="Y2914" s="5">
        <v>367678</v>
      </c>
      <c r="Z2914" s="5">
        <v>28779707.120000001</v>
      </c>
      <c r="AA2914" s="5">
        <v>4674</v>
      </c>
      <c r="AB2914" s="5" t="s">
        <v>85</v>
      </c>
      <c r="AC2914" s="5">
        <v>1</v>
      </c>
    </row>
    <row r="2915" spans="1:29" x14ac:dyDescent="0.3">
      <c r="A2915" s="34">
        <v>46274</v>
      </c>
      <c r="B2915" s="34">
        <v>46274</v>
      </c>
      <c r="C2915" s="5" t="s">
        <v>78</v>
      </c>
      <c r="D2915" s="5" t="s">
        <v>79</v>
      </c>
      <c r="E2915" s="5" t="s">
        <v>80</v>
      </c>
      <c r="F2915" s="5">
        <v>759934</v>
      </c>
      <c r="G2915" s="5" t="s">
        <v>8845</v>
      </c>
      <c r="H2915" s="5" t="s">
        <v>8846</v>
      </c>
      <c r="I2915" s="5" t="s">
        <v>212</v>
      </c>
      <c r="N2915" s="5" t="s">
        <v>8847</v>
      </c>
      <c r="O2915" s="5">
        <v>385.4</v>
      </c>
      <c r="P2915" s="5">
        <v>398.2</v>
      </c>
      <c r="Q2915" s="5">
        <v>375.35</v>
      </c>
      <c r="R2915" s="5">
        <v>388.75</v>
      </c>
      <c r="S2915" s="5">
        <v>387.6</v>
      </c>
      <c r="T2915" s="5">
        <v>383.35</v>
      </c>
      <c r="V2915" s="5">
        <v>388.74</v>
      </c>
      <c r="Y2915" s="5">
        <v>178377</v>
      </c>
      <c r="Z2915" s="5">
        <v>68699522.299999997</v>
      </c>
      <c r="AA2915" s="5">
        <v>6406</v>
      </c>
      <c r="AB2915" s="5" t="s">
        <v>85</v>
      </c>
      <c r="AC2915" s="5">
        <v>1</v>
      </c>
    </row>
    <row r="2916" spans="1:29" x14ac:dyDescent="0.3">
      <c r="A2916" s="34">
        <v>46274</v>
      </c>
      <c r="B2916" s="34">
        <v>46274</v>
      </c>
      <c r="C2916" s="5" t="s">
        <v>78</v>
      </c>
      <c r="D2916" s="5" t="s">
        <v>79</v>
      </c>
      <c r="E2916" s="5" t="s">
        <v>80</v>
      </c>
      <c r="F2916" s="5">
        <v>3066</v>
      </c>
      <c r="G2916" s="5" t="s">
        <v>8848</v>
      </c>
      <c r="H2916" s="5" t="s">
        <v>8849</v>
      </c>
      <c r="I2916" s="5" t="s">
        <v>212</v>
      </c>
      <c r="N2916" s="5" t="s">
        <v>8850</v>
      </c>
      <c r="O2916" s="5">
        <v>244.29</v>
      </c>
      <c r="P2916" s="5">
        <v>245.4</v>
      </c>
      <c r="Q2916" s="5">
        <v>241.5</v>
      </c>
      <c r="R2916" s="5">
        <v>243.68</v>
      </c>
      <c r="S2916" s="5">
        <v>243</v>
      </c>
      <c r="T2916" s="5">
        <v>243.98</v>
      </c>
      <c r="V2916" s="5">
        <v>243.68</v>
      </c>
      <c r="Y2916" s="5">
        <v>74510</v>
      </c>
      <c r="Z2916" s="5">
        <v>18119511.239999998</v>
      </c>
      <c r="AA2916" s="5">
        <v>963</v>
      </c>
      <c r="AB2916" s="5" t="s">
        <v>85</v>
      </c>
      <c r="AC2916" s="5">
        <v>1</v>
      </c>
    </row>
    <row r="2917" spans="1:29" x14ac:dyDescent="0.3">
      <c r="A2917" s="34">
        <v>46274</v>
      </c>
      <c r="B2917" s="34">
        <v>46274</v>
      </c>
      <c r="C2917" s="5" t="s">
        <v>78</v>
      </c>
      <c r="D2917" s="5" t="s">
        <v>79</v>
      </c>
      <c r="E2917" s="5" t="s">
        <v>80</v>
      </c>
      <c r="F2917" s="5">
        <v>17518</v>
      </c>
      <c r="G2917" s="5" t="s">
        <v>8851</v>
      </c>
      <c r="H2917" s="5" t="s">
        <v>8852</v>
      </c>
      <c r="I2917" s="5" t="s">
        <v>234</v>
      </c>
      <c r="N2917" s="5" t="s">
        <v>8853</v>
      </c>
      <c r="O2917" s="5">
        <v>16.739999999999998</v>
      </c>
      <c r="P2917" s="5">
        <v>17.420000000000002</v>
      </c>
      <c r="Q2917" s="5">
        <v>16.41</v>
      </c>
      <c r="R2917" s="5">
        <v>17.18</v>
      </c>
      <c r="S2917" s="5">
        <v>17.2</v>
      </c>
      <c r="T2917" s="5">
        <v>17.079999999999998</v>
      </c>
      <c r="V2917" s="5">
        <v>17.18</v>
      </c>
      <c r="Y2917" s="5">
        <v>60538</v>
      </c>
      <c r="Z2917" s="5">
        <v>1020162.15</v>
      </c>
      <c r="AA2917" s="5">
        <v>166</v>
      </c>
      <c r="AB2917" s="5" t="s">
        <v>85</v>
      </c>
      <c r="AC2917" s="5">
        <v>1</v>
      </c>
    </row>
    <row r="2918" spans="1:29" x14ac:dyDescent="0.3">
      <c r="A2918" s="34">
        <v>46274</v>
      </c>
      <c r="B2918" s="34">
        <v>46274</v>
      </c>
      <c r="C2918" s="5" t="s">
        <v>78</v>
      </c>
      <c r="D2918" s="5" t="s">
        <v>79</v>
      </c>
      <c r="E2918" s="5" t="s">
        <v>80</v>
      </c>
      <c r="F2918" s="5">
        <v>18024</v>
      </c>
      <c r="G2918" s="5" t="s">
        <v>8854</v>
      </c>
      <c r="H2918" s="5" t="s">
        <v>8855</v>
      </c>
      <c r="I2918" s="5" t="s">
        <v>614</v>
      </c>
      <c r="N2918" s="5" t="s">
        <v>8856</v>
      </c>
      <c r="O2918" s="5">
        <v>0.64</v>
      </c>
      <c r="P2918" s="5">
        <v>0.64</v>
      </c>
      <c r="Q2918" s="5">
        <v>0.64</v>
      </c>
      <c r="R2918" s="5">
        <v>0.64</v>
      </c>
      <c r="S2918" s="5">
        <v>0.64</v>
      </c>
      <c r="T2918" s="5">
        <v>0.61</v>
      </c>
      <c r="V2918" s="5">
        <v>0.64</v>
      </c>
      <c r="Y2918" s="5">
        <v>61858</v>
      </c>
      <c r="Z2918" s="5">
        <v>39589.120000000003</v>
      </c>
      <c r="AA2918" s="5">
        <v>66</v>
      </c>
      <c r="AB2918" s="5" t="s">
        <v>85</v>
      </c>
      <c r="AC2918" s="5">
        <v>1</v>
      </c>
    </row>
    <row r="2919" spans="1:29" x14ac:dyDescent="0.3">
      <c r="A2919" s="34">
        <v>46274</v>
      </c>
      <c r="B2919" s="34">
        <v>46274</v>
      </c>
      <c r="C2919" s="5" t="s">
        <v>78</v>
      </c>
      <c r="D2919" s="5" t="s">
        <v>79</v>
      </c>
      <c r="E2919" s="5" t="s">
        <v>80</v>
      </c>
      <c r="F2919" s="5">
        <v>10836</v>
      </c>
      <c r="G2919" s="5" t="s">
        <v>8857</v>
      </c>
      <c r="H2919" s="5" t="s">
        <v>8858</v>
      </c>
      <c r="I2919" s="5" t="s">
        <v>234</v>
      </c>
      <c r="N2919" s="5" t="s">
        <v>8859</v>
      </c>
      <c r="O2919" s="5">
        <v>12.47</v>
      </c>
      <c r="P2919" s="5">
        <v>12.47</v>
      </c>
      <c r="Q2919" s="5">
        <v>12.02</v>
      </c>
      <c r="R2919" s="5">
        <v>12.47</v>
      </c>
      <c r="S2919" s="5">
        <v>12.47</v>
      </c>
      <c r="T2919" s="5">
        <v>12.23</v>
      </c>
      <c r="V2919" s="5">
        <v>12.53</v>
      </c>
      <c r="Y2919" s="5">
        <v>3290</v>
      </c>
      <c r="Z2919" s="5">
        <v>40958.26</v>
      </c>
      <c r="AA2919" s="5">
        <v>24</v>
      </c>
      <c r="AB2919" s="5" t="s">
        <v>85</v>
      </c>
      <c r="AC2919" s="5">
        <v>1</v>
      </c>
    </row>
    <row r="2920" spans="1:29" x14ac:dyDescent="0.3">
      <c r="A2920" s="34">
        <v>46274</v>
      </c>
      <c r="B2920" s="34">
        <v>46274</v>
      </c>
      <c r="C2920" s="5" t="s">
        <v>78</v>
      </c>
      <c r="D2920" s="5" t="s">
        <v>79</v>
      </c>
      <c r="E2920" s="5" t="s">
        <v>80</v>
      </c>
      <c r="F2920" s="5">
        <v>758853</v>
      </c>
      <c r="G2920" s="5" t="s">
        <v>8860</v>
      </c>
      <c r="H2920" s="5" t="s">
        <v>8861</v>
      </c>
      <c r="I2920" s="5" t="s">
        <v>212</v>
      </c>
      <c r="N2920" s="5" t="s">
        <v>8862</v>
      </c>
      <c r="O2920" s="5">
        <v>675.2</v>
      </c>
      <c r="P2920" s="5">
        <v>687</v>
      </c>
      <c r="Q2920" s="5">
        <v>668.25</v>
      </c>
      <c r="R2920" s="5">
        <v>678.8</v>
      </c>
      <c r="S2920" s="5">
        <v>679.9</v>
      </c>
      <c r="T2920" s="5">
        <v>676.15</v>
      </c>
      <c r="V2920" s="5">
        <v>678.8</v>
      </c>
      <c r="Y2920" s="5">
        <v>153142</v>
      </c>
      <c r="Z2920" s="5">
        <v>103865122.05</v>
      </c>
      <c r="AA2920" s="5">
        <v>5815</v>
      </c>
      <c r="AB2920" s="5" t="s">
        <v>85</v>
      </c>
      <c r="AC2920" s="5">
        <v>1</v>
      </c>
    </row>
    <row r="2921" spans="1:29" x14ac:dyDescent="0.3">
      <c r="A2921" s="34">
        <v>46274</v>
      </c>
      <c r="B2921" s="34">
        <v>46274</v>
      </c>
      <c r="C2921" s="5" t="s">
        <v>78</v>
      </c>
      <c r="D2921" s="5" t="s">
        <v>79</v>
      </c>
      <c r="E2921" s="5" t="s">
        <v>80</v>
      </c>
      <c r="F2921" s="5">
        <v>758889</v>
      </c>
      <c r="G2921" s="5" t="s">
        <v>8863</v>
      </c>
      <c r="H2921" s="5" t="s">
        <v>8864</v>
      </c>
      <c r="I2921" s="5" t="s">
        <v>212</v>
      </c>
      <c r="N2921" s="5" t="s">
        <v>8865</v>
      </c>
      <c r="O2921" s="5">
        <v>809.5</v>
      </c>
      <c r="P2921" s="5">
        <v>816</v>
      </c>
      <c r="Q2921" s="5">
        <v>766.9</v>
      </c>
      <c r="R2921" s="5">
        <v>772.9</v>
      </c>
      <c r="S2921" s="5">
        <v>775.5</v>
      </c>
      <c r="T2921" s="5">
        <v>809.5</v>
      </c>
      <c r="V2921" s="5">
        <v>772.9</v>
      </c>
      <c r="Y2921" s="5">
        <v>336290</v>
      </c>
      <c r="Z2921" s="5">
        <v>264116242.19999999</v>
      </c>
      <c r="AA2921" s="5">
        <v>16035</v>
      </c>
      <c r="AB2921" s="5" t="s">
        <v>85</v>
      </c>
      <c r="AC2921" s="5">
        <v>1</v>
      </c>
    </row>
    <row r="2922" spans="1:29" x14ac:dyDescent="0.3">
      <c r="A2922" s="34">
        <v>46274</v>
      </c>
      <c r="B2922" s="34">
        <v>46274</v>
      </c>
      <c r="C2922" s="5" t="s">
        <v>78</v>
      </c>
      <c r="D2922" s="5" t="s">
        <v>79</v>
      </c>
      <c r="E2922" s="5" t="s">
        <v>80</v>
      </c>
      <c r="F2922" s="5">
        <v>765247</v>
      </c>
      <c r="G2922" s="5" t="s">
        <v>8866</v>
      </c>
      <c r="H2922" s="5" t="s">
        <v>8867</v>
      </c>
      <c r="I2922" s="5" t="s">
        <v>212</v>
      </c>
      <c r="N2922" s="5" t="s">
        <v>8868</v>
      </c>
      <c r="O2922" s="5">
        <v>2.5299999999999998</v>
      </c>
      <c r="P2922" s="5">
        <v>2.58</v>
      </c>
      <c r="Q2922" s="5">
        <v>2.4</v>
      </c>
      <c r="R2922" s="5">
        <v>2.4700000000000002</v>
      </c>
      <c r="S2922" s="5">
        <v>2.5499999999999998</v>
      </c>
      <c r="T2922" s="5">
        <v>2.52</v>
      </c>
      <c r="V2922" s="5">
        <v>2.4700000000000002</v>
      </c>
      <c r="Y2922" s="5">
        <v>49785</v>
      </c>
      <c r="Z2922" s="5">
        <v>121676.25</v>
      </c>
      <c r="AA2922" s="5">
        <v>82</v>
      </c>
      <c r="AB2922" s="5" t="s">
        <v>85</v>
      </c>
      <c r="AC2922" s="5">
        <v>1</v>
      </c>
    </row>
    <row r="2923" spans="1:29" x14ac:dyDescent="0.3">
      <c r="A2923" s="34">
        <v>46274</v>
      </c>
      <c r="B2923" s="34">
        <v>46274</v>
      </c>
      <c r="C2923" s="5" t="s">
        <v>78</v>
      </c>
      <c r="D2923" s="5" t="s">
        <v>79</v>
      </c>
      <c r="E2923" s="5" t="s">
        <v>80</v>
      </c>
      <c r="F2923" s="5">
        <v>761469</v>
      </c>
      <c r="G2923" s="5" t="s">
        <v>8869</v>
      </c>
      <c r="H2923" s="5" t="s">
        <v>8870</v>
      </c>
      <c r="I2923" s="5" t="s">
        <v>212</v>
      </c>
      <c r="N2923" s="5" t="s">
        <v>8871</v>
      </c>
      <c r="O2923" s="5">
        <v>249</v>
      </c>
      <c r="P2923" s="5">
        <v>253.5</v>
      </c>
      <c r="Q2923" s="5">
        <v>246.25</v>
      </c>
      <c r="R2923" s="5">
        <v>251.2</v>
      </c>
      <c r="S2923" s="5">
        <v>249.7</v>
      </c>
      <c r="T2923" s="5">
        <v>249.75</v>
      </c>
      <c r="V2923" s="5">
        <v>251.2</v>
      </c>
      <c r="Y2923" s="5">
        <v>2461406</v>
      </c>
      <c r="Z2923" s="5">
        <v>614880989.29999995</v>
      </c>
      <c r="AA2923" s="5">
        <v>25245</v>
      </c>
      <c r="AB2923" s="5" t="s">
        <v>85</v>
      </c>
      <c r="AC2923" s="5">
        <v>1</v>
      </c>
    </row>
    <row r="2924" spans="1:29" x14ac:dyDescent="0.3">
      <c r="A2924" s="34">
        <v>46274</v>
      </c>
      <c r="B2924" s="34">
        <v>46274</v>
      </c>
      <c r="C2924" s="5" t="s">
        <v>78</v>
      </c>
      <c r="D2924" s="5" t="s">
        <v>79</v>
      </c>
      <c r="E2924" s="5" t="s">
        <v>80</v>
      </c>
      <c r="F2924" s="5">
        <v>11859</v>
      </c>
      <c r="G2924" s="5" t="s">
        <v>8872</v>
      </c>
      <c r="H2924" s="5" t="s">
        <v>8873</v>
      </c>
      <c r="I2924" s="5" t="s">
        <v>234</v>
      </c>
      <c r="N2924" s="5" t="s">
        <v>8874</v>
      </c>
      <c r="O2924" s="5">
        <v>95.11</v>
      </c>
      <c r="P2924" s="5">
        <v>102.95</v>
      </c>
      <c r="Q2924" s="5">
        <v>95.09</v>
      </c>
      <c r="R2924" s="5">
        <v>100.53</v>
      </c>
      <c r="S2924" s="5">
        <v>100.85</v>
      </c>
      <c r="T2924" s="5">
        <v>100.09</v>
      </c>
      <c r="V2924" s="5">
        <v>99.83</v>
      </c>
      <c r="Y2924" s="5">
        <v>239381</v>
      </c>
      <c r="Z2924" s="5">
        <v>23683340.59</v>
      </c>
      <c r="AA2924" s="5">
        <v>263</v>
      </c>
      <c r="AB2924" s="5" t="s">
        <v>85</v>
      </c>
      <c r="AC2924" s="5">
        <v>1</v>
      </c>
    </row>
    <row r="2925" spans="1:29" x14ac:dyDescent="0.3">
      <c r="A2925" s="34">
        <v>46274</v>
      </c>
      <c r="B2925" s="34">
        <v>46274</v>
      </c>
      <c r="C2925" s="5" t="s">
        <v>78</v>
      </c>
      <c r="D2925" s="5" t="s">
        <v>79</v>
      </c>
      <c r="E2925" s="5" t="s">
        <v>80</v>
      </c>
      <c r="F2925" s="5">
        <v>20296</v>
      </c>
      <c r="G2925" s="5" t="s">
        <v>8875</v>
      </c>
      <c r="H2925" s="5" t="s">
        <v>8876</v>
      </c>
      <c r="I2925" s="5" t="s">
        <v>212</v>
      </c>
      <c r="N2925" s="5" t="s">
        <v>8877</v>
      </c>
      <c r="O2925" s="5">
        <v>3.42</v>
      </c>
      <c r="P2925" s="5">
        <v>3.61</v>
      </c>
      <c r="Q2925" s="5">
        <v>3.25</v>
      </c>
      <c r="R2925" s="5">
        <v>3.51</v>
      </c>
      <c r="S2925" s="5">
        <v>3.51</v>
      </c>
      <c r="T2925" s="5">
        <v>3.36</v>
      </c>
      <c r="V2925" s="5">
        <v>3.51</v>
      </c>
      <c r="Y2925" s="5">
        <v>4466881</v>
      </c>
      <c r="Z2925" s="5">
        <v>15477975.189999999</v>
      </c>
      <c r="AA2925" s="5">
        <v>1341</v>
      </c>
      <c r="AB2925" s="5" t="s">
        <v>85</v>
      </c>
      <c r="AC2925" s="5">
        <v>1</v>
      </c>
    </row>
    <row r="2926" spans="1:29" x14ac:dyDescent="0.3">
      <c r="A2926" s="34">
        <v>46274</v>
      </c>
      <c r="B2926" s="34">
        <v>46274</v>
      </c>
      <c r="C2926" s="5" t="s">
        <v>78</v>
      </c>
      <c r="D2926" s="5" t="s">
        <v>79</v>
      </c>
      <c r="E2926" s="5" t="s">
        <v>80</v>
      </c>
      <c r="F2926" s="5">
        <v>8727</v>
      </c>
      <c r="G2926" s="5" t="s">
        <v>8878</v>
      </c>
      <c r="H2926" s="5" t="s">
        <v>8879</v>
      </c>
      <c r="I2926" s="5" t="s">
        <v>212</v>
      </c>
      <c r="N2926" s="5" t="s">
        <v>8880</v>
      </c>
      <c r="O2926" s="5">
        <v>3410</v>
      </c>
      <c r="P2926" s="5">
        <v>3487.7</v>
      </c>
      <c r="Q2926" s="5">
        <v>3391.6</v>
      </c>
      <c r="R2926" s="5">
        <v>3455</v>
      </c>
      <c r="S2926" s="5">
        <v>3425.2</v>
      </c>
      <c r="T2926" s="5">
        <v>3407.8</v>
      </c>
      <c r="V2926" s="5">
        <v>3454.91</v>
      </c>
      <c r="Y2926" s="5">
        <v>243432</v>
      </c>
      <c r="Z2926" s="5">
        <v>840676255.60000002</v>
      </c>
      <c r="AA2926" s="5">
        <v>33407</v>
      </c>
      <c r="AB2926" s="5" t="s">
        <v>85</v>
      </c>
      <c r="AC2926" s="5">
        <v>1</v>
      </c>
    </row>
    <row r="2927" spans="1:29" x14ac:dyDescent="0.3">
      <c r="A2927" s="34">
        <v>46274</v>
      </c>
      <c r="B2927" s="34">
        <v>46274</v>
      </c>
      <c r="C2927" s="5" t="s">
        <v>78</v>
      </c>
      <c r="D2927" s="5" t="s">
        <v>79</v>
      </c>
      <c r="E2927" s="5" t="s">
        <v>80</v>
      </c>
      <c r="F2927" s="5">
        <v>25574</v>
      </c>
      <c r="G2927" s="5" t="s">
        <v>8881</v>
      </c>
      <c r="H2927" s="5" t="s">
        <v>8882</v>
      </c>
      <c r="I2927" s="5" t="s">
        <v>212</v>
      </c>
      <c r="N2927" s="5" t="s">
        <v>8883</v>
      </c>
      <c r="O2927" s="5">
        <v>472</v>
      </c>
      <c r="P2927" s="5">
        <v>477.4</v>
      </c>
      <c r="Q2927" s="5">
        <v>466.05</v>
      </c>
      <c r="R2927" s="5">
        <v>467.8</v>
      </c>
      <c r="S2927" s="5">
        <v>468</v>
      </c>
      <c r="T2927" s="5">
        <v>473</v>
      </c>
      <c r="V2927" s="5">
        <v>467.83</v>
      </c>
      <c r="Y2927" s="5">
        <v>389496</v>
      </c>
      <c r="Z2927" s="5">
        <v>183212532</v>
      </c>
      <c r="AA2927" s="5">
        <v>13862</v>
      </c>
      <c r="AB2927" s="5" t="s">
        <v>85</v>
      </c>
      <c r="AC2927" s="5">
        <v>1</v>
      </c>
    </row>
    <row r="2928" spans="1:29" x14ac:dyDescent="0.3">
      <c r="A2928" s="34">
        <v>46274</v>
      </c>
      <c r="B2928" s="34">
        <v>46274</v>
      </c>
      <c r="C2928" s="5" t="s">
        <v>78</v>
      </c>
      <c r="D2928" s="5" t="s">
        <v>79</v>
      </c>
      <c r="E2928" s="5" t="s">
        <v>80</v>
      </c>
      <c r="F2928" s="5">
        <v>714</v>
      </c>
      <c r="G2928" s="5" t="s">
        <v>8884</v>
      </c>
      <c r="H2928" s="5" t="s">
        <v>8885</v>
      </c>
      <c r="I2928" s="5" t="s">
        <v>212</v>
      </c>
      <c r="N2928" s="5" t="s">
        <v>8886</v>
      </c>
      <c r="O2928" s="5">
        <v>149.82</v>
      </c>
      <c r="P2928" s="5">
        <v>152</v>
      </c>
      <c r="Q2928" s="5">
        <v>147.6</v>
      </c>
      <c r="R2928" s="5">
        <v>148.47999999999999</v>
      </c>
      <c r="S2928" s="5">
        <v>148.5</v>
      </c>
      <c r="T2928" s="5">
        <v>149.82</v>
      </c>
      <c r="V2928" s="5">
        <v>148.49</v>
      </c>
      <c r="Y2928" s="5">
        <v>87527</v>
      </c>
      <c r="Z2928" s="5">
        <v>13043984.050000001</v>
      </c>
      <c r="AA2928" s="5">
        <v>1378</v>
      </c>
      <c r="AB2928" s="5" t="s">
        <v>85</v>
      </c>
      <c r="AC2928" s="5">
        <v>1</v>
      </c>
    </row>
    <row r="2929" spans="1:29" x14ac:dyDescent="0.3">
      <c r="A2929" s="34">
        <v>46274</v>
      </c>
      <c r="B2929" s="34">
        <v>46274</v>
      </c>
      <c r="C2929" s="5" t="s">
        <v>78</v>
      </c>
      <c r="D2929" s="5" t="s">
        <v>79</v>
      </c>
      <c r="E2929" s="5" t="s">
        <v>80</v>
      </c>
      <c r="F2929" s="5">
        <v>761688</v>
      </c>
      <c r="G2929" s="5" t="s">
        <v>8887</v>
      </c>
      <c r="H2929" s="5" t="s">
        <v>8888</v>
      </c>
      <c r="I2929" s="5" t="s">
        <v>212</v>
      </c>
      <c r="N2929" s="5" t="s">
        <v>8889</v>
      </c>
      <c r="O2929" s="5">
        <v>85.9</v>
      </c>
      <c r="P2929" s="5">
        <v>86.32</v>
      </c>
      <c r="Q2929" s="5">
        <v>80.260000000000005</v>
      </c>
      <c r="R2929" s="5">
        <v>82.88</v>
      </c>
      <c r="S2929" s="5">
        <v>82.9</v>
      </c>
      <c r="T2929" s="5">
        <v>84.95</v>
      </c>
      <c r="V2929" s="5">
        <v>82.88</v>
      </c>
      <c r="Y2929" s="5">
        <v>34749</v>
      </c>
      <c r="Z2929" s="5">
        <v>2876075.37</v>
      </c>
      <c r="AA2929" s="5">
        <v>728</v>
      </c>
      <c r="AB2929" s="5" t="s">
        <v>85</v>
      </c>
      <c r="AC2929" s="5">
        <v>1</v>
      </c>
    </row>
    <row r="2930" spans="1:29" x14ac:dyDescent="0.3">
      <c r="A2930" s="34">
        <v>46274</v>
      </c>
      <c r="B2930" s="34">
        <v>46274</v>
      </c>
      <c r="C2930" s="5" t="s">
        <v>78</v>
      </c>
      <c r="D2930" s="5" t="s">
        <v>79</v>
      </c>
      <c r="E2930" s="5" t="s">
        <v>80</v>
      </c>
      <c r="F2930" s="5">
        <v>15346</v>
      </c>
      <c r="G2930" s="5" t="s">
        <v>8890</v>
      </c>
      <c r="H2930" s="5" t="s">
        <v>8891</v>
      </c>
      <c r="I2930" s="5" t="s">
        <v>234</v>
      </c>
      <c r="N2930" s="5" t="s">
        <v>8892</v>
      </c>
      <c r="O2930" s="5">
        <v>84.99</v>
      </c>
      <c r="P2930" s="5">
        <v>85.5</v>
      </c>
      <c r="Q2930" s="5">
        <v>82</v>
      </c>
      <c r="R2930" s="5">
        <v>83.86</v>
      </c>
      <c r="S2930" s="5">
        <v>83.25</v>
      </c>
      <c r="T2930" s="5">
        <v>84.12</v>
      </c>
      <c r="V2930" s="5">
        <v>83.87</v>
      </c>
      <c r="Y2930" s="5">
        <v>110746</v>
      </c>
      <c r="Z2930" s="5">
        <v>9299445.4000000004</v>
      </c>
      <c r="AA2930" s="5">
        <v>309</v>
      </c>
      <c r="AB2930" s="5" t="s">
        <v>85</v>
      </c>
      <c r="AC2930" s="5">
        <v>1</v>
      </c>
    </row>
    <row r="2931" spans="1:29" x14ac:dyDescent="0.3">
      <c r="A2931" s="34">
        <v>46274</v>
      </c>
      <c r="B2931" s="34">
        <v>46274</v>
      </c>
      <c r="C2931" s="5" t="s">
        <v>78</v>
      </c>
      <c r="D2931" s="5" t="s">
        <v>79</v>
      </c>
      <c r="E2931" s="5" t="s">
        <v>80</v>
      </c>
      <c r="F2931" s="5">
        <v>25737</v>
      </c>
      <c r="G2931" s="5" t="s">
        <v>8893</v>
      </c>
      <c r="H2931" s="5" t="s">
        <v>8894</v>
      </c>
      <c r="I2931" s="5" t="s">
        <v>212</v>
      </c>
      <c r="N2931" s="5" t="s">
        <v>8895</v>
      </c>
      <c r="O2931" s="5">
        <v>39.06</v>
      </c>
      <c r="P2931" s="5">
        <v>40</v>
      </c>
      <c r="Q2931" s="5">
        <v>38.9</v>
      </c>
      <c r="R2931" s="5">
        <v>39.33</v>
      </c>
      <c r="S2931" s="5">
        <v>39.53</v>
      </c>
      <c r="T2931" s="5">
        <v>39.39</v>
      </c>
      <c r="V2931" s="5">
        <v>39.33</v>
      </c>
      <c r="Y2931" s="5">
        <v>20414</v>
      </c>
      <c r="Z2931" s="5">
        <v>807686.03</v>
      </c>
      <c r="AA2931" s="5">
        <v>371</v>
      </c>
      <c r="AB2931" s="5" t="s">
        <v>85</v>
      </c>
      <c r="AC2931" s="5">
        <v>1</v>
      </c>
    </row>
    <row r="2932" spans="1:29" x14ac:dyDescent="0.3">
      <c r="A2932" s="34">
        <v>46274</v>
      </c>
      <c r="B2932" s="34">
        <v>46274</v>
      </c>
      <c r="C2932" s="5" t="s">
        <v>78</v>
      </c>
      <c r="D2932" s="5" t="s">
        <v>79</v>
      </c>
      <c r="E2932" s="5" t="s">
        <v>80</v>
      </c>
      <c r="F2932" s="5">
        <v>20321</v>
      </c>
      <c r="G2932" s="5" t="s">
        <v>8896</v>
      </c>
      <c r="H2932" s="5" t="s">
        <v>8897</v>
      </c>
      <c r="I2932" s="5" t="s">
        <v>212</v>
      </c>
      <c r="N2932" s="5" t="s">
        <v>8898</v>
      </c>
      <c r="O2932" s="5">
        <v>148.99</v>
      </c>
      <c r="P2932" s="5">
        <v>148.99</v>
      </c>
      <c r="Q2932" s="5">
        <v>147.5</v>
      </c>
      <c r="R2932" s="5">
        <v>148.29</v>
      </c>
      <c r="S2932" s="5">
        <v>148.4</v>
      </c>
      <c r="T2932" s="5">
        <v>148.34</v>
      </c>
      <c r="V2932" s="5">
        <v>148.29</v>
      </c>
      <c r="Y2932" s="5">
        <v>61629</v>
      </c>
      <c r="Z2932" s="5">
        <v>9130657.2400000002</v>
      </c>
      <c r="AA2932" s="5">
        <v>558</v>
      </c>
      <c r="AB2932" s="5" t="s">
        <v>85</v>
      </c>
      <c r="AC2932" s="5">
        <v>1</v>
      </c>
    </row>
    <row r="2933" spans="1:29" x14ac:dyDescent="0.3">
      <c r="A2933" s="34">
        <v>46274</v>
      </c>
      <c r="B2933" s="34">
        <v>46274</v>
      </c>
      <c r="C2933" s="5" t="s">
        <v>78</v>
      </c>
      <c r="D2933" s="5" t="s">
        <v>79</v>
      </c>
      <c r="E2933" s="5" t="s">
        <v>80</v>
      </c>
      <c r="F2933" s="5">
        <v>760594</v>
      </c>
      <c r="G2933" s="5" t="s">
        <v>8899</v>
      </c>
      <c r="H2933" s="5" t="s">
        <v>8900</v>
      </c>
      <c r="I2933" s="5" t="s">
        <v>212</v>
      </c>
      <c r="N2933" s="5" t="s">
        <v>8901</v>
      </c>
      <c r="O2933" s="5">
        <v>1300</v>
      </c>
      <c r="P2933" s="5">
        <v>1314.9</v>
      </c>
      <c r="Q2933" s="5">
        <v>1294</v>
      </c>
      <c r="R2933" s="5">
        <v>1302.7</v>
      </c>
      <c r="S2933" s="5">
        <v>1309.9000000000001</v>
      </c>
      <c r="T2933" s="5">
        <v>1301.0999999999999</v>
      </c>
      <c r="V2933" s="5">
        <v>1302.6199999999999</v>
      </c>
      <c r="Y2933" s="5">
        <v>36344</v>
      </c>
      <c r="Z2933" s="5">
        <v>47455116.600000001</v>
      </c>
      <c r="AA2933" s="5">
        <v>2536</v>
      </c>
      <c r="AB2933" s="5" t="s">
        <v>85</v>
      </c>
      <c r="AC2933" s="5">
        <v>1</v>
      </c>
    </row>
    <row r="2934" spans="1:29" x14ac:dyDescent="0.3">
      <c r="A2934" s="34">
        <v>46274</v>
      </c>
      <c r="B2934" s="34">
        <v>46274</v>
      </c>
      <c r="C2934" s="5" t="s">
        <v>78</v>
      </c>
      <c r="D2934" s="5" t="s">
        <v>79</v>
      </c>
      <c r="E2934" s="5" t="s">
        <v>80</v>
      </c>
      <c r="F2934" s="5">
        <v>765382</v>
      </c>
      <c r="G2934" s="5" t="s">
        <v>8902</v>
      </c>
      <c r="H2934" s="5" t="s">
        <v>8903</v>
      </c>
      <c r="I2934" s="5" t="s">
        <v>212</v>
      </c>
      <c r="N2934" s="5" t="s">
        <v>8904</v>
      </c>
      <c r="O2934" s="5">
        <v>95.58</v>
      </c>
      <c r="P2934" s="5">
        <v>99</v>
      </c>
      <c r="Q2934" s="5">
        <v>95.13</v>
      </c>
      <c r="R2934" s="5">
        <v>97.93</v>
      </c>
      <c r="S2934" s="5">
        <v>98.38</v>
      </c>
      <c r="T2934" s="5">
        <v>94.89</v>
      </c>
      <c r="V2934" s="5">
        <v>97.95</v>
      </c>
      <c r="Y2934" s="5">
        <v>3732363</v>
      </c>
      <c r="Z2934" s="5">
        <v>363333916.13999999</v>
      </c>
      <c r="AA2934" s="5">
        <v>23819</v>
      </c>
      <c r="AB2934" s="5" t="s">
        <v>85</v>
      </c>
      <c r="AC2934" s="5">
        <v>1</v>
      </c>
    </row>
    <row r="2935" spans="1:29" x14ac:dyDescent="0.3">
      <c r="A2935" s="34">
        <v>46274</v>
      </c>
      <c r="B2935" s="34">
        <v>46274</v>
      </c>
      <c r="C2935" s="5" t="s">
        <v>78</v>
      </c>
      <c r="D2935" s="5" t="s">
        <v>79</v>
      </c>
      <c r="E2935" s="5" t="s">
        <v>80</v>
      </c>
      <c r="F2935" s="5">
        <v>19752</v>
      </c>
      <c r="G2935" s="5" t="s">
        <v>8905</v>
      </c>
      <c r="H2935" s="5" t="s">
        <v>8906</v>
      </c>
      <c r="I2935" s="5" t="s">
        <v>313</v>
      </c>
      <c r="N2935" s="5" t="s">
        <v>8907</v>
      </c>
      <c r="O2935" s="5">
        <v>16</v>
      </c>
      <c r="P2935" s="5">
        <v>16.649999999999999</v>
      </c>
      <c r="Q2935" s="5">
        <v>16</v>
      </c>
      <c r="R2935" s="5">
        <v>16.649999999999999</v>
      </c>
      <c r="S2935" s="5">
        <v>16.649999999999999</v>
      </c>
      <c r="T2935" s="5">
        <v>16.600000000000001</v>
      </c>
      <c r="V2935" s="5">
        <v>16.649999999999999</v>
      </c>
      <c r="Y2935" s="5">
        <v>2400</v>
      </c>
      <c r="Z2935" s="5">
        <v>39180</v>
      </c>
      <c r="AA2935" s="5">
        <v>2</v>
      </c>
      <c r="AB2935" s="5" t="s">
        <v>85</v>
      </c>
      <c r="AC2935" s="5">
        <v>1200</v>
      </c>
    </row>
    <row r="2936" spans="1:29" x14ac:dyDescent="0.3">
      <c r="A2936" s="34">
        <v>46274</v>
      </c>
      <c r="B2936" s="34">
        <v>46274</v>
      </c>
      <c r="C2936" s="5" t="s">
        <v>78</v>
      </c>
      <c r="D2936" s="5" t="s">
        <v>79</v>
      </c>
      <c r="E2936" s="5" t="s">
        <v>80</v>
      </c>
      <c r="F2936" s="5">
        <v>3078</v>
      </c>
      <c r="G2936" s="5" t="s">
        <v>8908</v>
      </c>
      <c r="H2936" s="5" t="s">
        <v>8909</v>
      </c>
      <c r="I2936" s="5" t="s">
        <v>212</v>
      </c>
      <c r="N2936" s="5" t="s">
        <v>8910</v>
      </c>
      <c r="O2936" s="5">
        <v>711.5</v>
      </c>
      <c r="P2936" s="5">
        <v>739.05</v>
      </c>
      <c r="Q2936" s="5">
        <v>687.5</v>
      </c>
      <c r="R2936" s="5">
        <v>707.75</v>
      </c>
      <c r="S2936" s="5">
        <v>694</v>
      </c>
      <c r="T2936" s="5">
        <v>704</v>
      </c>
      <c r="V2936" s="5">
        <v>707.8</v>
      </c>
      <c r="Y2936" s="5">
        <v>936332</v>
      </c>
      <c r="Z2936" s="5">
        <v>672131539.54999995</v>
      </c>
      <c r="AA2936" s="5">
        <v>25042</v>
      </c>
      <c r="AB2936" s="5" t="s">
        <v>85</v>
      </c>
      <c r="AC2936" s="5">
        <v>1</v>
      </c>
    </row>
    <row r="2937" spans="1:29" x14ac:dyDescent="0.3">
      <c r="A2937" s="34">
        <v>46274</v>
      </c>
      <c r="B2937" s="34">
        <v>46274</v>
      </c>
      <c r="C2937" s="5" t="s">
        <v>78</v>
      </c>
      <c r="D2937" s="5" t="s">
        <v>79</v>
      </c>
      <c r="E2937" s="5" t="s">
        <v>80</v>
      </c>
      <c r="F2937" s="5">
        <v>762889</v>
      </c>
      <c r="G2937" s="5" t="s">
        <v>8911</v>
      </c>
      <c r="H2937" s="5" t="s">
        <v>8912</v>
      </c>
      <c r="I2937" s="5" t="s">
        <v>212</v>
      </c>
      <c r="N2937" s="5" t="s">
        <v>8913</v>
      </c>
      <c r="O2937" s="5">
        <v>200.01</v>
      </c>
      <c r="P2937" s="5">
        <v>200.01</v>
      </c>
      <c r="Q2937" s="5">
        <v>193.06</v>
      </c>
      <c r="R2937" s="5">
        <v>195.28</v>
      </c>
      <c r="S2937" s="5">
        <v>195.64</v>
      </c>
      <c r="T2937" s="5">
        <v>198.59</v>
      </c>
      <c r="V2937" s="5">
        <v>195.25</v>
      </c>
      <c r="Y2937" s="5">
        <v>205180</v>
      </c>
      <c r="Z2937" s="5">
        <v>40124556.509999998</v>
      </c>
      <c r="AA2937" s="5">
        <v>1900</v>
      </c>
      <c r="AB2937" s="5" t="s">
        <v>85</v>
      </c>
      <c r="AC2937" s="5">
        <v>1</v>
      </c>
    </row>
    <row r="2938" spans="1:29" x14ac:dyDescent="0.3">
      <c r="A2938" s="34">
        <v>46274</v>
      </c>
      <c r="B2938" s="34">
        <v>46274</v>
      </c>
      <c r="C2938" s="5" t="s">
        <v>78</v>
      </c>
      <c r="D2938" s="5" t="s">
        <v>79</v>
      </c>
      <c r="E2938" s="5" t="s">
        <v>80</v>
      </c>
      <c r="F2938" s="5">
        <v>758002</v>
      </c>
      <c r="G2938" s="5" t="s">
        <v>8914</v>
      </c>
      <c r="H2938" s="5" t="s">
        <v>8915</v>
      </c>
      <c r="I2938" s="5" t="s">
        <v>212</v>
      </c>
      <c r="N2938" s="5" t="s">
        <v>8916</v>
      </c>
      <c r="O2938" s="5">
        <v>264.27999999999997</v>
      </c>
      <c r="P2938" s="5">
        <v>268.8</v>
      </c>
      <c r="Q2938" s="5">
        <v>260</v>
      </c>
      <c r="R2938" s="5">
        <v>261.29000000000002</v>
      </c>
      <c r="S2938" s="5">
        <v>260</v>
      </c>
      <c r="T2938" s="5">
        <v>264.26</v>
      </c>
      <c r="V2938" s="5">
        <v>261.27999999999997</v>
      </c>
      <c r="Y2938" s="5">
        <v>1281587</v>
      </c>
      <c r="Z2938" s="5">
        <v>339256663.17000002</v>
      </c>
      <c r="AA2938" s="5">
        <v>17244</v>
      </c>
      <c r="AB2938" s="5" t="s">
        <v>85</v>
      </c>
      <c r="AC2938" s="5">
        <v>1</v>
      </c>
    </row>
    <row r="2939" spans="1:29" x14ac:dyDescent="0.3">
      <c r="A2939" s="34">
        <v>46274</v>
      </c>
      <c r="B2939" s="34">
        <v>46274</v>
      </c>
      <c r="C2939" s="5" t="s">
        <v>78</v>
      </c>
      <c r="D2939" s="5" t="s">
        <v>79</v>
      </c>
      <c r="E2939" s="5" t="s">
        <v>80</v>
      </c>
      <c r="F2939" s="5">
        <v>765580</v>
      </c>
      <c r="G2939" s="5" t="s">
        <v>8917</v>
      </c>
      <c r="H2939" s="5" t="s">
        <v>8918</v>
      </c>
      <c r="I2939" s="5" t="s">
        <v>392</v>
      </c>
      <c r="N2939" s="5" t="s">
        <v>8919</v>
      </c>
      <c r="O2939" s="5">
        <v>161</v>
      </c>
      <c r="P2939" s="5">
        <v>167.8</v>
      </c>
      <c r="Q2939" s="5">
        <v>152.05000000000001</v>
      </c>
      <c r="R2939" s="5">
        <v>167.8</v>
      </c>
      <c r="S2939" s="5">
        <v>167.8</v>
      </c>
      <c r="T2939" s="5">
        <v>159.85</v>
      </c>
      <c r="V2939" s="5">
        <v>167.8</v>
      </c>
      <c r="Y2939" s="5">
        <v>379200</v>
      </c>
      <c r="Z2939" s="5">
        <v>61111760</v>
      </c>
      <c r="AA2939" s="5">
        <v>201</v>
      </c>
      <c r="AB2939" s="5" t="s">
        <v>85</v>
      </c>
      <c r="AC2939" s="5">
        <v>1600</v>
      </c>
    </row>
    <row r="2940" spans="1:29" x14ac:dyDescent="0.3">
      <c r="A2940" s="34">
        <v>46274</v>
      </c>
      <c r="B2940" s="34">
        <v>46274</v>
      </c>
      <c r="C2940" s="5" t="s">
        <v>78</v>
      </c>
      <c r="D2940" s="5" t="s">
        <v>79</v>
      </c>
      <c r="E2940" s="5" t="s">
        <v>80</v>
      </c>
      <c r="F2940" s="5">
        <v>5650</v>
      </c>
      <c r="G2940" s="5" t="s">
        <v>8920</v>
      </c>
      <c r="H2940" s="5" t="s">
        <v>8921</v>
      </c>
      <c r="I2940" s="5" t="s">
        <v>212</v>
      </c>
      <c r="N2940" s="5" t="s">
        <v>8922</v>
      </c>
      <c r="O2940" s="5">
        <v>6.64</v>
      </c>
      <c r="P2940" s="5">
        <v>6.64</v>
      </c>
      <c r="Q2940" s="5">
        <v>6.15</v>
      </c>
      <c r="R2940" s="5">
        <v>6.26</v>
      </c>
      <c r="S2940" s="5">
        <v>6.26</v>
      </c>
      <c r="T2940" s="5">
        <v>6.46</v>
      </c>
      <c r="V2940" s="5">
        <v>6.26</v>
      </c>
      <c r="Y2940" s="5">
        <v>12792</v>
      </c>
      <c r="Z2940" s="5">
        <v>79787.8</v>
      </c>
      <c r="AA2940" s="5">
        <v>79</v>
      </c>
      <c r="AB2940" s="5" t="s">
        <v>85</v>
      </c>
      <c r="AC2940" s="5">
        <v>1</v>
      </c>
    </row>
    <row r="2941" spans="1:29" x14ac:dyDescent="0.3">
      <c r="A2941" s="34">
        <v>46274</v>
      </c>
      <c r="B2941" s="34">
        <v>46274</v>
      </c>
      <c r="C2941" s="5" t="s">
        <v>78</v>
      </c>
      <c r="D2941" s="5" t="s">
        <v>79</v>
      </c>
      <c r="E2941" s="5" t="s">
        <v>80</v>
      </c>
      <c r="F2941" s="5">
        <v>762904</v>
      </c>
      <c r="G2941" s="5" t="s">
        <v>8923</v>
      </c>
      <c r="H2941" s="5" t="s">
        <v>8924</v>
      </c>
      <c r="I2941" s="5" t="s">
        <v>212</v>
      </c>
      <c r="N2941" s="5" t="s">
        <v>8925</v>
      </c>
      <c r="O2941" s="5">
        <v>161.69999999999999</v>
      </c>
      <c r="P2941" s="5">
        <v>161.88</v>
      </c>
      <c r="Q2941" s="5">
        <v>160</v>
      </c>
      <c r="R2941" s="5">
        <v>160.76</v>
      </c>
      <c r="S2941" s="5">
        <v>160</v>
      </c>
      <c r="T2941" s="5">
        <v>160.65</v>
      </c>
      <c r="V2941" s="5">
        <v>160.76</v>
      </c>
      <c r="Y2941" s="5">
        <v>153215</v>
      </c>
      <c r="Z2941" s="5">
        <v>24617997.75</v>
      </c>
      <c r="AA2941" s="5">
        <v>570</v>
      </c>
      <c r="AB2941" s="5" t="s">
        <v>85</v>
      </c>
      <c r="AC2941" s="5">
        <v>1</v>
      </c>
    </row>
    <row r="2942" spans="1:29" x14ac:dyDescent="0.3">
      <c r="A2942" s="34">
        <v>46274</v>
      </c>
      <c r="B2942" s="34">
        <v>46274</v>
      </c>
      <c r="C2942" s="5" t="s">
        <v>78</v>
      </c>
      <c r="D2942" s="5" t="s">
        <v>79</v>
      </c>
      <c r="E2942" s="5" t="s">
        <v>80</v>
      </c>
      <c r="F2942" s="5">
        <v>4992</v>
      </c>
      <c r="G2942" s="5" t="s">
        <v>8926</v>
      </c>
      <c r="H2942" s="5" t="s">
        <v>8927</v>
      </c>
      <c r="I2942" s="5" t="s">
        <v>212</v>
      </c>
      <c r="N2942" s="5" t="s">
        <v>8928</v>
      </c>
      <c r="O2942" s="5">
        <v>797</v>
      </c>
      <c r="P2942" s="5">
        <v>797.4</v>
      </c>
      <c r="Q2942" s="5">
        <v>782</v>
      </c>
      <c r="R2942" s="5">
        <v>783.5</v>
      </c>
      <c r="S2942" s="5">
        <v>783</v>
      </c>
      <c r="T2942" s="5">
        <v>795.9</v>
      </c>
      <c r="V2942" s="5">
        <v>783.49</v>
      </c>
      <c r="Y2942" s="5">
        <v>90922</v>
      </c>
      <c r="Z2942" s="5">
        <v>71702368.099999994</v>
      </c>
      <c r="AA2942" s="5">
        <v>6962</v>
      </c>
      <c r="AB2942" s="5" t="s">
        <v>85</v>
      </c>
      <c r="AC2942" s="5">
        <v>1</v>
      </c>
    </row>
    <row r="2943" spans="1:29" x14ac:dyDescent="0.3">
      <c r="A2943" s="34">
        <v>46274</v>
      </c>
      <c r="B2943" s="34">
        <v>46274</v>
      </c>
      <c r="C2943" s="5" t="s">
        <v>78</v>
      </c>
      <c r="D2943" s="5" t="s">
        <v>79</v>
      </c>
      <c r="E2943" s="5" t="s">
        <v>80</v>
      </c>
      <c r="F2943" s="5">
        <v>10530</v>
      </c>
      <c r="G2943" s="5" t="s">
        <v>8929</v>
      </c>
      <c r="H2943" s="5" t="s">
        <v>8930</v>
      </c>
      <c r="I2943" s="5" t="s">
        <v>212</v>
      </c>
      <c r="N2943" s="5" t="s">
        <v>8931</v>
      </c>
      <c r="O2943" s="5">
        <v>890.75</v>
      </c>
      <c r="P2943" s="5">
        <v>921.75</v>
      </c>
      <c r="Q2943" s="5">
        <v>885.05</v>
      </c>
      <c r="R2943" s="5">
        <v>909.3</v>
      </c>
      <c r="S2943" s="5">
        <v>905</v>
      </c>
      <c r="T2943" s="5">
        <v>890.75</v>
      </c>
      <c r="V2943" s="5">
        <v>909.34</v>
      </c>
      <c r="Y2943" s="5">
        <v>72950</v>
      </c>
      <c r="Z2943" s="5">
        <v>66220063.399999999</v>
      </c>
      <c r="AA2943" s="5">
        <v>6672</v>
      </c>
      <c r="AB2943" s="5" t="s">
        <v>85</v>
      </c>
      <c r="AC2943" s="5">
        <v>1</v>
      </c>
    </row>
    <row r="2944" spans="1:29" x14ac:dyDescent="0.3">
      <c r="A2944" s="34">
        <v>46274</v>
      </c>
      <c r="B2944" s="34">
        <v>46274</v>
      </c>
      <c r="C2944" s="5" t="s">
        <v>78</v>
      </c>
      <c r="D2944" s="5" t="s">
        <v>79</v>
      </c>
      <c r="E2944" s="5" t="s">
        <v>80</v>
      </c>
      <c r="F2944" s="5">
        <v>762897</v>
      </c>
      <c r="G2944" s="5" t="s">
        <v>8932</v>
      </c>
      <c r="H2944" s="5" t="s">
        <v>8933</v>
      </c>
      <c r="I2944" s="5" t="s">
        <v>234</v>
      </c>
      <c r="N2944" s="5" t="s">
        <v>8934</v>
      </c>
      <c r="O2944" s="5">
        <v>54.03</v>
      </c>
      <c r="P2944" s="5">
        <v>55</v>
      </c>
      <c r="Q2944" s="5">
        <v>53.7</v>
      </c>
      <c r="R2944" s="5">
        <v>54.06</v>
      </c>
      <c r="S2944" s="5">
        <v>54.06</v>
      </c>
      <c r="T2944" s="5">
        <v>54.03</v>
      </c>
      <c r="V2944" s="5">
        <v>54.06</v>
      </c>
      <c r="Y2944" s="5">
        <v>17322</v>
      </c>
      <c r="Z2944" s="5">
        <v>933482.53</v>
      </c>
      <c r="AA2944" s="5">
        <v>51</v>
      </c>
      <c r="AB2944" s="5" t="s">
        <v>85</v>
      </c>
      <c r="AC2944" s="5">
        <v>1</v>
      </c>
    </row>
    <row r="2945" spans="1:29" x14ac:dyDescent="0.3">
      <c r="A2945" s="34">
        <v>46274</v>
      </c>
      <c r="B2945" s="34">
        <v>46274</v>
      </c>
      <c r="C2945" s="5" t="s">
        <v>78</v>
      </c>
      <c r="D2945" s="5" t="s">
        <v>79</v>
      </c>
      <c r="E2945" s="5" t="s">
        <v>80</v>
      </c>
      <c r="F2945" s="5">
        <v>104</v>
      </c>
      <c r="G2945" s="5" t="s">
        <v>8935</v>
      </c>
      <c r="H2945" s="5" t="s">
        <v>8936</v>
      </c>
      <c r="I2945" s="5" t="s">
        <v>212</v>
      </c>
      <c r="N2945" s="5" t="s">
        <v>8937</v>
      </c>
      <c r="O2945" s="5">
        <v>170.2</v>
      </c>
      <c r="P2945" s="5">
        <v>196.6</v>
      </c>
      <c r="Q2945" s="5">
        <v>168.71</v>
      </c>
      <c r="R2945" s="5">
        <v>189.46</v>
      </c>
      <c r="S2945" s="5">
        <v>188.5</v>
      </c>
      <c r="T2945" s="5">
        <v>170.91</v>
      </c>
      <c r="V2945" s="5">
        <v>189.47</v>
      </c>
      <c r="Y2945" s="5">
        <v>28867559</v>
      </c>
      <c r="Z2945" s="5">
        <v>5504724095.6000004</v>
      </c>
      <c r="AA2945" s="5">
        <v>210510</v>
      </c>
      <c r="AB2945" s="5" t="s">
        <v>85</v>
      </c>
      <c r="AC2945" s="5">
        <v>1</v>
      </c>
    </row>
    <row r="2946" spans="1:29" x14ac:dyDescent="0.3">
      <c r="A2946" s="34">
        <v>46274</v>
      </c>
      <c r="B2946" s="34">
        <v>46274</v>
      </c>
      <c r="C2946" s="5" t="s">
        <v>78</v>
      </c>
      <c r="D2946" s="5" t="s">
        <v>79</v>
      </c>
      <c r="E2946" s="5" t="s">
        <v>80</v>
      </c>
      <c r="F2946" s="5">
        <v>19469</v>
      </c>
      <c r="G2946" s="5" t="s">
        <v>8938</v>
      </c>
      <c r="H2946" s="5" t="s">
        <v>8939</v>
      </c>
      <c r="I2946" s="5" t="s">
        <v>313</v>
      </c>
      <c r="N2946" s="5" t="s">
        <v>8940</v>
      </c>
      <c r="O2946" s="5">
        <v>78.05</v>
      </c>
      <c r="P2946" s="5">
        <v>78.150000000000006</v>
      </c>
      <c r="Q2946" s="5">
        <v>74.25</v>
      </c>
      <c r="R2946" s="5">
        <v>76.7</v>
      </c>
      <c r="S2946" s="5">
        <v>75.7</v>
      </c>
      <c r="T2946" s="5">
        <v>79.900000000000006</v>
      </c>
      <c r="V2946" s="5">
        <v>76.7</v>
      </c>
      <c r="Y2946" s="5">
        <v>32000</v>
      </c>
      <c r="Z2946" s="5">
        <v>2447600</v>
      </c>
      <c r="AA2946" s="5">
        <v>20</v>
      </c>
      <c r="AB2946" s="5" t="s">
        <v>85</v>
      </c>
      <c r="AC2946" s="5">
        <v>1000</v>
      </c>
    </row>
    <row r="2947" spans="1:29" x14ac:dyDescent="0.3">
      <c r="A2947" s="34">
        <v>46274</v>
      </c>
      <c r="B2947" s="34">
        <v>46274</v>
      </c>
      <c r="C2947" s="5" t="s">
        <v>78</v>
      </c>
      <c r="D2947" s="5" t="s">
        <v>79</v>
      </c>
      <c r="E2947" s="5" t="s">
        <v>80</v>
      </c>
      <c r="F2947" s="5">
        <v>759410</v>
      </c>
      <c r="G2947" s="5" t="s">
        <v>8941</v>
      </c>
      <c r="H2947" s="5" t="s">
        <v>8942</v>
      </c>
      <c r="I2947" s="5" t="s">
        <v>392</v>
      </c>
      <c r="N2947" s="5" t="s">
        <v>8943</v>
      </c>
      <c r="O2947" s="5">
        <v>59</v>
      </c>
      <c r="P2947" s="5">
        <v>62.65</v>
      </c>
      <c r="Q2947" s="5">
        <v>59</v>
      </c>
      <c r="R2947" s="5">
        <v>62</v>
      </c>
      <c r="S2947" s="5">
        <v>62</v>
      </c>
      <c r="T2947" s="5">
        <v>60</v>
      </c>
      <c r="V2947" s="5">
        <v>62</v>
      </c>
      <c r="Y2947" s="5">
        <v>6000</v>
      </c>
      <c r="Z2947" s="5">
        <v>367300</v>
      </c>
      <c r="AA2947" s="5">
        <v>3</v>
      </c>
      <c r="AB2947" s="5" t="s">
        <v>85</v>
      </c>
      <c r="AC2947" s="5">
        <v>2000</v>
      </c>
    </row>
    <row r="2948" spans="1:29" x14ac:dyDescent="0.3">
      <c r="A2948" s="34">
        <v>46274</v>
      </c>
      <c r="B2948" s="34">
        <v>46274</v>
      </c>
      <c r="C2948" s="5" t="s">
        <v>78</v>
      </c>
      <c r="D2948" s="5" t="s">
        <v>79</v>
      </c>
      <c r="E2948" s="5" t="s">
        <v>80</v>
      </c>
      <c r="F2948" s="5">
        <v>19184</v>
      </c>
      <c r="G2948" s="5" t="s">
        <v>8944</v>
      </c>
      <c r="H2948" s="5" t="s">
        <v>8945</v>
      </c>
      <c r="I2948" s="5" t="s">
        <v>212</v>
      </c>
      <c r="N2948" s="5" t="s">
        <v>8946</v>
      </c>
      <c r="O2948" s="5">
        <v>681.6</v>
      </c>
      <c r="P2948" s="5">
        <v>698.6</v>
      </c>
      <c r="Q2948" s="5">
        <v>676</v>
      </c>
      <c r="R2948" s="5">
        <v>687</v>
      </c>
      <c r="S2948" s="5">
        <v>683</v>
      </c>
      <c r="T2948" s="5">
        <v>675.95</v>
      </c>
      <c r="V2948" s="5">
        <v>687.23</v>
      </c>
      <c r="Y2948" s="5">
        <v>377404</v>
      </c>
      <c r="Z2948" s="5">
        <v>260053762.59999999</v>
      </c>
      <c r="AA2948" s="5">
        <v>21962</v>
      </c>
      <c r="AB2948" s="5" t="s">
        <v>85</v>
      </c>
      <c r="AC2948" s="5">
        <v>1</v>
      </c>
    </row>
    <row r="2949" spans="1:29" x14ac:dyDescent="0.3">
      <c r="A2949" s="34">
        <v>46274</v>
      </c>
      <c r="B2949" s="34">
        <v>46274</v>
      </c>
      <c r="C2949" s="5" t="s">
        <v>78</v>
      </c>
      <c r="D2949" s="5" t="s">
        <v>79</v>
      </c>
      <c r="E2949" s="5" t="s">
        <v>80</v>
      </c>
      <c r="F2949" s="5">
        <v>12081</v>
      </c>
      <c r="G2949" s="5" t="s">
        <v>8947</v>
      </c>
      <c r="H2949" s="5" t="s">
        <v>8948</v>
      </c>
      <c r="I2949" s="5" t="s">
        <v>234</v>
      </c>
      <c r="N2949" s="5" t="s">
        <v>8949</v>
      </c>
      <c r="O2949" s="5">
        <v>662.2</v>
      </c>
      <c r="P2949" s="5">
        <v>680</v>
      </c>
      <c r="Q2949" s="5">
        <v>643</v>
      </c>
      <c r="R2949" s="5">
        <v>648.1</v>
      </c>
      <c r="S2949" s="5">
        <v>647</v>
      </c>
      <c r="T2949" s="5">
        <v>662.2</v>
      </c>
      <c r="V2949" s="5">
        <v>648.45000000000005</v>
      </c>
      <c r="Y2949" s="5">
        <v>15443</v>
      </c>
      <c r="Z2949" s="5">
        <v>10193616.5</v>
      </c>
      <c r="AA2949" s="5">
        <v>290</v>
      </c>
      <c r="AB2949" s="5" t="s">
        <v>85</v>
      </c>
      <c r="AC2949" s="5">
        <v>1</v>
      </c>
    </row>
    <row r="2950" spans="1:29" x14ac:dyDescent="0.3">
      <c r="A2950" s="34">
        <v>46274</v>
      </c>
      <c r="B2950" s="34">
        <v>46274</v>
      </c>
      <c r="C2950" s="5" t="s">
        <v>78</v>
      </c>
      <c r="D2950" s="5" t="s">
        <v>79</v>
      </c>
      <c r="E2950" s="5" t="s">
        <v>80</v>
      </c>
      <c r="F2950" s="5">
        <v>20415</v>
      </c>
      <c r="G2950" s="5" t="s">
        <v>8950</v>
      </c>
      <c r="H2950" s="5" t="s">
        <v>8951</v>
      </c>
      <c r="I2950" s="5" t="s">
        <v>313</v>
      </c>
      <c r="N2950" s="5" t="s">
        <v>8952</v>
      </c>
      <c r="O2950" s="5">
        <v>349.9</v>
      </c>
      <c r="P2950" s="5">
        <v>349.9</v>
      </c>
      <c r="Q2950" s="5">
        <v>348.5</v>
      </c>
      <c r="R2950" s="5">
        <v>349.75</v>
      </c>
      <c r="S2950" s="5">
        <v>349.9</v>
      </c>
      <c r="T2950" s="5">
        <v>350</v>
      </c>
      <c r="V2950" s="5">
        <v>349.75</v>
      </c>
      <c r="Y2950" s="5">
        <v>6000</v>
      </c>
      <c r="Z2950" s="5">
        <v>2098475</v>
      </c>
      <c r="AA2950" s="5">
        <v>4</v>
      </c>
      <c r="AB2950" s="5" t="s">
        <v>85</v>
      </c>
      <c r="AC2950" s="5">
        <v>500</v>
      </c>
    </row>
    <row r="2951" spans="1:29" x14ac:dyDescent="0.3">
      <c r="A2951" s="34">
        <v>46274</v>
      </c>
      <c r="B2951" s="34">
        <v>46274</v>
      </c>
      <c r="C2951" s="5" t="s">
        <v>78</v>
      </c>
      <c r="D2951" s="5" t="s">
        <v>79</v>
      </c>
      <c r="E2951" s="5" t="s">
        <v>80</v>
      </c>
      <c r="F2951" s="5">
        <v>21099</v>
      </c>
      <c r="G2951" s="5" t="s">
        <v>8953</v>
      </c>
      <c r="H2951" s="5" t="s">
        <v>8954</v>
      </c>
      <c r="I2951" s="5" t="s">
        <v>234</v>
      </c>
      <c r="N2951" s="5" t="s">
        <v>8955</v>
      </c>
      <c r="O2951" s="5">
        <v>17.600000000000001</v>
      </c>
      <c r="P2951" s="5">
        <v>17.649999999999999</v>
      </c>
      <c r="Q2951" s="5">
        <v>16.5</v>
      </c>
      <c r="R2951" s="5">
        <v>17.579999999999998</v>
      </c>
      <c r="S2951" s="5">
        <v>17.649999999999999</v>
      </c>
      <c r="T2951" s="5">
        <v>16.809999999999999</v>
      </c>
      <c r="V2951" s="5">
        <v>17.579999999999998</v>
      </c>
      <c r="Y2951" s="5">
        <v>43958</v>
      </c>
      <c r="Z2951" s="5">
        <v>772795.7</v>
      </c>
      <c r="AA2951" s="5">
        <v>113</v>
      </c>
      <c r="AB2951" s="5" t="s">
        <v>85</v>
      </c>
      <c r="AC2951" s="5">
        <v>1</v>
      </c>
    </row>
    <row r="2952" spans="1:29" x14ac:dyDescent="0.3">
      <c r="A2952" s="34">
        <v>46274</v>
      </c>
      <c r="B2952" s="34">
        <v>46274</v>
      </c>
      <c r="C2952" s="5" t="s">
        <v>78</v>
      </c>
      <c r="D2952" s="5" t="s">
        <v>79</v>
      </c>
      <c r="E2952" s="5" t="s">
        <v>80</v>
      </c>
      <c r="F2952" s="5">
        <v>5072</v>
      </c>
      <c r="G2952" s="5" t="s">
        <v>8956</v>
      </c>
      <c r="H2952" s="5" t="s">
        <v>8957</v>
      </c>
      <c r="I2952" s="5" t="s">
        <v>234</v>
      </c>
      <c r="N2952" s="5" t="s">
        <v>8958</v>
      </c>
      <c r="O2952" s="5">
        <v>125.31</v>
      </c>
      <c r="P2952" s="5">
        <v>125.99</v>
      </c>
      <c r="Q2952" s="5">
        <v>122.52</v>
      </c>
      <c r="R2952" s="5">
        <v>123.32</v>
      </c>
      <c r="S2952" s="5">
        <v>123.11</v>
      </c>
      <c r="T2952" s="5">
        <v>125.31</v>
      </c>
      <c r="V2952" s="5">
        <v>123.32</v>
      </c>
      <c r="Y2952" s="5">
        <v>5243</v>
      </c>
      <c r="Z2952" s="5">
        <v>648183.23</v>
      </c>
      <c r="AA2952" s="5">
        <v>80</v>
      </c>
      <c r="AB2952" s="5" t="s">
        <v>85</v>
      </c>
      <c r="AC2952" s="5">
        <v>1</v>
      </c>
    </row>
    <row r="2953" spans="1:29" x14ac:dyDescent="0.3">
      <c r="A2953" s="34">
        <v>46274</v>
      </c>
      <c r="B2953" s="34">
        <v>46274</v>
      </c>
      <c r="C2953" s="5" t="s">
        <v>78</v>
      </c>
      <c r="D2953" s="5" t="s">
        <v>79</v>
      </c>
      <c r="E2953" s="5" t="s">
        <v>80</v>
      </c>
      <c r="F2953" s="5">
        <v>14172</v>
      </c>
      <c r="G2953" s="5" t="s">
        <v>8959</v>
      </c>
      <c r="H2953" s="5" t="s">
        <v>8960</v>
      </c>
      <c r="I2953" s="5" t="s">
        <v>313</v>
      </c>
      <c r="N2953" s="5" t="s">
        <v>8961</v>
      </c>
      <c r="O2953" s="5">
        <v>185</v>
      </c>
      <c r="P2953" s="5">
        <v>187.55</v>
      </c>
      <c r="Q2953" s="5">
        <v>183.9</v>
      </c>
      <c r="R2953" s="5">
        <v>184.45</v>
      </c>
      <c r="S2953" s="5">
        <v>183.9</v>
      </c>
      <c r="T2953" s="5">
        <v>186</v>
      </c>
      <c r="V2953" s="5">
        <v>184.45</v>
      </c>
      <c r="Y2953" s="5">
        <v>41000</v>
      </c>
      <c r="Z2953" s="5">
        <v>7609000</v>
      </c>
      <c r="AA2953" s="5">
        <v>38</v>
      </c>
      <c r="AB2953" s="5" t="s">
        <v>85</v>
      </c>
      <c r="AC2953" s="5">
        <v>1000</v>
      </c>
    </row>
    <row r="2954" spans="1:29" x14ac:dyDescent="0.3">
      <c r="A2954" s="34">
        <v>46274</v>
      </c>
      <c r="B2954" s="34">
        <v>46274</v>
      </c>
      <c r="C2954" s="5" t="s">
        <v>78</v>
      </c>
      <c r="D2954" s="5" t="s">
        <v>79</v>
      </c>
      <c r="E2954" s="5" t="s">
        <v>80</v>
      </c>
      <c r="F2954" s="5">
        <v>764890</v>
      </c>
      <c r="G2954" s="5" t="s">
        <v>8962</v>
      </c>
      <c r="H2954" s="5" t="s">
        <v>8963</v>
      </c>
      <c r="I2954" s="5" t="s">
        <v>212</v>
      </c>
      <c r="N2954" s="5" t="s">
        <v>8964</v>
      </c>
      <c r="O2954" s="5">
        <v>305</v>
      </c>
      <c r="P2954" s="5">
        <v>324.85000000000002</v>
      </c>
      <c r="Q2954" s="5">
        <v>305</v>
      </c>
      <c r="R2954" s="5">
        <v>310.35000000000002</v>
      </c>
      <c r="S2954" s="5">
        <v>310.35000000000002</v>
      </c>
      <c r="T2954" s="5">
        <v>324.89999999999998</v>
      </c>
      <c r="V2954" s="5">
        <v>320.18</v>
      </c>
      <c r="Y2954" s="5">
        <v>6</v>
      </c>
      <c r="Z2954" s="5">
        <v>1913.65</v>
      </c>
      <c r="AA2954" s="5">
        <v>5</v>
      </c>
      <c r="AB2954" s="5" t="s">
        <v>85</v>
      </c>
      <c r="AC2954" s="5">
        <v>1</v>
      </c>
    </row>
    <row r="2955" spans="1:29" x14ac:dyDescent="0.3">
      <c r="A2955" s="34">
        <v>46274</v>
      </c>
      <c r="B2955" s="34">
        <v>46274</v>
      </c>
      <c r="C2955" s="5" t="s">
        <v>78</v>
      </c>
      <c r="D2955" s="5" t="s">
        <v>79</v>
      </c>
      <c r="E2955" s="5" t="s">
        <v>80</v>
      </c>
      <c r="F2955" s="5">
        <v>8394</v>
      </c>
      <c r="G2955" s="5" t="s">
        <v>8965</v>
      </c>
      <c r="H2955" s="5" t="s">
        <v>8966</v>
      </c>
      <c r="I2955" s="5" t="s">
        <v>313</v>
      </c>
      <c r="N2955" s="5" t="s">
        <v>8967</v>
      </c>
      <c r="O2955" s="5">
        <v>66.5</v>
      </c>
      <c r="P2955" s="5">
        <v>68</v>
      </c>
      <c r="Q2955" s="5">
        <v>66.5</v>
      </c>
      <c r="R2955" s="5">
        <v>68</v>
      </c>
      <c r="S2955" s="5">
        <v>68</v>
      </c>
      <c r="T2955" s="5">
        <v>69</v>
      </c>
      <c r="V2955" s="5">
        <v>68</v>
      </c>
      <c r="Y2955" s="5">
        <v>4500</v>
      </c>
      <c r="Z2955" s="5">
        <v>301500</v>
      </c>
      <c r="AA2955" s="5">
        <v>3</v>
      </c>
      <c r="AB2955" s="5" t="s">
        <v>85</v>
      </c>
      <c r="AC2955" s="5">
        <v>1500</v>
      </c>
    </row>
    <row r="2956" spans="1:29" x14ac:dyDescent="0.3">
      <c r="A2956" s="34">
        <v>46274</v>
      </c>
      <c r="B2956" s="34">
        <v>46274</v>
      </c>
      <c r="C2956" s="5" t="s">
        <v>78</v>
      </c>
      <c r="D2956" s="5" t="s">
        <v>79</v>
      </c>
      <c r="E2956" s="5" t="s">
        <v>80</v>
      </c>
      <c r="F2956" s="5">
        <v>759847</v>
      </c>
      <c r="G2956" s="5" t="s">
        <v>8968</v>
      </c>
      <c r="H2956" s="5" t="s">
        <v>8969</v>
      </c>
      <c r="I2956" s="5" t="s">
        <v>212</v>
      </c>
      <c r="N2956" s="5" t="s">
        <v>8970</v>
      </c>
      <c r="O2956" s="5">
        <v>4239.8999999999996</v>
      </c>
      <c r="P2956" s="5">
        <v>4239.8999999999996</v>
      </c>
      <c r="Q2956" s="5">
        <v>4063</v>
      </c>
      <c r="R2956" s="5">
        <v>4089.2</v>
      </c>
      <c r="S2956" s="5">
        <v>4112</v>
      </c>
      <c r="T2956" s="5">
        <v>4212.5</v>
      </c>
      <c r="V2956" s="5">
        <v>4089</v>
      </c>
      <c r="Y2956" s="5">
        <v>15750</v>
      </c>
      <c r="Z2956" s="5">
        <v>64867638.399999999</v>
      </c>
      <c r="AA2956" s="5">
        <v>3789</v>
      </c>
      <c r="AB2956" s="5" t="s">
        <v>85</v>
      </c>
      <c r="AC2956" s="5">
        <v>1</v>
      </c>
    </row>
    <row r="2957" spans="1:29" x14ac:dyDescent="0.3">
      <c r="A2957" s="34">
        <v>46274</v>
      </c>
      <c r="B2957" s="34">
        <v>46274</v>
      </c>
      <c r="C2957" s="5" t="s">
        <v>78</v>
      </c>
      <c r="D2957" s="5" t="s">
        <v>79</v>
      </c>
      <c r="E2957" s="5" t="s">
        <v>80</v>
      </c>
      <c r="F2957" s="5">
        <v>764895</v>
      </c>
      <c r="G2957" s="5" t="s">
        <v>8971</v>
      </c>
      <c r="H2957" s="5" t="s">
        <v>8972</v>
      </c>
      <c r="I2957" s="5" t="s">
        <v>212</v>
      </c>
      <c r="N2957" s="5" t="s">
        <v>8973</v>
      </c>
      <c r="O2957" s="5">
        <v>151</v>
      </c>
      <c r="P2957" s="5">
        <v>153</v>
      </c>
      <c r="Q2957" s="5">
        <v>151</v>
      </c>
      <c r="R2957" s="5">
        <v>151.61000000000001</v>
      </c>
      <c r="S2957" s="5">
        <v>153</v>
      </c>
      <c r="T2957" s="5">
        <v>150.21</v>
      </c>
      <c r="V2957" s="5">
        <v>152.30000000000001</v>
      </c>
      <c r="Y2957" s="5">
        <v>826</v>
      </c>
      <c r="Z2957" s="5">
        <v>124926.01</v>
      </c>
      <c r="AA2957" s="5">
        <v>15</v>
      </c>
      <c r="AB2957" s="5" t="s">
        <v>85</v>
      </c>
      <c r="AC2957" s="5">
        <v>1</v>
      </c>
    </row>
    <row r="2958" spans="1:29" x14ac:dyDescent="0.3">
      <c r="A2958" s="34">
        <v>46274</v>
      </c>
      <c r="B2958" s="34">
        <v>46274</v>
      </c>
      <c r="C2958" s="5" t="s">
        <v>78</v>
      </c>
      <c r="D2958" s="5" t="s">
        <v>79</v>
      </c>
      <c r="E2958" s="5" t="s">
        <v>80</v>
      </c>
      <c r="F2958" s="5">
        <v>17752</v>
      </c>
      <c r="G2958" s="5" t="s">
        <v>8974</v>
      </c>
      <c r="H2958" s="5" t="s">
        <v>8975</v>
      </c>
      <c r="I2958" s="5" t="s">
        <v>212</v>
      </c>
      <c r="N2958" s="5" t="s">
        <v>8976</v>
      </c>
      <c r="O2958" s="5">
        <v>959.9</v>
      </c>
      <c r="P2958" s="5">
        <v>974.95</v>
      </c>
      <c r="Q2958" s="5">
        <v>954.1</v>
      </c>
      <c r="R2958" s="5">
        <v>960.6</v>
      </c>
      <c r="S2958" s="5">
        <v>962.3</v>
      </c>
      <c r="T2958" s="5">
        <v>959.9</v>
      </c>
      <c r="V2958" s="5">
        <v>960.63</v>
      </c>
      <c r="Y2958" s="5">
        <v>694978</v>
      </c>
      <c r="Z2958" s="5">
        <v>668736399.54999995</v>
      </c>
      <c r="AA2958" s="5">
        <v>26432</v>
      </c>
      <c r="AB2958" s="5" t="s">
        <v>85</v>
      </c>
      <c r="AC2958" s="5">
        <v>1</v>
      </c>
    </row>
    <row r="2959" spans="1:29" x14ac:dyDescent="0.3">
      <c r="A2959" s="34">
        <v>46274</v>
      </c>
      <c r="B2959" s="34">
        <v>46274</v>
      </c>
      <c r="C2959" s="5" t="s">
        <v>78</v>
      </c>
      <c r="D2959" s="5" t="s">
        <v>79</v>
      </c>
      <c r="E2959" s="5" t="s">
        <v>80</v>
      </c>
      <c r="F2959" s="5">
        <v>23127</v>
      </c>
      <c r="G2959" s="5" t="s">
        <v>8977</v>
      </c>
      <c r="H2959" s="5" t="s">
        <v>8978</v>
      </c>
      <c r="I2959" s="5" t="s">
        <v>212</v>
      </c>
      <c r="N2959" s="5" t="s">
        <v>8979</v>
      </c>
      <c r="O2959" s="5">
        <v>38.78</v>
      </c>
      <c r="P2959" s="5">
        <v>39</v>
      </c>
      <c r="Q2959" s="5">
        <v>38.270000000000003</v>
      </c>
      <c r="R2959" s="5">
        <v>38.43</v>
      </c>
      <c r="S2959" s="5">
        <v>38.5</v>
      </c>
      <c r="T2959" s="5">
        <v>38.770000000000003</v>
      </c>
      <c r="V2959" s="5">
        <v>38.43</v>
      </c>
      <c r="Y2959" s="5">
        <v>141169</v>
      </c>
      <c r="Z2959" s="5">
        <v>5438349.3300000001</v>
      </c>
      <c r="AA2959" s="5">
        <v>1663</v>
      </c>
      <c r="AB2959" s="5" t="s">
        <v>85</v>
      </c>
      <c r="AC2959" s="5">
        <v>1</v>
      </c>
    </row>
    <row r="2960" spans="1:29" x14ac:dyDescent="0.3">
      <c r="A2960" s="34">
        <v>46274</v>
      </c>
      <c r="B2960" s="34">
        <v>46274</v>
      </c>
      <c r="C2960" s="5" t="s">
        <v>78</v>
      </c>
      <c r="D2960" s="5" t="s">
        <v>79</v>
      </c>
      <c r="E2960" s="5" t="s">
        <v>80</v>
      </c>
      <c r="F2960" s="5">
        <v>3048</v>
      </c>
      <c r="G2960" s="5" t="s">
        <v>8980</v>
      </c>
      <c r="H2960" s="5" t="s">
        <v>8981</v>
      </c>
      <c r="I2960" s="5" t="s">
        <v>212</v>
      </c>
      <c r="N2960" s="5" t="s">
        <v>8982</v>
      </c>
      <c r="O2960" s="5">
        <v>288.7</v>
      </c>
      <c r="P2960" s="5">
        <v>291.2</v>
      </c>
      <c r="Q2960" s="5">
        <v>287</v>
      </c>
      <c r="R2960" s="5">
        <v>287.35000000000002</v>
      </c>
      <c r="S2960" s="5">
        <v>287.25</v>
      </c>
      <c r="T2960" s="5">
        <v>288.75</v>
      </c>
      <c r="V2960" s="5">
        <v>287.35000000000002</v>
      </c>
      <c r="Y2960" s="5">
        <v>1073224</v>
      </c>
      <c r="Z2960" s="5">
        <v>309892349.5</v>
      </c>
      <c r="AA2960" s="5">
        <v>18930</v>
      </c>
      <c r="AB2960" s="5" t="s">
        <v>85</v>
      </c>
      <c r="AC2960" s="5">
        <v>1</v>
      </c>
    </row>
    <row r="2961" spans="1:29" x14ac:dyDescent="0.3">
      <c r="A2961" s="34">
        <v>46274</v>
      </c>
      <c r="B2961" s="34">
        <v>46274</v>
      </c>
      <c r="C2961" s="5" t="s">
        <v>78</v>
      </c>
      <c r="D2961" s="5" t="s">
        <v>79</v>
      </c>
      <c r="E2961" s="5" t="s">
        <v>80</v>
      </c>
      <c r="F2961" s="5">
        <v>765282</v>
      </c>
      <c r="G2961" s="5" t="s">
        <v>8983</v>
      </c>
      <c r="H2961" s="5" t="s">
        <v>8984</v>
      </c>
      <c r="I2961" s="5" t="s">
        <v>212</v>
      </c>
      <c r="N2961" s="5" t="s">
        <v>8985</v>
      </c>
      <c r="O2961" s="5">
        <v>134.78</v>
      </c>
      <c r="P2961" s="5">
        <v>136</v>
      </c>
      <c r="Q2961" s="5">
        <v>131.22999999999999</v>
      </c>
      <c r="R2961" s="5">
        <v>132.37</v>
      </c>
      <c r="S2961" s="5">
        <v>133</v>
      </c>
      <c r="T2961" s="5">
        <v>134.77000000000001</v>
      </c>
      <c r="V2961" s="5">
        <v>132.38</v>
      </c>
      <c r="Y2961" s="5">
        <v>4190927</v>
      </c>
      <c r="Z2961" s="5">
        <v>556671666.84000003</v>
      </c>
      <c r="AA2961" s="5">
        <v>23870</v>
      </c>
      <c r="AB2961" s="5" t="s">
        <v>85</v>
      </c>
      <c r="AC2961" s="5">
        <v>1</v>
      </c>
    </row>
    <row r="2962" spans="1:29" x14ac:dyDescent="0.3">
      <c r="A2962" s="34">
        <v>46274</v>
      </c>
      <c r="B2962" s="34">
        <v>46274</v>
      </c>
      <c r="C2962" s="5" t="s">
        <v>78</v>
      </c>
      <c r="D2962" s="5" t="s">
        <v>79</v>
      </c>
      <c r="E2962" s="5" t="s">
        <v>80</v>
      </c>
      <c r="F2962" s="5">
        <v>759747</v>
      </c>
      <c r="G2962" s="5" t="s">
        <v>8986</v>
      </c>
      <c r="H2962" s="5" t="s">
        <v>8987</v>
      </c>
      <c r="I2962" s="5" t="s">
        <v>212</v>
      </c>
      <c r="N2962" s="5" t="s">
        <v>8988</v>
      </c>
      <c r="O2962" s="5">
        <v>464.05</v>
      </c>
      <c r="P2962" s="5">
        <v>465</v>
      </c>
      <c r="Q2962" s="5">
        <v>460.55</v>
      </c>
      <c r="R2962" s="5">
        <v>464.35</v>
      </c>
      <c r="S2962" s="5">
        <v>465</v>
      </c>
      <c r="T2962" s="5">
        <v>461.2</v>
      </c>
      <c r="V2962" s="5">
        <v>464.35</v>
      </c>
      <c r="Y2962" s="5">
        <v>1445</v>
      </c>
      <c r="Z2962" s="5">
        <v>669733.1</v>
      </c>
      <c r="AA2962" s="5">
        <v>213</v>
      </c>
      <c r="AB2962" s="5" t="s">
        <v>85</v>
      </c>
      <c r="AC2962" s="5">
        <v>1</v>
      </c>
    </row>
    <row r="2963" spans="1:29" x14ac:dyDescent="0.3">
      <c r="A2963" s="34">
        <v>46274</v>
      </c>
      <c r="B2963" s="34">
        <v>46274</v>
      </c>
      <c r="C2963" s="5" t="s">
        <v>78</v>
      </c>
      <c r="D2963" s="5" t="s">
        <v>79</v>
      </c>
      <c r="E2963" s="5" t="s">
        <v>80</v>
      </c>
      <c r="F2963" s="5">
        <v>765160</v>
      </c>
      <c r="G2963" s="5" t="s">
        <v>8989</v>
      </c>
      <c r="H2963" s="5" t="s">
        <v>8990</v>
      </c>
      <c r="I2963" s="5" t="s">
        <v>212</v>
      </c>
      <c r="N2963" s="5" t="s">
        <v>8991</v>
      </c>
      <c r="O2963" s="5">
        <v>16.12</v>
      </c>
      <c r="P2963" s="5">
        <v>16.12</v>
      </c>
      <c r="Q2963" s="5">
        <v>15.8</v>
      </c>
      <c r="R2963" s="5">
        <v>15.89</v>
      </c>
      <c r="S2963" s="5">
        <v>15.89</v>
      </c>
      <c r="T2963" s="5">
        <v>16.12</v>
      </c>
      <c r="V2963" s="5">
        <v>15.89</v>
      </c>
      <c r="Y2963" s="5">
        <v>45230</v>
      </c>
      <c r="Z2963" s="5">
        <v>720677.71</v>
      </c>
      <c r="AA2963" s="5">
        <v>180</v>
      </c>
      <c r="AB2963" s="5" t="s">
        <v>85</v>
      </c>
      <c r="AC2963" s="5">
        <v>1</v>
      </c>
    </row>
    <row r="2964" spans="1:29" x14ac:dyDescent="0.3">
      <c r="A2964" s="34">
        <v>46274</v>
      </c>
      <c r="B2964" s="34">
        <v>46274</v>
      </c>
      <c r="C2964" s="5" t="s">
        <v>78</v>
      </c>
      <c r="D2964" s="5" t="s">
        <v>79</v>
      </c>
      <c r="E2964" s="5" t="s">
        <v>80</v>
      </c>
      <c r="F2964" s="5">
        <v>764900</v>
      </c>
      <c r="G2964" s="5" t="s">
        <v>8992</v>
      </c>
      <c r="H2964" s="5" t="s">
        <v>8993</v>
      </c>
      <c r="I2964" s="5" t="s">
        <v>212</v>
      </c>
      <c r="N2964" s="5" t="s">
        <v>8994</v>
      </c>
      <c r="O2964" s="5">
        <v>43.05</v>
      </c>
      <c r="P2964" s="5">
        <v>43.05</v>
      </c>
      <c r="Q2964" s="5">
        <v>40.6</v>
      </c>
      <c r="R2964" s="5">
        <v>41.99</v>
      </c>
      <c r="S2964" s="5">
        <v>42</v>
      </c>
      <c r="T2964" s="5">
        <v>42.96</v>
      </c>
      <c r="V2964" s="5">
        <v>41.99</v>
      </c>
      <c r="Y2964" s="5">
        <v>1176</v>
      </c>
      <c r="Z2964" s="5">
        <v>49577.93</v>
      </c>
      <c r="AA2964" s="5">
        <v>24</v>
      </c>
      <c r="AB2964" s="5" t="s">
        <v>85</v>
      </c>
      <c r="AC2964" s="5">
        <v>1</v>
      </c>
    </row>
    <row r="2965" spans="1:29" x14ac:dyDescent="0.3">
      <c r="A2965" s="34">
        <v>46274</v>
      </c>
      <c r="B2965" s="34">
        <v>46274</v>
      </c>
      <c r="C2965" s="5" t="s">
        <v>78</v>
      </c>
      <c r="D2965" s="5" t="s">
        <v>79</v>
      </c>
      <c r="E2965" s="5" t="s">
        <v>80</v>
      </c>
      <c r="F2965" s="5">
        <v>1497</v>
      </c>
      <c r="G2965" s="5" t="s">
        <v>8995</v>
      </c>
      <c r="H2965" s="5" t="s">
        <v>8996</v>
      </c>
      <c r="I2965" s="5" t="s">
        <v>212</v>
      </c>
      <c r="N2965" s="5" t="s">
        <v>8997</v>
      </c>
      <c r="O2965" s="5">
        <v>62</v>
      </c>
      <c r="P2965" s="5">
        <v>62.25</v>
      </c>
      <c r="Q2965" s="5">
        <v>59.86</v>
      </c>
      <c r="R2965" s="5">
        <v>60.47</v>
      </c>
      <c r="S2965" s="5">
        <v>59.86</v>
      </c>
      <c r="T2965" s="5">
        <v>62.63</v>
      </c>
      <c r="V2965" s="5">
        <v>60.42</v>
      </c>
      <c r="Y2965" s="5">
        <v>2344</v>
      </c>
      <c r="Z2965" s="5">
        <v>142404.4</v>
      </c>
      <c r="AA2965" s="5">
        <v>40</v>
      </c>
      <c r="AB2965" s="5" t="s">
        <v>85</v>
      </c>
      <c r="AC2965" s="5">
        <v>1</v>
      </c>
    </row>
    <row r="2966" spans="1:29" x14ac:dyDescent="0.3">
      <c r="A2966" s="34">
        <v>46274</v>
      </c>
      <c r="B2966" s="34">
        <v>46274</v>
      </c>
      <c r="C2966" s="5" t="s">
        <v>78</v>
      </c>
      <c r="D2966" s="5" t="s">
        <v>79</v>
      </c>
      <c r="E2966" s="5" t="s">
        <v>80</v>
      </c>
      <c r="F2966" s="5">
        <v>804</v>
      </c>
      <c r="G2966" s="5" t="s">
        <v>8998</v>
      </c>
      <c r="H2966" s="5" t="s">
        <v>8999</v>
      </c>
      <c r="I2966" s="5" t="s">
        <v>212</v>
      </c>
      <c r="N2966" s="5" t="s">
        <v>9000</v>
      </c>
      <c r="O2966" s="5">
        <v>177.1</v>
      </c>
      <c r="P2966" s="5">
        <v>179</v>
      </c>
      <c r="Q2966" s="5">
        <v>164.1</v>
      </c>
      <c r="R2966" s="5">
        <v>176.64</v>
      </c>
      <c r="S2966" s="5">
        <v>179</v>
      </c>
      <c r="T2966" s="5">
        <v>177.7</v>
      </c>
      <c r="V2966" s="5">
        <v>177.11</v>
      </c>
      <c r="Y2966" s="5">
        <v>4458</v>
      </c>
      <c r="Z2966" s="5">
        <v>785989.86</v>
      </c>
      <c r="AA2966" s="5">
        <v>96</v>
      </c>
      <c r="AB2966" s="5" t="s">
        <v>85</v>
      </c>
      <c r="AC2966" s="5">
        <v>1</v>
      </c>
    </row>
    <row r="2967" spans="1:29" x14ac:dyDescent="0.3">
      <c r="A2967" s="34">
        <v>46274</v>
      </c>
      <c r="B2967" s="34">
        <v>46274</v>
      </c>
      <c r="C2967" s="5" t="s">
        <v>78</v>
      </c>
      <c r="D2967" s="5" t="s">
        <v>79</v>
      </c>
      <c r="E2967" s="5" t="s">
        <v>80</v>
      </c>
      <c r="F2967" s="5">
        <v>24249</v>
      </c>
      <c r="G2967" s="5" t="s">
        <v>9001</v>
      </c>
      <c r="H2967" s="5" t="s">
        <v>9002</v>
      </c>
      <c r="I2967" s="5" t="s">
        <v>313</v>
      </c>
      <c r="N2967" s="5" t="s">
        <v>9003</v>
      </c>
      <c r="O2967" s="5">
        <v>64</v>
      </c>
      <c r="P2967" s="5">
        <v>64.5</v>
      </c>
      <c r="Q2967" s="5">
        <v>63.4</v>
      </c>
      <c r="R2967" s="5">
        <v>64.25</v>
      </c>
      <c r="S2967" s="5">
        <v>64.25</v>
      </c>
      <c r="T2967" s="5">
        <v>63.35</v>
      </c>
      <c r="V2967" s="5">
        <v>64.25</v>
      </c>
      <c r="Y2967" s="5">
        <v>18000</v>
      </c>
      <c r="Z2967" s="5">
        <v>1153170</v>
      </c>
      <c r="AA2967" s="5">
        <v>24</v>
      </c>
      <c r="AB2967" s="5" t="s">
        <v>85</v>
      </c>
      <c r="AC2967" s="5">
        <v>600</v>
      </c>
    </row>
    <row r="2968" spans="1:29" x14ac:dyDescent="0.3">
      <c r="A2968" s="34">
        <v>46274</v>
      </c>
      <c r="B2968" s="34">
        <v>46274</v>
      </c>
      <c r="C2968" s="5" t="s">
        <v>78</v>
      </c>
      <c r="D2968" s="5" t="s">
        <v>79</v>
      </c>
      <c r="E2968" s="5" t="s">
        <v>80</v>
      </c>
      <c r="F2968" s="5">
        <v>4656</v>
      </c>
      <c r="G2968" s="5" t="s">
        <v>9004</v>
      </c>
      <c r="H2968" s="5" t="s">
        <v>9005</v>
      </c>
      <c r="I2968" s="5" t="s">
        <v>212</v>
      </c>
      <c r="N2968" s="5" t="s">
        <v>9006</v>
      </c>
      <c r="O2968" s="5">
        <v>1112</v>
      </c>
      <c r="P2968" s="5">
        <v>1163.5</v>
      </c>
      <c r="Q2968" s="5">
        <v>1108.5999999999999</v>
      </c>
      <c r="R2968" s="5">
        <v>1136.5</v>
      </c>
      <c r="S2968" s="5">
        <v>1139.0999999999999</v>
      </c>
      <c r="T2968" s="5">
        <v>1105.2</v>
      </c>
      <c r="V2968" s="5">
        <v>1136.52</v>
      </c>
      <c r="Y2968" s="5">
        <v>383467</v>
      </c>
      <c r="Z2968" s="5">
        <v>434934170.39999998</v>
      </c>
      <c r="AA2968" s="5">
        <v>21934</v>
      </c>
      <c r="AB2968" s="5" t="s">
        <v>85</v>
      </c>
      <c r="AC2968" s="5">
        <v>1</v>
      </c>
    </row>
    <row r="2969" spans="1:29" x14ac:dyDescent="0.3">
      <c r="A2969" s="34">
        <v>46274</v>
      </c>
      <c r="B2969" s="34">
        <v>46274</v>
      </c>
      <c r="C2969" s="5" t="s">
        <v>78</v>
      </c>
      <c r="D2969" s="5" t="s">
        <v>79</v>
      </c>
      <c r="E2969" s="5" t="s">
        <v>80</v>
      </c>
      <c r="F2969" s="5">
        <v>7016</v>
      </c>
      <c r="G2969" s="5" t="s">
        <v>9007</v>
      </c>
      <c r="H2969" s="5" t="s">
        <v>9008</v>
      </c>
      <c r="I2969" s="5" t="s">
        <v>212</v>
      </c>
      <c r="N2969" s="5" t="s">
        <v>9009</v>
      </c>
      <c r="O2969" s="5">
        <v>322</v>
      </c>
      <c r="P2969" s="5">
        <v>384.9</v>
      </c>
      <c r="Q2969" s="5">
        <v>318.3</v>
      </c>
      <c r="R2969" s="5">
        <v>384.9</v>
      </c>
      <c r="S2969" s="5">
        <v>384.9</v>
      </c>
      <c r="T2969" s="5">
        <v>320.75</v>
      </c>
      <c r="V2969" s="5">
        <v>384.98</v>
      </c>
      <c r="Y2969" s="5">
        <v>471778</v>
      </c>
      <c r="Z2969" s="5">
        <v>173232534.90000001</v>
      </c>
      <c r="AA2969" s="5">
        <v>10932</v>
      </c>
      <c r="AB2969" s="5" t="s">
        <v>85</v>
      </c>
      <c r="AC2969" s="5">
        <v>1</v>
      </c>
    </row>
    <row r="2970" spans="1:29" x14ac:dyDescent="0.3">
      <c r="A2970" s="34">
        <v>46274</v>
      </c>
      <c r="B2970" s="34">
        <v>46274</v>
      </c>
      <c r="C2970" s="5" t="s">
        <v>78</v>
      </c>
      <c r="D2970" s="5" t="s">
        <v>79</v>
      </c>
      <c r="E2970" s="5" t="s">
        <v>80</v>
      </c>
      <c r="F2970" s="5">
        <v>13756</v>
      </c>
      <c r="G2970" s="5" t="s">
        <v>9010</v>
      </c>
      <c r="H2970" s="5" t="s">
        <v>9011</v>
      </c>
      <c r="I2970" s="5" t="s">
        <v>212</v>
      </c>
      <c r="N2970" s="5" t="s">
        <v>9012</v>
      </c>
      <c r="O2970" s="5">
        <v>17.03</v>
      </c>
      <c r="P2970" s="5">
        <v>17.8</v>
      </c>
      <c r="Q2970" s="5">
        <v>16.7</v>
      </c>
      <c r="R2970" s="5">
        <v>16.86</v>
      </c>
      <c r="S2970" s="5">
        <v>17.079999999999998</v>
      </c>
      <c r="T2970" s="5">
        <v>17.03</v>
      </c>
      <c r="V2970" s="5">
        <v>16.86</v>
      </c>
      <c r="Y2970" s="5">
        <v>34231</v>
      </c>
      <c r="Z2970" s="5">
        <v>591350.59</v>
      </c>
      <c r="AA2970" s="5">
        <v>154</v>
      </c>
      <c r="AB2970" s="5" t="s">
        <v>85</v>
      </c>
      <c r="AC2970" s="5">
        <v>1</v>
      </c>
    </row>
    <row r="2971" spans="1:29" x14ac:dyDescent="0.3">
      <c r="A2971" s="34">
        <v>46274</v>
      </c>
      <c r="B2971" s="34">
        <v>46274</v>
      </c>
      <c r="C2971" s="5" t="s">
        <v>78</v>
      </c>
      <c r="D2971" s="5" t="s">
        <v>79</v>
      </c>
      <c r="E2971" s="5" t="s">
        <v>80</v>
      </c>
      <c r="F2971" s="5">
        <v>758744</v>
      </c>
      <c r="G2971" s="5" t="s">
        <v>9013</v>
      </c>
      <c r="H2971" s="5" t="s">
        <v>9014</v>
      </c>
      <c r="I2971" s="5" t="s">
        <v>313</v>
      </c>
      <c r="N2971" s="5" t="s">
        <v>9015</v>
      </c>
      <c r="O2971" s="5">
        <v>114.2</v>
      </c>
      <c r="P2971" s="5">
        <v>117.95</v>
      </c>
      <c r="Q2971" s="5">
        <v>105</v>
      </c>
      <c r="R2971" s="5">
        <v>113.65</v>
      </c>
      <c r="S2971" s="5">
        <v>111.2</v>
      </c>
      <c r="T2971" s="5">
        <v>116.75</v>
      </c>
      <c r="V2971" s="5">
        <v>113.65</v>
      </c>
      <c r="Y2971" s="5">
        <v>271000</v>
      </c>
      <c r="Z2971" s="5">
        <v>30422350</v>
      </c>
      <c r="AA2971" s="5">
        <v>196</v>
      </c>
      <c r="AB2971" s="5" t="s">
        <v>85</v>
      </c>
      <c r="AC2971" s="5">
        <v>1000</v>
      </c>
    </row>
    <row r="2972" spans="1:29" x14ac:dyDescent="0.3">
      <c r="A2972" s="34">
        <v>46274</v>
      </c>
      <c r="B2972" s="34">
        <v>46274</v>
      </c>
      <c r="C2972" s="5" t="s">
        <v>78</v>
      </c>
      <c r="D2972" s="5" t="s">
        <v>79</v>
      </c>
      <c r="E2972" s="5" t="s">
        <v>80</v>
      </c>
      <c r="F2972" s="5">
        <v>11813</v>
      </c>
      <c r="G2972" s="5" t="s">
        <v>9016</v>
      </c>
      <c r="H2972" s="5" t="s">
        <v>9017</v>
      </c>
      <c r="I2972" s="5" t="s">
        <v>212</v>
      </c>
      <c r="N2972" s="5" t="s">
        <v>9018</v>
      </c>
      <c r="O2972" s="5">
        <v>384.7</v>
      </c>
      <c r="P2972" s="5">
        <v>384.7</v>
      </c>
      <c r="Q2972" s="5">
        <v>377.7</v>
      </c>
      <c r="R2972" s="5">
        <v>379.3</v>
      </c>
      <c r="S2972" s="5">
        <v>377.7</v>
      </c>
      <c r="T2972" s="5">
        <v>380.8</v>
      </c>
      <c r="V2972" s="5">
        <v>379.3</v>
      </c>
      <c r="Y2972" s="5">
        <v>8498</v>
      </c>
      <c r="Z2972" s="5">
        <v>3227613.5</v>
      </c>
      <c r="AA2972" s="5">
        <v>775</v>
      </c>
      <c r="AB2972" s="5" t="s">
        <v>85</v>
      </c>
      <c r="AC2972" s="5">
        <v>1</v>
      </c>
    </row>
    <row r="2973" spans="1:29" x14ac:dyDescent="0.3">
      <c r="A2973" s="34">
        <v>46274</v>
      </c>
      <c r="B2973" s="34">
        <v>46274</v>
      </c>
      <c r="C2973" s="5" t="s">
        <v>78</v>
      </c>
      <c r="D2973" s="5" t="s">
        <v>79</v>
      </c>
      <c r="E2973" s="5" t="s">
        <v>80</v>
      </c>
      <c r="F2973" s="5">
        <v>764905</v>
      </c>
      <c r="G2973" s="5" t="s">
        <v>9019</v>
      </c>
      <c r="H2973" s="5" t="s">
        <v>9020</v>
      </c>
      <c r="I2973" s="5" t="s">
        <v>212</v>
      </c>
      <c r="N2973" s="5" t="s">
        <v>9021</v>
      </c>
      <c r="O2973" s="5">
        <v>153.97999999999999</v>
      </c>
      <c r="P2973" s="5">
        <v>156.4</v>
      </c>
      <c r="Q2973" s="5">
        <v>148</v>
      </c>
      <c r="R2973" s="5">
        <v>151.05000000000001</v>
      </c>
      <c r="S2973" s="5">
        <v>153.29</v>
      </c>
      <c r="T2973" s="5">
        <v>154.75</v>
      </c>
      <c r="V2973" s="5">
        <v>150.97</v>
      </c>
      <c r="Y2973" s="5">
        <v>5567</v>
      </c>
      <c r="Z2973" s="5">
        <v>837798.95</v>
      </c>
      <c r="AA2973" s="5">
        <v>157</v>
      </c>
      <c r="AB2973" s="5" t="s">
        <v>85</v>
      </c>
      <c r="AC2973" s="5">
        <v>1</v>
      </c>
    </row>
    <row r="2974" spans="1:29" x14ac:dyDescent="0.3">
      <c r="A2974" s="34">
        <v>46274</v>
      </c>
      <c r="B2974" s="34">
        <v>46274</v>
      </c>
      <c r="C2974" s="5" t="s">
        <v>78</v>
      </c>
      <c r="D2974" s="5" t="s">
        <v>79</v>
      </c>
      <c r="E2974" s="5" t="s">
        <v>80</v>
      </c>
      <c r="F2974" s="5">
        <v>708</v>
      </c>
      <c r="G2974" s="5" t="s">
        <v>9022</v>
      </c>
      <c r="H2974" s="5" t="s">
        <v>9023</v>
      </c>
      <c r="I2974" s="5" t="s">
        <v>212</v>
      </c>
      <c r="N2974" s="5" t="s">
        <v>9024</v>
      </c>
      <c r="O2974" s="5">
        <v>30.66</v>
      </c>
      <c r="P2974" s="5">
        <v>31.49</v>
      </c>
      <c r="Q2974" s="5">
        <v>30</v>
      </c>
      <c r="R2974" s="5">
        <v>30.84</v>
      </c>
      <c r="S2974" s="5">
        <v>30.95</v>
      </c>
      <c r="T2974" s="5">
        <v>30.65</v>
      </c>
      <c r="V2974" s="5">
        <v>30.84</v>
      </c>
      <c r="Y2974" s="5">
        <v>9114</v>
      </c>
      <c r="Z2974" s="5">
        <v>279406.8</v>
      </c>
      <c r="AA2974" s="5">
        <v>109</v>
      </c>
      <c r="AB2974" s="5" t="s">
        <v>85</v>
      </c>
      <c r="AC2974" s="5">
        <v>1</v>
      </c>
    </row>
    <row r="2975" spans="1:29" x14ac:dyDescent="0.3">
      <c r="A2975" s="34">
        <v>46274</v>
      </c>
      <c r="B2975" s="34">
        <v>46274</v>
      </c>
      <c r="C2975" s="5" t="s">
        <v>78</v>
      </c>
      <c r="D2975" s="5" t="s">
        <v>79</v>
      </c>
      <c r="E2975" s="5" t="s">
        <v>80</v>
      </c>
      <c r="F2975" s="5">
        <v>10588</v>
      </c>
      <c r="G2975" s="5" t="s">
        <v>9025</v>
      </c>
      <c r="H2975" s="5" t="s">
        <v>9026</v>
      </c>
      <c r="I2975" s="5" t="s">
        <v>212</v>
      </c>
      <c r="N2975" s="5" t="s">
        <v>9027</v>
      </c>
      <c r="O2975" s="5">
        <v>513.4</v>
      </c>
      <c r="P2975" s="5">
        <v>513.9</v>
      </c>
      <c r="Q2975" s="5">
        <v>499.1</v>
      </c>
      <c r="R2975" s="5">
        <v>501.2</v>
      </c>
      <c r="S2975" s="5">
        <v>500</v>
      </c>
      <c r="T2975" s="5">
        <v>510.05</v>
      </c>
      <c r="V2975" s="5">
        <v>501.25</v>
      </c>
      <c r="Y2975" s="5">
        <v>46803</v>
      </c>
      <c r="Z2975" s="5">
        <v>23533658.649999999</v>
      </c>
      <c r="AA2975" s="5">
        <v>2474</v>
      </c>
      <c r="AB2975" s="5" t="s">
        <v>85</v>
      </c>
      <c r="AC2975" s="5">
        <v>1</v>
      </c>
    </row>
    <row r="2976" spans="1:29" x14ac:dyDescent="0.3">
      <c r="A2976" s="34">
        <v>46274</v>
      </c>
      <c r="B2976" s="34">
        <v>46274</v>
      </c>
      <c r="C2976" s="5" t="s">
        <v>78</v>
      </c>
      <c r="D2976" s="5" t="s">
        <v>79</v>
      </c>
      <c r="E2976" s="5" t="s">
        <v>80</v>
      </c>
      <c r="F2976" s="5">
        <v>762874</v>
      </c>
      <c r="G2976" s="5" t="s">
        <v>9028</v>
      </c>
      <c r="H2976" s="5" t="s">
        <v>9029</v>
      </c>
      <c r="I2976" s="5" t="s">
        <v>212</v>
      </c>
      <c r="N2976" s="5" t="s">
        <v>9030</v>
      </c>
      <c r="O2976" s="5">
        <v>283</v>
      </c>
      <c r="P2976" s="5">
        <v>291.5</v>
      </c>
      <c r="Q2976" s="5">
        <v>275.05</v>
      </c>
      <c r="R2976" s="5">
        <v>287.5</v>
      </c>
      <c r="S2976" s="5">
        <v>291.5</v>
      </c>
      <c r="T2976" s="5">
        <v>282.7</v>
      </c>
      <c r="V2976" s="5">
        <v>287.5</v>
      </c>
      <c r="Y2976" s="5">
        <v>1192</v>
      </c>
      <c r="Z2976" s="5">
        <v>339368.45</v>
      </c>
      <c r="AA2976" s="5">
        <v>75</v>
      </c>
      <c r="AB2976" s="5" t="s">
        <v>85</v>
      </c>
      <c r="AC2976" s="5">
        <v>1</v>
      </c>
    </row>
    <row r="2977" spans="1:29" x14ac:dyDescent="0.3">
      <c r="A2977" s="34">
        <v>46274</v>
      </c>
      <c r="B2977" s="34">
        <v>46274</v>
      </c>
      <c r="C2977" s="5" t="s">
        <v>78</v>
      </c>
      <c r="D2977" s="5" t="s">
        <v>79</v>
      </c>
      <c r="E2977" s="5" t="s">
        <v>80</v>
      </c>
      <c r="F2977" s="5">
        <v>3103</v>
      </c>
      <c r="G2977" s="5" t="s">
        <v>9031</v>
      </c>
      <c r="H2977" s="5" t="s">
        <v>9032</v>
      </c>
      <c r="I2977" s="5" t="s">
        <v>212</v>
      </c>
      <c r="N2977" s="5" t="s">
        <v>9033</v>
      </c>
      <c r="O2977" s="5">
        <v>23160</v>
      </c>
      <c r="P2977" s="5">
        <v>23240</v>
      </c>
      <c r="Q2977" s="5">
        <v>22900</v>
      </c>
      <c r="R2977" s="5">
        <v>22950</v>
      </c>
      <c r="S2977" s="5">
        <v>22950</v>
      </c>
      <c r="T2977" s="5">
        <v>23160</v>
      </c>
      <c r="V2977" s="5">
        <v>22948.77</v>
      </c>
      <c r="Y2977" s="5">
        <v>12133</v>
      </c>
      <c r="Z2977" s="5">
        <v>279199650</v>
      </c>
      <c r="AA2977" s="5">
        <v>6203</v>
      </c>
      <c r="AB2977" s="5" t="s">
        <v>85</v>
      </c>
      <c r="AC2977" s="5">
        <v>1</v>
      </c>
    </row>
    <row r="2978" spans="1:29" x14ac:dyDescent="0.3">
      <c r="A2978" s="34">
        <v>46274</v>
      </c>
      <c r="B2978" s="34">
        <v>46274</v>
      </c>
      <c r="C2978" s="5" t="s">
        <v>78</v>
      </c>
      <c r="D2978" s="5" t="s">
        <v>79</v>
      </c>
      <c r="E2978" s="5" t="s">
        <v>80</v>
      </c>
      <c r="F2978" s="5">
        <v>3099</v>
      </c>
      <c r="G2978" s="5" t="s">
        <v>9034</v>
      </c>
      <c r="H2978" s="5" t="s">
        <v>9035</v>
      </c>
      <c r="I2978" s="5" t="s">
        <v>212</v>
      </c>
      <c r="N2978" s="5" t="s">
        <v>9036</v>
      </c>
      <c r="O2978" s="5">
        <v>71.2</v>
      </c>
      <c r="P2978" s="5">
        <v>72</v>
      </c>
      <c r="Q2978" s="5">
        <v>70.599999999999994</v>
      </c>
      <c r="R2978" s="5">
        <v>70.959999999999994</v>
      </c>
      <c r="S2978" s="5">
        <v>71</v>
      </c>
      <c r="T2978" s="5">
        <v>72.599999999999994</v>
      </c>
      <c r="V2978" s="5">
        <v>70.959999999999994</v>
      </c>
      <c r="Y2978" s="5">
        <v>94661</v>
      </c>
      <c r="Z2978" s="5">
        <v>6729512.2599999998</v>
      </c>
      <c r="AA2978" s="5">
        <v>1077</v>
      </c>
      <c r="AB2978" s="5" t="s">
        <v>85</v>
      </c>
      <c r="AC2978" s="5">
        <v>1</v>
      </c>
    </row>
    <row r="2979" spans="1:29" x14ac:dyDescent="0.3">
      <c r="A2979" s="34">
        <v>46274</v>
      </c>
      <c r="B2979" s="34">
        <v>46274</v>
      </c>
      <c r="C2979" s="5" t="s">
        <v>78</v>
      </c>
      <c r="D2979" s="5" t="s">
        <v>79</v>
      </c>
      <c r="E2979" s="5" t="s">
        <v>80</v>
      </c>
      <c r="F2979" s="5">
        <v>764885</v>
      </c>
      <c r="G2979" s="5" t="s">
        <v>9037</v>
      </c>
      <c r="H2979" s="5" t="s">
        <v>9038</v>
      </c>
      <c r="I2979" s="5" t="s">
        <v>212</v>
      </c>
      <c r="N2979" s="5" t="s">
        <v>9039</v>
      </c>
      <c r="O2979" s="5">
        <v>702.95</v>
      </c>
      <c r="P2979" s="5">
        <v>708</v>
      </c>
      <c r="Q2979" s="5">
        <v>653.5</v>
      </c>
      <c r="R2979" s="5">
        <v>665.9</v>
      </c>
      <c r="S2979" s="5">
        <v>660</v>
      </c>
      <c r="T2979" s="5">
        <v>696</v>
      </c>
      <c r="V2979" s="5">
        <v>665.88</v>
      </c>
      <c r="Y2979" s="5">
        <v>15678</v>
      </c>
      <c r="Z2979" s="5">
        <v>10616483.5</v>
      </c>
      <c r="AA2979" s="5">
        <v>967</v>
      </c>
      <c r="AB2979" s="5" t="s">
        <v>85</v>
      </c>
      <c r="AC2979" s="5">
        <v>1</v>
      </c>
    </row>
    <row r="2980" spans="1:29" x14ac:dyDescent="0.3">
      <c r="A2980" s="34">
        <v>46274</v>
      </c>
      <c r="B2980" s="34">
        <v>46274</v>
      </c>
      <c r="C2980" s="5" t="s">
        <v>78</v>
      </c>
      <c r="D2980" s="5" t="s">
        <v>79</v>
      </c>
      <c r="E2980" s="5" t="s">
        <v>80</v>
      </c>
      <c r="F2980" s="5">
        <v>23074</v>
      </c>
      <c r="G2980" s="5" t="s">
        <v>9040</v>
      </c>
      <c r="H2980" s="5" t="s">
        <v>9041</v>
      </c>
      <c r="I2980" s="5" t="s">
        <v>313</v>
      </c>
      <c r="N2980" s="5" t="s">
        <v>9042</v>
      </c>
      <c r="O2980" s="5">
        <v>397</v>
      </c>
      <c r="P2980" s="5">
        <v>397</v>
      </c>
      <c r="Q2980" s="5">
        <v>397</v>
      </c>
      <c r="R2980" s="5">
        <v>397</v>
      </c>
      <c r="S2980" s="5">
        <v>397</v>
      </c>
      <c r="T2980" s="5">
        <v>397.9</v>
      </c>
      <c r="V2980" s="5">
        <v>397</v>
      </c>
      <c r="Y2980" s="5">
        <v>150</v>
      </c>
      <c r="Z2980" s="5">
        <v>59550</v>
      </c>
      <c r="AA2980" s="5">
        <v>1</v>
      </c>
      <c r="AB2980" s="5" t="s">
        <v>85</v>
      </c>
      <c r="AC2980" s="5">
        <v>150</v>
      </c>
    </row>
    <row r="2981" spans="1:29" x14ac:dyDescent="0.3">
      <c r="A2981" s="34">
        <v>46274</v>
      </c>
      <c r="B2981" s="34">
        <v>46274</v>
      </c>
      <c r="C2981" s="5" t="s">
        <v>78</v>
      </c>
      <c r="D2981" s="5" t="s">
        <v>79</v>
      </c>
      <c r="E2981" s="5" t="s">
        <v>80</v>
      </c>
      <c r="F2981" s="5">
        <v>20603</v>
      </c>
      <c r="G2981" s="5" t="s">
        <v>9043</v>
      </c>
      <c r="H2981" s="5" t="s">
        <v>9044</v>
      </c>
      <c r="I2981" s="5" t="s">
        <v>313</v>
      </c>
      <c r="N2981" s="5" t="s">
        <v>9045</v>
      </c>
      <c r="O2981" s="5">
        <v>53.65</v>
      </c>
      <c r="P2981" s="5">
        <v>57</v>
      </c>
      <c r="Q2981" s="5">
        <v>53.65</v>
      </c>
      <c r="R2981" s="5">
        <v>57</v>
      </c>
      <c r="S2981" s="5">
        <v>57</v>
      </c>
      <c r="T2981" s="5">
        <v>53.5</v>
      </c>
      <c r="V2981" s="5">
        <v>57</v>
      </c>
      <c r="Y2981" s="5">
        <v>5000</v>
      </c>
      <c r="Z2981" s="5">
        <v>278550</v>
      </c>
      <c r="AA2981" s="5">
        <v>5</v>
      </c>
      <c r="AB2981" s="5" t="s">
        <v>85</v>
      </c>
      <c r="AC2981" s="5">
        <v>1000</v>
      </c>
    </row>
    <row r="2982" spans="1:29" x14ac:dyDescent="0.3">
      <c r="A2982" s="34">
        <v>46274</v>
      </c>
      <c r="B2982" s="34">
        <v>46274</v>
      </c>
      <c r="C2982" s="5" t="s">
        <v>78</v>
      </c>
      <c r="D2982" s="5" t="s">
        <v>79</v>
      </c>
      <c r="E2982" s="5" t="s">
        <v>80</v>
      </c>
      <c r="F2982" s="5">
        <v>760188</v>
      </c>
      <c r="G2982" s="5" t="s">
        <v>9046</v>
      </c>
      <c r="H2982" s="5" t="s">
        <v>9047</v>
      </c>
      <c r="I2982" s="5" t="s">
        <v>212</v>
      </c>
      <c r="N2982" s="5" t="s">
        <v>9048</v>
      </c>
      <c r="O2982" s="5">
        <v>37.78</v>
      </c>
      <c r="P2982" s="5">
        <v>37.880000000000003</v>
      </c>
      <c r="Q2982" s="5">
        <v>36.799999999999997</v>
      </c>
      <c r="R2982" s="5">
        <v>37.020000000000003</v>
      </c>
      <c r="S2982" s="5">
        <v>37.58</v>
      </c>
      <c r="T2982" s="5">
        <v>37.61</v>
      </c>
      <c r="V2982" s="5">
        <v>37.020000000000003</v>
      </c>
      <c r="Y2982" s="5">
        <v>24830</v>
      </c>
      <c r="Z2982" s="5">
        <v>924515.08</v>
      </c>
      <c r="AA2982" s="5">
        <v>306</v>
      </c>
      <c r="AB2982" s="5" t="s">
        <v>85</v>
      </c>
      <c r="AC2982" s="5">
        <v>1</v>
      </c>
    </row>
    <row r="2983" spans="1:29" x14ac:dyDescent="0.3">
      <c r="A2983" s="34">
        <v>46274</v>
      </c>
      <c r="B2983" s="34">
        <v>46274</v>
      </c>
      <c r="C2983" s="5" t="s">
        <v>78</v>
      </c>
      <c r="D2983" s="5" t="s">
        <v>79</v>
      </c>
      <c r="E2983" s="5" t="s">
        <v>80</v>
      </c>
      <c r="F2983" s="5">
        <v>7627</v>
      </c>
      <c r="G2983" s="5" t="s">
        <v>9049</v>
      </c>
      <c r="H2983" s="5" t="s">
        <v>9050</v>
      </c>
      <c r="I2983" s="5" t="s">
        <v>212</v>
      </c>
      <c r="N2983" s="5" t="s">
        <v>9051</v>
      </c>
      <c r="O2983" s="5">
        <v>42.8</v>
      </c>
      <c r="P2983" s="5">
        <v>49.91</v>
      </c>
      <c r="Q2983" s="5">
        <v>41.14</v>
      </c>
      <c r="R2983" s="5">
        <v>45</v>
      </c>
      <c r="S2983" s="5">
        <v>45.21</v>
      </c>
      <c r="T2983" s="5">
        <v>42.27</v>
      </c>
      <c r="V2983" s="5">
        <v>45.08</v>
      </c>
      <c r="Y2983" s="5">
        <v>417234</v>
      </c>
      <c r="Z2983" s="5">
        <v>19338624.350000001</v>
      </c>
      <c r="AA2983" s="5">
        <v>3445</v>
      </c>
      <c r="AB2983" s="5" t="s">
        <v>85</v>
      </c>
      <c r="AC2983" s="5">
        <v>1</v>
      </c>
    </row>
    <row r="2984" spans="1:29" x14ac:dyDescent="0.3">
      <c r="A2984" s="34">
        <v>46274</v>
      </c>
      <c r="B2984" s="34">
        <v>46274</v>
      </c>
      <c r="C2984" s="5" t="s">
        <v>78</v>
      </c>
      <c r="D2984" s="5" t="s">
        <v>79</v>
      </c>
      <c r="E2984" s="5" t="s">
        <v>80</v>
      </c>
      <c r="F2984" s="5">
        <v>13565</v>
      </c>
      <c r="G2984" s="5" t="s">
        <v>9052</v>
      </c>
      <c r="H2984" s="5" t="s">
        <v>9053</v>
      </c>
      <c r="I2984" s="5" t="s">
        <v>212</v>
      </c>
      <c r="N2984" s="5" t="s">
        <v>9054</v>
      </c>
      <c r="O2984" s="5">
        <v>33.9</v>
      </c>
      <c r="P2984" s="5">
        <v>34.5</v>
      </c>
      <c r="Q2984" s="5">
        <v>32.659999999999997</v>
      </c>
      <c r="R2984" s="5">
        <v>32.69</v>
      </c>
      <c r="S2984" s="5">
        <v>32.659999999999997</v>
      </c>
      <c r="T2984" s="5">
        <v>33.74</v>
      </c>
      <c r="V2984" s="5">
        <v>32.69</v>
      </c>
      <c r="Y2984" s="5">
        <v>11958</v>
      </c>
      <c r="Z2984" s="5">
        <v>394409.72</v>
      </c>
      <c r="AA2984" s="5">
        <v>170</v>
      </c>
      <c r="AB2984" s="5" t="s">
        <v>85</v>
      </c>
      <c r="AC2984" s="5">
        <v>1</v>
      </c>
    </row>
    <row r="2985" spans="1:29" x14ac:dyDescent="0.3">
      <c r="A2985" s="34">
        <v>46274</v>
      </c>
      <c r="B2985" s="34">
        <v>46274</v>
      </c>
      <c r="C2985" s="5" t="s">
        <v>78</v>
      </c>
      <c r="D2985" s="5" t="s">
        <v>79</v>
      </c>
      <c r="E2985" s="5" t="s">
        <v>80</v>
      </c>
      <c r="F2985" s="5">
        <v>12026</v>
      </c>
      <c r="G2985" s="5" t="s">
        <v>9055</v>
      </c>
      <c r="H2985" s="5" t="s">
        <v>9056</v>
      </c>
      <c r="I2985" s="5" t="s">
        <v>212</v>
      </c>
      <c r="N2985" s="5" t="s">
        <v>9057</v>
      </c>
      <c r="O2985" s="5">
        <v>25.11</v>
      </c>
      <c r="P2985" s="5">
        <v>25.2</v>
      </c>
      <c r="Q2985" s="5">
        <v>24.12</v>
      </c>
      <c r="R2985" s="5">
        <v>24.35</v>
      </c>
      <c r="S2985" s="5">
        <v>24.34</v>
      </c>
      <c r="T2985" s="5">
        <v>25.19</v>
      </c>
      <c r="V2985" s="5">
        <v>24.35</v>
      </c>
      <c r="Y2985" s="5">
        <v>15123230</v>
      </c>
      <c r="Z2985" s="5">
        <v>369714650.02999997</v>
      </c>
      <c r="AA2985" s="5">
        <v>28163</v>
      </c>
      <c r="AB2985" s="5" t="s">
        <v>85</v>
      </c>
      <c r="AC2985" s="5">
        <v>1</v>
      </c>
    </row>
    <row r="2986" spans="1:29" x14ac:dyDescent="0.3">
      <c r="A2986" s="34">
        <v>46274</v>
      </c>
      <c r="B2986" s="34">
        <v>46274</v>
      </c>
      <c r="C2986" s="5" t="s">
        <v>78</v>
      </c>
      <c r="D2986" s="5" t="s">
        <v>79</v>
      </c>
      <c r="E2986" s="5" t="s">
        <v>80</v>
      </c>
      <c r="F2986" s="5">
        <v>21868</v>
      </c>
      <c r="G2986" s="5" t="s">
        <v>9058</v>
      </c>
      <c r="H2986" s="5" t="s">
        <v>9059</v>
      </c>
      <c r="I2986" s="5" t="s">
        <v>313</v>
      </c>
      <c r="N2986" s="5" t="s">
        <v>9060</v>
      </c>
      <c r="O2986" s="5">
        <v>308</v>
      </c>
      <c r="P2986" s="5">
        <v>308</v>
      </c>
      <c r="Q2986" s="5">
        <v>308</v>
      </c>
      <c r="R2986" s="5">
        <v>308</v>
      </c>
      <c r="S2986" s="5">
        <v>308</v>
      </c>
      <c r="T2986" s="5">
        <v>308</v>
      </c>
      <c r="V2986" s="5">
        <v>308</v>
      </c>
      <c r="Y2986" s="5">
        <v>125</v>
      </c>
      <c r="Z2986" s="5">
        <v>38500</v>
      </c>
      <c r="AA2986" s="5">
        <v>1</v>
      </c>
      <c r="AB2986" s="5" t="s">
        <v>85</v>
      </c>
      <c r="AC2986" s="5">
        <v>125</v>
      </c>
    </row>
    <row r="2987" spans="1:29" ht="13.95" customHeight="1" x14ac:dyDescent="0.3">
      <c r="A2987" s="34">
        <v>46274</v>
      </c>
      <c r="B2987" s="34">
        <v>46274</v>
      </c>
      <c r="C2987" s="5" t="s">
        <v>78</v>
      </c>
      <c r="D2987" s="5" t="s">
        <v>79</v>
      </c>
      <c r="E2987" s="5" t="s">
        <v>80</v>
      </c>
      <c r="F2987" s="5">
        <v>25203</v>
      </c>
      <c r="G2987" s="5" t="s">
        <v>9061</v>
      </c>
      <c r="H2987" s="5" t="s">
        <v>9062</v>
      </c>
      <c r="I2987" s="5" t="s">
        <v>212</v>
      </c>
      <c r="N2987" s="5" t="s">
        <v>9063</v>
      </c>
      <c r="O2987" s="5">
        <v>25.89</v>
      </c>
      <c r="P2987" s="5">
        <v>25.9</v>
      </c>
      <c r="Q2987" s="5">
        <v>25.07</v>
      </c>
      <c r="R2987" s="5">
        <v>25.5</v>
      </c>
      <c r="S2987" s="5">
        <v>25.4</v>
      </c>
      <c r="T2987" s="5">
        <v>25.46</v>
      </c>
      <c r="V2987" s="5">
        <v>25.5</v>
      </c>
      <c r="Y2987" s="5">
        <v>30955</v>
      </c>
      <c r="Z2987" s="5">
        <v>789088.09</v>
      </c>
      <c r="AA2987" s="5">
        <v>269</v>
      </c>
      <c r="AB2987" s="5" t="s">
        <v>85</v>
      </c>
      <c r="AC2987" s="5">
        <v>1</v>
      </c>
    </row>
    <row r="2988" spans="1:29" x14ac:dyDescent="0.3">
      <c r="A2988" s="34">
        <v>46274</v>
      </c>
      <c r="B2988" s="34">
        <v>46274</v>
      </c>
      <c r="C2988" s="5" t="s">
        <v>78</v>
      </c>
      <c r="D2988" s="5" t="s">
        <v>79</v>
      </c>
      <c r="E2988" s="5" t="s">
        <v>80</v>
      </c>
      <c r="F2988" s="5">
        <v>15126</v>
      </c>
      <c r="G2988" s="5" t="s">
        <v>9064</v>
      </c>
      <c r="H2988" s="5" t="s">
        <v>9065</v>
      </c>
      <c r="I2988" s="5" t="s">
        <v>234</v>
      </c>
      <c r="N2988" s="5" t="s">
        <v>9066</v>
      </c>
      <c r="O2988" s="5">
        <v>793</v>
      </c>
      <c r="P2988" s="5">
        <v>812</v>
      </c>
      <c r="Q2988" s="5">
        <v>790</v>
      </c>
      <c r="R2988" s="5">
        <v>790.5</v>
      </c>
      <c r="S2988" s="5">
        <v>790.5</v>
      </c>
      <c r="T2988" s="5">
        <v>800.2</v>
      </c>
      <c r="V2988" s="5">
        <v>790.5</v>
      </c>
      <c r="Y2988" s="5">
        <v>661</v>
      </c>
      <c r="Z2988" s="5">
        <v>525101.5</v>
      </c>
      <c r="AA2988" s="5">
        <v>25</v>
      </c>
      <c r="AB2988" s="5" t="s">
        <v>85</v>
      </c>
      <c r="AC2988" s="5">
        <v>1</v>
      </c>
    </row>
    <row r="2989" spans="1:29" x14ac:dyDescent="0.3">
      <c r="A2989" s="34">
        <v>46274</v>
      </c>
      <c r="B2989" s="34">
        <v>46274</v>
      </c>
      <c r="C2989" s="5" t="s">
        <v>78</v>
      </c>
      <c r="D2989" s="5" t="s">
        <v>79</v>
      </c>
      <c r="E2989" s="5" t="s">
        <v>80</v>
      </c>
      <c r="F2989" s="5">
        <v>762159</v>
      </c>
      <c r="G2989" s="5" t="s">
        <v>9067</v>
      </c>
      <c r="H2989" s="5" t="s">
        <v>9068</v>
      </c>
      <c r="I2989" s="5" t="s">
        <v>392</v>
      </c>
      <c r="N2989" s="5" t="s">
        <v>9069</v>
      </c>
      <c r="O2989" s="5">
        <v>116.2</v>
      </c>
      <c r="P2989" s="5">
        <v>123.2</v>
      </c>
      <c r="Q2989" s="5">
        <v>116.2</v>
      </c>
      <c r="R2989" s="5">
        <v>123.2</v>
      </c>
      <c r="S2989" s="5">
        <v>123.2</v>
      </c>
      <c r="T2989" s="5">
        <v>117.35</v>
      </c>
      <c r="V2989" s="5">
        <v>123.2</v>
      </c>
      <c r="Y2989" s="5">
        <v>66000</v>
      </c>
      <c r="Z2989" s="5">
        <v>8061600</v>
      </c>
      <c r="AA2989" s="5">
        <v>32</v>
      </c>
      <c r="AB2989" s="5" t="s">
        <v>85</v>
      </c>
      <c r="AC2989" s="5">
        <v>2000</v>
      </c>
    </row>
    <row r="2990" spans="1:29" x14ac:dyDescent="0.3">
      <c r="A2990" s="34">
        <v>46274</v>
      </c>
      <c r="B2990" s="34">
        <v>46274</v>
      </c>
      <c r="C2990" s="5" t="s">
        <v>78</v>
      </c>
      <c r="D2990" s="5" t="s">
        <v>79</v>
      </c>
      <c r="E2990" s="5" t="s">
        <v>80</v>
      </c>
      <c r="F2990" s="5">
        <v>759802</v>
      </c>
      <c r="G2990" s="5" t="s">
        <v>9070</v>
      </c>
      <c r="H2990" s="5" t="s">
        <v>9071</v>
      </c>
      <c r="I2990" s="5" t="s">
        <v>313</v>
      </c>
      <c r="N2990" s="5" t="s">
        <v>9072</v>
      </c>
      <c r="O2990" s="5">
        <v>210</v>
      </c>
      <c r="P2990" s="5">
        <v>213</v>
      </c>
      <c r="Q2990" s="5">
        <v>195</v>
      </c>
      <c r="R2990" s="5">
        <v>199.55</v>
      </c>
      <c r="S2990" s="5">
        <v>198.2</v>
      </c>
      <c r="T2990" s="5">
        <v>213.3</v>
      </c>
      <c r="V2990" s="5">
        <v>199.55</v>
      </c>
      <c r="Y2990" s="5">
        <v>36000</v>
      </c>
      <c r="Z2990" s="5">
        <v>7345200</v>
      </c>
      <c r="AA2990" s="5">
        <v>33</v>
      </c>
      <c r="AB2990" s="5" t="s">
        <v>85</v>
      </c>
      <c r="AC2990" s="5">
        <v>1000</v>
      </c>
    </row>
    <row r="2991" spans="1:29" x14ac:dyDescent="0.3">
      <c r="A2991" s="34">
        <v>46274</v>
      </c>
      <c r="B2991" s="34">
        <v>46274</v>
      </c>
      <c r="C2991" s="5" t="s">
        <v>78</v>
      </c>
      <c r="D2991" s="5" t="s">
        <v>79</v>
      </c>
      <c r="E2991" s="5" t="s">
        <v>80</v>
      </c>
      <c r="F2991" s="5">
        <v>759448</v>
      </c>
      <c r="G2991" s="5" t="s">
        <v>9073</v>
      </c>
      <c r="H2991" s="5" t="s">
        <v>9074</v>
      </c>
      <c r="I2991" s="5" t="s">
        <v>212</v>
      </c>
      <c r="N2991" s="5" t="s">
        <v>9075</v>
      </c>
      <c r="O2991" s="5">
        <v>695.2</v>
      </c>
      <c r="P2991" s="5">
        <v>715</v>
      </c>
      <c r="Q2991" s="5">
        <v>695.1</v>
      </c>
      <c r="R2991" s="5">
        <v>713.1</v>
      </c>
      <c r="S2991" s="5">
        <v>714.9</v>
      </c>
      <c r="T2991" s="5">
        <v>698.2</v>
      </c>
      <c r="V2991" s="5">
        <v>713.08</v>
      </c>
      <c r="Y2991" s="5">
        <v>735559</v>
      </c>
      <c r="Z2991" s="5">
        <v>517578638.64999998</v>
      </c>
      <c r="AA2991" s="5">
        <v>10551</v>
      </c>
      <c r="AB2991" s="5" t="s">
        <v>85</v>
      </c>
      <c r="AC2991" s="5">
        <v>1</v>
      </c>
    </row>
    <row r="2992" spans="1:29" x14ac:dyDescent="0.3">
      <c r="A2992" s="34">
        <v>46274</v>
      </c>
      <c r="B2992" s="34">
        <v>46274</v>
      </c>
      <c r="C2992" s="5" t="s">
        <v>78</v>
      </c>
      <c r="D2992" s="5" t="s">
        <v>79</v>
      </c>
      <c r="E2992" s="5" t="s">
        <v>80</v>
      </c>
      <c r="F2992" s="5">
        <v>14305</v>
      </c>
      <c r="G2992" s="5" t="s">
        <v>9076</v>
      </c>
      <c r="H2992" s="5" t="s">
        <v>9077</v>
      </c>
      <c r="I2992" s="5" t="s">
        <v>212</v>
      </c>
      <c r="N2992" s="5" t="s">
        <v>9078</v>
      </c>
      <c r="O2992" s="5">
        <v>12.38</v>
      </c>
      <c r="P2992" s="5">
        <v>13.31</v>
      </c>
      <c r="Q2992" s="5">
        <v>11.81</v>
      </c>
      <c r="R2992" s="5">
        <v>13.08</v>
      </c>
      <c r="S2992" s="5">
        <v>13.05</v>
      </c>
      <c r="T2992" s="5">
        <v>12.14</v>
      </c>
      <c r="V2992" s="5">
        <v>13.08</v>
      </c>
      <c r="Y2992" s="5">
        <v>295909</v>
      </c>
      <c r="Z2992" s="5">
        <v>3754437.77</v>
      </c>
      <c r="AA2992" s="5">
        <v>695</v>
      </c>
      <c r="AB2992" s="5" t="s">
        <v>85</v>
      </c>
      <c r="AC2992" s="5">
        <v>1</v>
      </c>
    </row>
    <row r="2993" spans="1:29" x14ac:dyDescent="0.3">
      <c r="A2993" s="34">
        <v>46274</v>
      </c>
      <c r="B2993" s="34">
        <v>46274</v>
      </c>
      <c r="C2993" s="5" t="s">
        <v>78</v>
      </c>
      <c r="D2993" s="5" t="s">
        <v>79</v>
      </c>
      <c r="E2993" s="5" t="s">
        <v>80</v>
      </c>
      <c r="F2993" s="5">
        <v>5718</v>
      </c>
      <c r="G2993" s="5" t="s">
        <v>9079</v>
      </c>
      <c r="H2993" s="5" t="s">
        <v>9080</v>
      </c>
      <c r="I2993" s="5" t="s">
        <v>822</v>
      </c>
      <c r="N2993" s="5" t="s">
        <v>9081</v>
      </c>
      <c r="O2993" s="5">
        <v>100.5</v>
      </c>
      <c r="P2993" s="5">
        <v>100.5</v>
      </c>
      <c r="Q2993" s="5">
        <v>100.5</v>
      </c>
      <c r="R2993" s="5">
        <v>100.5</v>
      </c>
      <c r="S2993" s="5">
        <v>100.5</v>
      </c>
      <c r="T2993" s="5">
        <v>100.5</v>
      </c>
      <c r="V2993" s="5">
        <v>100.5</v>
      </c>
      <c r="Y2993" s="5">
        <v>75000</v>
      </c>
      <c r="Z2993" s="5">
        <v>7537500</v>
      </c>
      <c r="AA2993" s="5">
        <v>2</v>
      </c>
      <c r="AB2993" s="5" t="s">
        <v>85</v>
      </c>
      <c r="AC2993" s="5">
        <v>25000</v>
      </c>
    </row>
    <row r="2994" spans="1:29" x14ac:dyDescent="0.3">
      <c r="A2994" s="34">
        <v>46274</v>
      </c>
      <c r="B2994" s="34">
        <v>46274</v>
      </c>
      <c r="C2994" s="5" t="s">
        <v>78</v>
      </c>
      <c r="D2994" s="5" t="s">
        <v>79</v>
      </c>
      <c r="E2994" s="5" t="s">
        <v>80</v>
      </c>
      <c r="F2994" s="5">
        <v>760252</v>
      </c>
      <c r="G2994" s="5" t="s">
        <v>9082</v>
      </c>
      <c r="H2994" s="5" t="s">
        <v>9083</v>
      </c>
      <c r="I2994" s="5" t="s">
        <v>614</v>
      </c>
      <c r="N2994" s="5" t="s">
        <v>9084</v>
      </c>
      <c r="O2994" s="5">
        <v>0.28999999999999998</v>
      </c>
      <c r="P2994" s="5">
        <v>0.3</v>
      </c>
      <c r="Q2994" s="5">
        <v>0.28000000000000003</v>
      </c>
      <c r="R2994" s="5">
        <v>0.28999999999999998</v>
      </c>
      <c r="S2994" s="5">
        <v>0.3</v>
      </c>
      <c r="T2994" s="5">
        <v>0.28999999999999998</v>
      </c>
      <c r="V2994" s="5">
        <v>0.28999999999999998</v>
      </c>
      <c r="Y2994" s="5">
        <v>443723</v>
      </c>
      <c r="Z2994" s="5">
        <v>130168.63</v>
      </c>
      <c r="AA2994" s="5">
        <v>161</v>
      </c>
      <c r="AB2994" s="5" t="s">
        <v>85</v>
      </c>
      <c r="AC2994" s="5">
        <v>1</v>
      </c>
    </row>
    <row r="2995" spans="1:29" x14ac:dyDescent="0.3">
      <c r="A2995" s="34">
        <v>46274</v>
      </c>
      <c r="B2995" s="34">
        <v>46274</v>
      </c>
      <c r="C2995" s="5" t="s">
        <v>78</v>
      </c>
      <c r="D2995" s="5" t="s">
        <v>79</v>
      </c>
      <c r="E2995" s="5" t="s">
        <v>80</v>
      </c>
      <c r="F2995" s="5">
        <v>3126</v>
      </c>
      <c r="G2995" s="5" t="s">
        <v>9085</v>
      </c>
      <c r="H2995" s="5" t="s">
        <v>9086</v>
      </c>
      <c r="I2995" s="5" t="s">
        <v>212</v>
      </c>
      <c r="N2995" s="5" t="s">
        <v>9087</v>
      </c>
      <c r="O2995" s="5">
        <v>133.5</v>
      </c>
      <c r="P2995" s="5">
        <v>135.44999999999999</v>
      </c>
      <c r="Q2995" s="5">
        <v>132</v>
      </c>
      <c r="R2995" s="5">
        <v>132.97999999999999</v>
      </c>
      <c r="S2995" s="5">
        <v>132</v>
      </c>
      <c r="T2995" s="5">
        <v>133</v>
      </c>
      <c r="V2995" s="5">
        <v>132.97</v>
      </c>
      <c r="Y2995" s="5">
        <v>6056</v>
      </c>
      <c r="Z2995" s="5">
        <v>807591.26</v>
      </c>
      <c r="AA2995" s="5">
        <v>185</v>
      </c>
      <c r="AB2995" s="5" t="s">
        <v>85</v>
      </c>
      <c r="AC2995" s="5">
        <v>1</v>
      </c>
    </row>
    <row r="2996" spans="1:29" x14ac:dyDescent="0.3">
      <c r="A2996" s="34">
        <v>46274</v>
      </c>
      <c r="B2996" s="34">
        <v>46274</v>
      </c>
      <c r="C2996" s="5" t="s">
        <v>78</v>
      </c>
      <c r="D2996" s="5" t="s">
        <v>79</v>
      </c>
      <c r="E2996" s="5" t="s">
        <v>80</v>
      </c>
      <c r="F2996" s="5">
        <v>756409</v>
      </c>
      <c r="G2996" s="5" t="s">
        <v>9088</v>
      </c>
      <c r="H2996" s="5" t="s">
        <v>9089</v>
      </c>
      <c r="I2996" s="5" t="s">
        <v>392</v>
      </c>
      <c r="N2996" s="5" t="s">
        <v>9090</v>
      </c>
      <c r="O2996" s="5">
        <v>477</v>
      </c>
      <c r="P2996" s="5">
        <v>485</v>
      </c>
      <c r="Q2996" s="5">
        <v>465.1</v>
      </c>
      <c r="R2996" s="5">
        <v>475</v>
      </c>
      <c r="S2996" s="5">
        <v>475</v>
      </c>
      <c r="T2996" s="5">
        <v>473.8</v>
      </c>
      <c r="V2996" s="5">
        <v>475</v>
      </c>
      <c r="Y2996" s="5">
        <v>12000</v>
      </c>
      <c r="Z2996" s="5">
        <v>5727570</v>
      </c>
      <c r="AA2996" s="5">
        <v>20</v>
      </c>
      <c r="AB2996" s="5" t="s">
        <v>85</v>
      </c>
      <c r="AC2996" s="5">
        <v>600</v>
      </c>
    </row>
    <row r="2997" spans="1:29" x14ac:dyDescent="0.3">
      <c r="A2997" s="34">
        <v>46274</v>
      </c>
      <c r="B2997" s="34">
        <v>46274</v>
      </c>
      <c r="C2997" s="5" t="s">
        <v>78</v>
      </c>
      <c r="D2997" s="5" t="s">
        <v>79</v>
      </c>
      <c r="E2997" s="5" t="s">
        <v>80</v>
      </c>
      <c r="F2997" s="5">
        <v>762899</v>
      </c>
      <c r="G2997" s="5" t="s">
        <v>9091</v>
      </c>
      <c r="H2997" s="5" t="s">
        <v>9092</v>
      </c>
      <c r="I2997" s="5" t="s">
        <v>212</v>
      </c>
      <c r="N2997" s="5" t="s">
        <v>9093</v>
      </c>
      <c r="O2997" s="5">
        <v>155.9</v>
      </c>
      <c r="P2997" s="5">
        <v>159.97999999999999</v>
      </c>
      <c r="Q2997" s="5">
        <v>154</v>
      </c>
      <c r="R2997" s="5">
        <v>158.99</v>
      </c>
      <c r="S2997" s="5">
        <v>158.99</v>
      </c>
      <c r="T2997" s="5">
        <v>155.88999999999999</v>
      </c>
      <c r="V2997" s="5">
        <v>159.19999999999999</v>
      </c>
      <c r="Y2997" s="5">
        <v>4905</v>
      </c>
      <c r="Z2997" s="5">
        <v>767920.77</v>
      </c>
      <c r="AA2997" s="5">
        <v>88</v>
      </c>
      <c r="AB2997" s="5" t="s">
        <v>85</v>
      </c>
      <c r="AC2997" s="5">
        <v>1</v>
      </c>
    </row>
    <row r="2998" spans="1:29" x14ac:dyDescent="0.3">
      <c r="A2998" s="34">
        <v>46274</v>
      </c>
      <c r="B2998" s="34">
        <v>46274</v>
      </c>
      <c r="C2998" s="5" t="s">
        <v>78</v>
      </c>
      <c r="D2998" s="5" t="s">
        <v>79</v>
      </c>
      <c r="E2998" s="5" t="s">
        <v>80</v>
      </c>
      <c r="F2998" s="5">
        <v>758568</v>
      </c>
      <c r="G2998" s="5" t="s">
        <v>9094</v>
      </c>
      <c r="H2998" s="5" t="s">
        <v>9095</v>
      </c>
      <c r="I2998" s="5" t="s">
        <v>313</v>
      </c>
      <c r="N2998" s="5" t="s">
        <v>9096</v>
      </c>
      <c r="O2998" s="5">
        <v>33</v>
      </c>
      <c r="P2998" s="5">
        <v>33</v>
      </c>
      <c r="Q2998" s="5">
        <v>33</v>
      </c>
      <c r="R2998" s="5">
        <v>33</v>
      </c>
      <c r="S2998" s="5">
        <v>33</v>
      </c>
      <c r="T2998" s="5">
        <v>31.1</v>
      </c>
      <c r="V2998" s="5">
        <v>33</v>
      </c>
      <c r="Y2998" s="5">
        <v>4000</v>
      </c>
      <c r="Z2998" s="5">
        <v>132000</v>
      </c>
      <c r="AA2998" s="5">
        <v>2</v>
      </c>
      <c r="AB2998" s="5" t="s">
        <v>85</v>
      </c>
      <c r="AC2998" s="5">
        <v>2000</v>
      </c>
    </row>
    <row r="2999" spans="1:29" x14ac:dyDescent="0.3">
      <c r="A2999" s="34">
        <v>46274</v>
      </c>
      <c r="B2999" s="34">
        <v>46274</v>
      </c>
      <c r="C2999" s="5" t="s">
        <v>78</v>
      </c>
      <c r="D2999" s="5" t="s">
        <v>79</v>
      </c>
      <c r="E2999" s="5" t="s">
        <v>80</v>
      </c>
      <c r="F2999" s="5">
        <v>764910</v>
      </c>
      <c r="G2999" s="5" t="s">
        <v>9097</v>
      </c>
      <c r="H2999" s="5" t="s">
        <v>9098</v>
      </c>
      <c r="I2999" s="5" t="s">
        <v>212</v>
      </c>
      <c r="N2999" s="5" t="s">
        <v>9099</v>
      </c>
      <c r="O2999" s="5">
        <v>637</v>
      </c>
      <c r="P2999" s="5">
        <v>665.95</v>
      </c>
      <c r="Q2999" s="5">
        <v>622.25</v>
      </c>
      <c r="R2999" s="5">
        <v>652</v>
      </c>
      <c r="S2999" s="5">
        <v>665.95</v>
      </c>
      <c r="T2999" s="5">
        <v>638.1</v>
      </c>
      <c r="V2999" s="5">
        <v>641.66</v>
      </c>
      <c r="Y2999" s="5">
        <v>253</v>
      </c>
      <c r="Z2999" s="5">
        <v>164192.1</v>
      </c>
      <c r="AA2999" s="5">
        <v>25</v>
      </c>
      <c r="AB2999" s="5" t="s">
        <v>85</v>
      </c>
      <c r="AC2999" s="5">
        <v>1</v>
      </c>
    </row>
    <row r="3000" spans="1:29" x14ac:dyDescent="0.3">
      <c r="A3000" s="34">
        <v>46274</v>
      </c>
      <c r="B3000" s="34">
        <v>46274</v>
      </c>
      <c r="C3000" s="5" t="s">
        <v>78</v>
      </c>
      <c r="D3000" s="5" t="s">
        <v>79</v>
      </c>
      <c r="E3000" s="5" t="s">
        <v>80</v>
      </c>
      <c r="F3000" s="5">
        <v>760202</v>
      </c>
      <c r="G3000" s="5" t="s">
        <v>9100</v>
      </c>
      <c r="H3000" s="5" t="s">
        <v>9101</v>
      </c>
      <c r="I3000" s="5" t="s">
        <v>313</v>
      </c>
      <c r="N3000" s="5" t="s">
        <v>9102</v>
      </c>
      <c r="O3000" s="5">
        <v>23.8</v>
      </c>
      <c r="P3000" s="5">
        <v>24</v>
      </c>
      <c r="Q3000" s="5">
        <v>23.8</v>
      </c>
      <c r="R3000" s="5">
        <v>24</v>
      </c>
      <c r="S3000" s="5">
        <v>24</v>
      </c>
      <c r="T3000" s="5">
        <v>22.9</v>
      </c>
      <c r="V3000" s="5">
        <v>24</v>
      </c>
      <c r="Y3000" s="5">
        <v>19200</v>
      </c>
      <c r="Z3000" s="5">
        <v>460240</v>
      </c>
      <c r="AA3000" s="5">
        <v>11</v>
      </c>
      <c r="AB3000" s="5" t="s">
        <v>85</v>
      </c>
      <c r="AC3000" s="5">
        <v>1600</v>
      </c>
    </row>
    <row r="3001" spans="1:29" x14ac:dyDescent="0.3">
      <c r="A3001" s="34">
        <v>46274</v>
      </c>
      <c r="B3001" s="34">
        <v>46274</v>
      </c>
      <c r="C3001" s="5" t="s">
        <v>78</v>
      </c>
      <c r="D3001" s="5" t="s">
        <v>79</v>
      </c>
      <c r="E3001" s="5" t="s">
        <v>80</v>
      </c>
      <c r="F3001" s="5">
        <v>762909</v>
      </c>
      <c r="G3001" s="5" t="s">
        <v>9103</v>
      </c>
      <c r="H3001" s="5" t="s">
        <v>9104</v>
      </c>
      <c r="I3001" s="5" t="s">
        <v>212</v>
      </c>
      <c r="N3001" s="5" t="s">
        <v>9105</v>
      </c>
      <c r="O3001" s="5">
        <v>37.159999999999997</v>
      </c>
      <c r="P3001" s="5">
        <v>39</v>
      </c>
      <c r="Q3001" s="5">
        <v>36.1</v>
      </c>
      <c r="R3001" s="5">
        <v>36.15</v>
      </c>
      <c r="S3001" s="5">
        <v>36.11</v>
      </c>
      <c r="T3001" s="5">
        <v>37.15</v>
      </c>
      <c r="V3001" s="5">
        <v>36.15</v>
      </c>
      <c r="Y3001" s="5">
        <v>223</v>
      </c>
      <c r="Z3001" s="5">
        <v>8292.56</v>
      </c>
      <c r="AA3001" s="5">
        <v>15</v>
      </c>
      <c r="AB3001" s="5" t="s">
        <v>85</v>
      </c>
      <c r="AC3001" s="5">
        <v>1</v>
      </c>
    </row>
    <row r="3002" spans="1:29" x14ac:dyDescent="0.3">
      <c r="A3002" s="34">
        <v>46274</v>
      </c>
      <c r="B3002" s="34">
        <v>46274</v>
      </c>
      <c r="C3002" s="5" t="s">
        <v>78</v>
      </c>
      <c r="D3002" s="5" t="s">
        <v>79</v>
      </c>
      <c r="E3002" s="5" t="s">
        <v>80</v>
      </c>
      <c r="F3002" s="5">
        <v>765210</v>
      </c>
      <c r="G3002" s="5" t="s">
        <v>9106</v>
      </c>
      <c r="H3002" s="5" t="s">
        <v>9107</v>
      </c>
      <c r="I3002" s="5" t="s">
        <v>212</v>
      </c>
      <c r="N3002" s="5" t="s">
        <v>9108</v>
      </c>
      <c r="O3002" s="5">
        <v>103</v>
      </c>
      <c r="P3002" s="5">
        <v>103</v>
      </c>
      <c r="Q3002" s="5">
        <v>103</v>
      </c>
      <c r="R3002" s="5">
        <v>103</v>
      </c>
      <c r="S3002" s="5">
        <v>103</v>
      </c>
      <c r="T3002" s="5">
        <v>103</v>
      </c>
      <c r="V3002" s="5">
        <v>104.02</v>
      </c>
      <c r="Y3002" s="5">
        <v>36</v>
      </c>
      <c r="Z3002" s="5">
        <v>3708</v>
      </c>
      <c r="AA3002" s="5">
        <v>2</v>
      </c>
      <c r="AB3002" s="5" t="s">
        <v>85</v>
      </c>
      <c r="AC3002" s="5">
        <v>1</v>
      </c>
    </row>
    <row r="3003" spans="1:29" x14ac:dyDescent="0.3">
      <c r="A3003" s="34">
        <v>46274</v>
      </c>
      <c r="B3003" s="34">
        <v>46274</v>
      </c>
      <c r="C3003" s="5" t="s">
        <v>78</v>
      </c>
      <c r="D3003" s="5" t="s">
        <v>79</v>
      </c>
      <c r="E3003" s="5" t="s">
        <v>80</v>
      </c>
      <c r="F3003" s="5">
        <v>759093</v>
      </c>
      <c r="G3003" s="5" t="s">
        <v>9109</v>
      </c>
      <c r="H3003" s="5" t="s">
        <v>9110</v>
      </c>
      <c r="I3003" s="5" t="s">
        <v>212</v>
      </c>
      <c r="N3003" s="5" t="s">
        <v>9111</v>
      </c>
      <c r="O3003" s="5">
        <v>218</v>
      </c>
      <c r="P3003" s="5">
        <v>220</v>
      </c>
      <c r="Q3003" s="5">
        <v>216.51</v>
      </c>
      <c r="R3003" s="5">
        <v>218.7</v>
      </c>
      <c r="S3003" s="5">
        <v>218.01</v>
      </c>
      <c r="T3003" s="5">
        <v>217.44</v>
      </c>
      <c r="V3003" s="5">
        <v>218.7</v>
      </c>
      <c r="Y3003" s="5">
        <v>104841</v>
      </c>
      <c r="Z3003" s="5">
        <v>22900942.100000001</v>
      </c>
      <c r="AA3003" s="5">
        <v>1582</v>
      </c>
      <c r="AB3003" s="5" t="s">
        <v>85</v>
      </c>
      <c r="AC3003" s="5">
        <v>1</v>
      </c>
    </row>
    <row r="3004" spans="1:29" x14ac:dyDescent="0.3">
      <c r="A3004" s="34">
        <v>46274</v>
      </c>
      <c r="B3004" s="34">
        <v>46274</v>
      </c>
      <c r="C3004" s="5" t="s">
        <v>78</v>
      </c>
      <c r="D3004" s="5" t="s">
        <v>79</v>
      </c>
      <c r="E3004" s="5" t="s">
        <v>80</v>
      </c>
      <c r="F3004" s="5">
        <v>24374</v>
      </c>
      <c r="G3004" s="5" t="s">
        <v>9112</v>
      </c>
      <c r="H3004" s="5" t="s">
        <v>9113</v>
      </c>
      <c r="I3004" s="5" t="s">
        <v>212</v>
      </c>
      <c r="N3004" s="5" t="s">
        <v>9114</v>
      </c>
      <c r="O3004" s="5">
        <v>1120.6600000000001</v>
      </c>
      <c r="P3004" s="5">
        <v>1120.68</v>
      </c>
      <c r="Q3004" s="5">
        <v>1120.6600000000001</v>
      </c>
      <c r="R3004" s="5">
        <v>1120.6600000000001</v>
      </c>
      <c r="S3004" s="5">
        <v>1120.6600000000001</v>
      </c>
      <c r="T3004" s="5">
        <v>1120.55</v>
      </c>
      <c r="V3004" s="5">
        <v>1120.67</v>
      </c>
      <c r="Y3004" s="5">
        <v>4249</v>
      </c>
      <c r="Z3004" s="5">
        <v>4761706.84</v>
      </c>
      <c r="AA3004" s="5">
        <v>19</v>
      </c>
      <c r="AB3004" s="5" t="s">
        <v>85</v>
      </c>
      <c r="AC3004" s="5">
        <v>1</v>
      </c>
    </row>
    <row r="3005" spans="1:29" x14ac:dyDescent="0.3">
      <c r="A3005" s="34">
        <v>46274</v>
      </c>
      <c r="B3005" s="34">
        <v>46274</v>
      </c>
      <c r="C3005" s="5" t="s">
        <v>78</v>
      </c>
      <c r="D3005" s="5" t="s">
        <v>79</v>
      </c>
      <c r="E3005" s="5" t="s">
        <v>80</v>
      </c>
      <c r="F3005" s="5">
        <v>4306</v>
      </c>
      <c r="G3005" s="5" t="s">
        <v>9115</v>
      </c>
      <c r="H3005" s="5" t="s">
        <v>9116</v>
      </c>
      <c r="I3005" s="5" t="s">
        <v>212</v>
      </c>
      <c r="N3005" s="5" t="s">
        <v>9117</v>
      </c>
      <c r="O3005" s="5">
        <v>1018.2</v>
      </c>
      <c r="P3005" s="5">
        <v>1034.8</v>
      </c>
      <c r="Q3005" s="5">
        <v>1013</v>
      </c>
      <c r="R3005" s="5">
        <v>1029</v>
      </c>
      <c r="S3005" s="5">
        <v>1029</v>
      </c>
      <c r="T3005" s="5">
        <v>1029</v>
      </c>
      <c r="V3005" s="5">
        <v>1029</v>
      </c>
      <c r="Y3005" s="5">
        <v>3641454</v>
      </c>
      <c r="Z3005" s="5">
        <v>3739494545.5</v>
      </c>
      <c r="AA3005" s="5">
        <v>83064</v>
      </c>
      <c r="AB3005" s="5" t="s">
        <v>85</v>
      </c>
      <c r="AC3005" s="5">
        <v>1</v>
      </c>
    </row>
    <row r="3006" spans="1:29" x14ac:dyDescent="0.3">
      <c r="A3006" s="34">
        <v>46274</v>
      </c>
      <c r="B3006" s="34">
        <v>46274</v>
      </c>
      <c r="C3006" s="5" t="s">
        <v>78</v>
      </c>
      <c r="D3006" s="5" t="s">
        <v>79</v>
      </c>
      <c r="E3006" s="5" t="s">
        <v>80</v>
      </c>
      <c r="F3006" s="5">
        <v>7200</v>
      </c>
      <c r="G3006" s="5" t="s">
        <v>9118</v>
      </c>
      <c r="H3006" s="5" t="s">
        <v>9119</v>
      </c>
      <c r="I3006" s="5" t="s">
        <v>212</v>
      </c>
      <c r="N3006" s="5" t="s">
        <v>9120</v>
      </c>
      <c r="O3006" s="5">
        <v>74.430000000000007</v>
      </c>
      <c r="P3006" s="5">
        <v>74.95</v>
      </c>
      <c r="Q3006" s="5">
        <v>72.2</v>
      </c>
      <c r="R3006" s="5">
        <v>72.510000000000005</v>
      </c>
      <c r="S3006" s="5">
        <v>72.349999999999994</v>
      </c>
      <c r="T3006" s="5">
        <v>74.63</v>
      </c>
      <c r="V3006" s="5">
        <v>72.510000000000005</v>
      </c>
      <c r="Y3006" s="5">
        <v>410646</v>
      </c>
      <c r="Z3006" s="5">
        <v>30050862.510000002</v>
      </c>
      <c r="AA3006" s="5">
        <v>3786</v>
      </c>
      <c r="AB3006" s="5" t="s">
        <v>85</v>
      </c>
      <c r="AC3006" s="5">
        <v>1</v>
      </c>
    </row>
    <row r="3007" spans="1:29" x14ac:dyDescent="0.3">
      <c r="A3007" s="34">
        <v>46274</v>
      </c>
      <c r="B3007" s="34">
        <v>46274</v>
      </c>
      <c r="C3007" s="5" t="s">
        <v>78</v>
      </c>
      <c r="D3007" s="5" t="s">
        <v>79</v>
      </c>
      <c r="E3007" s="5" t="s">
        <v>80</v>
      </c>
      <c r="F3007" s="5">
        <v>6451</v>
      </c>
      <c r="G3007" s="5" t="s">
        <v>9121</v>
      </c>
      <c r="H3007" s="5" t="s">
        <v>9122</v>
      </c>
      <c r="I3007" s="5" t="s">
        <v>313</v>
      </c>
      <c r="N3007" s="5" t="s">
        <v>9123</v>
      </c>
      <c r="O3007" s="5">
        <v>17.100000000000001</v>
      </c>
      <c r="P3007" s="5">
        <v>17.100000000000001</v>
      </c>
      <c r="Q3007" s="5">
        <v>17.100000000000001</v>
      </c>
      <c r="R3007" s="5">
        <v>17.100000000000001</v>
      </c>
      <c r="S3007" s="5">
        <v>17.100000000000001</v>
      </c>
      <c r="T3007" s="5">
        <v>18</v>
      </c>
      <c r="V3007" s="5">
        <v>17.100000000000001</v>
      </c>
      <c r="Y3007" s="5">
        <v>7000</v>
      </c>
      <c r="Z3007" s="5">
        <v>119700</v>
      </c>
      <c r="AA3007" s="5">
        <v>6</v>
      </c>
      <c r="AB3007" s="5" t="s">
        <v>85</v>
      </c>
      <c r="AC3007" s="5">
        <v>1000</v>
      </c>
    </row>
    <row r="3008" spans="1:29" x14ac:dyDescent="0.3">
      <c r="A3008" s="34">
        <v>46274</v>
      </c>
      <c r="B3008" s="34">
        <v>46274</v>
      </c>
      <c r="C3008" s="5" t="s">
        <v>78</v>
      </c>
      <c r="D3008" s="5" t="s">
        <v>79</v>
      </c>
      <c r="E3008" s="5" t="s">
        <v>80</v>
      </c>
      <c r="F3008" s="5">
        <v>25240</v>
      </c>
      <c r="G3008" s="5" t="s">
        <v>9124</v>
      </c>
      <c r="H3008" s="5" t="s">
        <v>9125</v>
      </c>
      <c r="I3008" s="5" t="s">
        <v>313</v>
      </c>
      <c r="N3008" s="5" t="s">
        <v>9126</v>
      </c>
      <c r="O3008" s="5">
        <v>352</v>
      </c>
      <c r="P3008" s="5">
        <v>363</v>
      </c>
      <c r="Q3008" s="5">
        <v>350</v>
      </c>
      <c r="R3008" s="5">
        <v>363</v>
      </c>
      <c r="S3008" s="5">
        <v>363</v>
      </c>
      <c r="T3008" s="5">
        <v>345</v>
      </c>
      <c r="V3008" s="5">
        <v>363</v>
      </c>
      <c r="Y3008" s="5">
        <v>2400</v>
      </c>
      <c r="Z3008" s="5">
        <v>846000</v>
      </c>
      <c r="AA3008" s="5">
        <v>7</v>
      </c>
      <c r="AB3008" s="5" t="s">
        <v>85</v>
      </c>
      <c r="AC3008" s="5">
        <v>300</v>
      </c>
    </row>
    <row r="3009" spans="1:29" x14ac:dyDescent="0.3">
      <c r="A3009" s="34">
        <v>46274</v>
      </c>
      <c r="B3009" s="34">
        <v>46274</v>
      </c>
      <c r="C3009" s="5" t="s">
        <v>78</v>
      </c>
      <c r="D3009" s="5" t="s">
        <v>79</v>
      </c>
      <c r="E3009" s="5" t="s">
        <v>80</v>
      </c>
      <c r="F3009" s="5">
        <v>764537</v>
      </c>
      <c r="G3009" s="5" t="s">
        <v>9127</v>
      </c>
      <c r="H3009" s="5" t="s">
        <v>9128</v>
      </c>
      <c r="I3009" s="5" t="s">
        <v>212</v>
      </c>
      <c r="N3009" s="5" t="s">
        <v>9129</v>
      </c>
      <c r="O3009" s="5">
        <v>54.98</v>
      </c>
      <c r="P3009" s="5">
        <v>57.44</v>
      </c>
      <c r="Q3009" s="5">
        <v>54.17</v>
      </c>
      <c r="R3009" s="5">
        <v>56.1</v>
      </c>
      <c r="S3009" s="5">
        <v>56.69</v>
      </c>
      <c r="T3009" s="5">
        <v>54.11</v>
      </c>
      <c r="V3009" s="5">
        <v>56.11</v>
      </c>
      <c r="Y3009" s="5">
        <v>2827806</v>
      </c>
      <c r="Z3009" s="5">
        <v>157233576.16999999</v>
      </c>
      <c r="AA3009" s="5">
        <v>8830</v>
      </c>
      <c r="AB3009" s="5" t="s">
        <v>85</v>
      </c>
      <c r="AC3009" s="5">
        <v>1</v>
      </c>
    </row>
    <row r="3010" spans="1:29" x14ac:dyDescent="0.3">
      <c r="A3010" s="34">
        <v>46274</v>
      </c>
      <c r="B3010" s="34">
        <v>46274</v>
      </c>
      <c r="C3010" s="5" t="s">
        <v>78</v>
      </c>
      <c r="D3010" s="5" t="s">
        <v>79</v>
      </c>
      <c r="E3010" s="5" t="s">
        <v>80</v>
      </c>
      <c r="F3010" s="5">
        <v>10192</v>
      </c>
      <c r="G3010" s="5" t="s">
        <v>9130</v>
      </c>
      <c r="H3010" s="5" t="s">
        <v>9131</v>
      </c>
      <c r="I3010" s="5" t="s">
        <v>234</v>
      </c>
      <c r="N3010" s="5" t="s">
        <v>9132</v>
      </c>
      <c r="O3010" s="5">
        <v>5</v>
      </c>
      <c r="P3010" s="5">
        <v>5.0999999999999996</v>
      </c>
      <c r="Q3010" s="5">
        <v>4.95</v>
      </c>
      <c r="R3010" s="5">
        <v>4.97</v>
      </c>
      <c r="S3010" s="5">
        <v>5.01</v>
      </c>
      <c r="T3010" s="5">
        <v>4.9400000000000004</v>
      </c>
      <c r="V3010" s="5">
        <v>4.97</v>
      </c>
      <c r="Y3010" s="5">
        <v>31051</v>
      </c>
      <c r="Z3010" s="5">
        <v>154814.91</v>
      </c>
      <c r="AA3010" s="5">
        <v>79</v>
      </c>
      <c r="AB3010" s="5" t="s">
        <v>85</v>
      </c>
      <c r="AC3010" s="5">
        <v>1</v>
      </c>
    </row>
    <row r="3011" spans="1:29" x14ac:dyDescent="0.3">
      <c r="A3011" s="34">
        <v>46274</v>
      </c>
      <c r="B3011" s="34">
        <v>46274</v>
      </c>
      <c r="C3011" s="5" t="s">
        <v>78</v>
      </c>
      <c r="D3011" s="5" t="s">
        <v>79</v>
      </c>
      <c r="E3011" s="5" t="s">
        <v>80</v>
      </c>
      <c r="F3011" s="5">
        <v>761213</v>
      </c>
      <c r="G3011" s="5" t="s">
        <v>9133</v>
      </c>
      <c r="H3011" s="5" t="s">
        <v>9134</v>
      </c>
      <c r="I3011" s="5" t="s">
        <v>392</v>
      </c>
      <c r="N3011" s="5" t="s">
        <v>9135</v>
      </c>
      <c r="O3011" s="5">
        <v>56.3</v>
      </c>
      <c r="P3011" s="5">
        <v>56.3</v>
      </c>
      <c r="Q3011" s="5">
        <v>55.65</v>
      </c>
      <c r="R3011" s="5">
        <v>55.65</v>
      </c>
      <c r="S3011" s="5">
        <v>55.65</v>
      </c>
      <c r="T3011" s="5">
        <v>53.7</v>
      </c>
      <c r="V3011" s="5">
        <v>55.65</v>
      </c>
      <c r="Y3011" s="5">
        <v>10000</v>
      </c>
      <c r="Z3011" s="5">
        <v>559300</v>
      </c>
      <c r="AA3011" s="5">
        <v>5</v>
      </c>
      <c r="AB3011" s="5" t="s">
        <v>85</v>
      </c>
      <c r="AC3011" s="5">
        <v>2000</v>
      </c>
    </row>
    <row r="3012" spans="1:29" x14ac:dyDescent="0.3">
      <c r="A3012" s="34">
        <v>46274</v>
      </c>
      <c r="B3012" s="34">
        <v>46274</v>
      </c>
      <c r="C3012" s="5" t="s">
        <v>78</v>
      </c>
      <c r="D3012" s="5" t="s">
        <v>79</v>
      </c>
      <c r="E3012" s="5" t="s">
        <v>80</v>
      </c>
      <c r="F3012" s="5">
        <v>4693</v>
      </c>
      <c r="G3012" s="5" t="s">
        <v>9136</v>
      </c>
      <c r="H3012" s="5" t="s">
        <v>9137</v>
      </c>
      <c r="I3012" s="5" t="s">
        <v>212</v>
      </c>
      <c r="N3012" s="5" t="s">
        <v>9138</v>
      </c>
      <c r="O3012" s="5">
        <v>1080.5</v>
      </c>
      <c r="P3012" s="5">
        <v>1090.3</v>
      </c>
      <c r="Q3012" s="5">
        <v>1070.3</v>
      </c>
      <c r="R3012" s="5">
        <v>1073.7</v>
      </c>
      <c r="S3012" s="5">
        <v>1078</v>
      </c>
      <c r="T3012" s="5">
        <v>1081.9000000000001</v>
      </c>
      <c r="V3012" s="5">
        <v>1073.69</v>
      </c>
      <c r="Y3012" s="5">
        <v>153996</v>
      </c>
      <c r="Z3012" s="5">
        <v>166334133.09999999</v>
      </c>
      <c r="AA3012" s="5">
        <v>9539</v>
      </c>
      <c r="AB3012" s="5" t="s">
        <v>85</v>
      </c>
      <c r="AC3012" s="5">
        <v>1</v>
      </c>
    </row>
    <row r="3013" spans="1:29" x14ac:dyDescent="0.3">
      <c r="A3013" s="34">
        <v>46274</v>
      </c>
      <c r="B3013" s="34">
        <v>46274</v>
      </c>
      <c r="C3013" s="5" t="s">
        <v>78</v>
      </c>
      <c r="D3013" s="5" t="s">
        <v>79</v>
      </c>
      <c r="E3013" s="5" t="s">
        <v>80</v>
      </c>
      <c r="F3013" s="5">
        <v>13740</v>
      </c>
      <c r="G3013" s="5" t="s">
        <v>9139</v>
      </c>
      <c r="H3013" s="5" t="s">
        <v>9140</v>
      </c>
      <c r="I3013" s="5" t="s">
        <v>212</v>
      </c>
      <c r="N3013" s="5" t="s">
        <v>9141</v>
      </c>
      <c r="O3013" s="5">
        <v>11.06</v>
      </c>
      <c r="P3013" s="5">
        <v>11.97</v>
      </c>
      <c r="Q3013" s="5">
        <v>10.72</v>
      </c>
      <c r="R3013" s="5">
        <v>11.43</v>
      </c>
      <c r="S3013" s="5">
        <v>11.2</v>
      </c>
      <c r="T3013" s="5">
        <v>11.47</v>
      </c>
      <c r="V3013" s="5">
        <v>11.49</v>
      </c>
      <c r="Y3013" s="5">
        <v>4155</v>
      </c>
      <c r="Z3013" s="5">
        <v>46272.59</v>
      </c>
      <c r="AA3013" s="5">
        <v>52</v>
      </c>
      <c r="AB3013" s="5" t="s">
        <v>85</v>
      </c>
      <c r="AC3013" s="5">
        <v>1</v>
      </c>
    </row>
    <row r="3014" spans="1:29" x14ac:dyDescent="0.3">
      <c r="A3014" s="34">
        <v>46274</v>
      </c>
      <c r="B3014" s="34">
        <v>46274</v>
      </c>
      <c r="C3014" s="5" t="s">
        <v>78</v>
      </c>
      <c r="D3014" s="5" t="s">
        <v>79</v>
      </c>
      <c r="E3014" s="5" t="s">
        <v>80</v>
      </c>
      <c r="F3014" s="5">
        <v>16875</v>
      </c>
      <c r="G3014" s="5" t="s">
        <v>9142</v>
      </c>
      <c r="H3014" s="5" t="s">
        <v>9143</v>
      </c>
      <c r="I3014" s="5" t="s">
        <v>212</v>
      </c>
      <c r="N3014" s="5" t="s">
        <v>9144</v>
      </c>
      <c r="O3014" s="5">
        <v>57.15</v>
      </c>
      <c r="P3014" s="5">
        <v>58.95</v>
      </c>
      <c r="Q3014" s="5">
        <v>54.95</v>
      </c>
      <c r="R3014" s="5">
        <v>56.36</v>
      </c>
      <c r="S3014" s="5">
        <v>57.35</v>
      </c>
      <c r="T3014" s="5">
        <v>57.84</v>
      </c>
      <c r="V3014" s="5">
        <v>56.36</v>
      </c>
      <c r="Y3014" s="5">
        <v>42516</v>
      </c>
      <c r="Z3014" s="5">
        <v>2383686.65</v>
      </c>
      <c r="AA3014" s="5">
        <v>678</v>
      </c>
      <c r="AB3014" s="5" t="s">
        <v>85</v>
      </c>
      <c r="AC3014" s="5">
        <v>1</v>
      </c>
    </row>
    <row r="3015" spans="1:29" x14ac:dyDescent="0.3">
      <c r="A3015" s="34">
        <v>46274</v>
      </c>
      <c r="B3015" s="34">
        <v>46274</v>
      </c>
      <c r="C3015" s="5" t="s">
        <v>78</v>
      </c>
      <c r="D3015" s="5" t="s">
        <v>79</v>
      </c>
      <c r="E3015" s="5" t="s">
        <v>80</v>
      </c>
      <c r="F3015" s="5">
        <v>19440</v>
      </c>
      <c r="G3015" s="5" t="s">
        <v>9145</v>
      </c>
      <c r="H3015" s="5" t="s">
        <v>9146</v>
      </c>
      <c r="I3015" s="5" t="s">
        <v>234</v>
      </c>
      <c r="N3015" s="5" t="s">
        <v>9147</v>
      </c>
      <c r="O3015" s="5">
        <v>101.85</v>
      </c>
      <c r="P3015" s="5">
        <v>103.25</v>
      </c>
      <c r="Q3015" s="5">
        <v>99.71</v>
      </c>
      <c r="R3015" s="5">
        <v>100.56</v>
      </c>
      <c r="S3015" s="5">
        <v>101.8</v>
      </c>
      <c r="T3015" s="5">
        <v>101.85</v>
      </c>
      <c r="V3015" s="5">
        <v>100.56</v>
      </c>
      <c r="Y3015" s="5">
        <v>14315</v>
      </c>
      <c r="Z3015" s="5">
        <v>1443448.33</v>
      </c>
      <c r="AA3015" s="5">
        <v>124</v>
      </c>
      <c r="AB3015" s="5" t="s">
        <v>85</v>
      </c>
      <c r="AC3015" s="5">
        <v>1</v>
      </c>
    </row>
    <row r="3016" spans="1:29" x14ac:dyDescent="0.3">
      <c r="A3016" s="34">
        <v>46274</v>
      </c>
      <c r="B3016" s="34">
        <v>46274</v>
      </c>
      <c r="C3016" s="5" t="s">
        <v>78</v>
      </c>
      <c r="D3016" s="5" t="s">
        <v>79</v>
      </c>
      <c r="E3016" s="5" t="s">
        <v>80</v>
      </c>
      <c r="F3016" s="5">
        <v>759053</v>
      </c>
      <c r="G3016" s="5" t="s">
        <v>9148</v>
      </c>
      <c r="H3016" s="5" t="s">
        <v>9149</v>
      </c>
      <c r="I3016" s="5" t="s">
        <v>313</v>
      </c>
      <c r="N3016" s="5" t="s">
        <v>9150</v>
      </c>
      <c r="O3016" s="5">
        <v>26.5</v>
      </c>
      <c r="P3016" s="5">
        <v>26.6</v>
      </c>
      <c r="Q3016" s="5">
        <v>26.5</v>
      </c>
      <c r="R3016" s="5">
        <v>26.5</v>
      </c>
      <c r="S3016" s="5">
        <v>26.5</v>
      </c>
      <c r="T3016" s="5">
        <v>26.5</v>
      </c>
      <c r="V3016" s="5">
        <v>26.5</v>
      </c>
      <c r="Y3016" s="5">
        <v>6000</v>
      </c>
      <c r="Z3016" s="5">
        <v>159120</v>
      </c>
      <c r="AA3016" s="5">
        <v>4</v>
      </c>
      <c r="AB3016" s="5" t="s">
        <v>85</v>
      </c>
      <c r="AC3016" s="5">
        <v>1200</v>
      </c>
    </row>
    <row r="3017" spans="1:29" x14ac:dyDescent="0.3">
      <c r="A3017" s="34">
        <v>46274</v>
      </c>
      <c r="B3017" s="34">
        <v>46274</v>
      </c>
      <c r="C3017" s="5" t="s">
        <v>78</v>
      </c>
      <c r="D3017" s="5" t="s">
        <v>79</v>
      </c>
      <c r="E3017" s="5" t="s">
        <v>80</v>
      </c>
      <c r="F3017" s="5">
        <v>3148</v>
      </c>
      <c r="G3017" s="5" t="s">
        <v>9151</v>
      </c>
      <c r="H3017" s="5" t="s">
        <v>9152</v>
      </c>
      <c r="I3017" s="5" t="s">
        <v>313</v>
      </c>
      <c r="N3017" s="5" t="s">
        <v>9153</v>
      </c>
      <c r="O3017" s="5">
        <v>220.5</v>
      </c>
      <c r="P3017" s="5">
        <v>220.5</v>
      </c>
      <c r="Q3017" s="5">
        <v>220.5</v>
      </c>
      <c r="R3017" s="5">
        <v>220.5</v>
      </c>
      <c r="S3017" s="5">
        <v>220.5</v>
      </c>
      <c r="T3017" s="5">
        <v>229.95</v>
      </c>
      <c r="V3017" s="5">
        <v>220.5</v>
      </c>
      <c r="Y3017" s="5">
        <v>500</v>
      </c>
      <c r="Z3017" s="5">
        <v>110250</v>
      </c>
      <c r="AA3017" s="5">
        <v>1</v>
      </c>
      <c r="AB3017" s="5" t="s">
        <v>85</v>
      </c>
      <c r="AC3017" s="5">
        <v>500</v>
      </c>
    </row>
    <row r="3018" spans="1:29" x14ac:dyDescent="0.3">
      <c r="A3018" s="34">
        <v>46274</v>
      </c>
      <c r="B3018" s="34">
        <v>46274</v>
      </c>
      <c r="C3018" s="5" t="s">
        <v>78</v>
      </c>
      <c r="D3018" s="5" t="s">
        <v>79</v>
      </c>
      <c r="E3018" s="5" t="s">
        <v>80</v>
      </c>
      <c r="F3018" s="5">
        <v>756871</v>
      </c>
      <c r="G3018" s="5" t="s">
        <v>9154</v>
      </c>
      <c r="H3018" s="5" t="s">
        <v>9155</v>
      </c>
      <c r="I3018" s="5" t="s">
        <v>212</v>
      </c>
      <c r="N3018" s="5" t="s">
        <v>9156</v>
      </c>
      <c r="O3018" s="5">
        <v>3215</v>
      </c>
      <c r="P3018" s="5">
        <v>3238</v>
      </c>
      <c r="Q3018" s="5">
        <v>3160</v>
      </c>
      <c r="R3018" s="5">
        <v>3183.7</v>
      </c>
      <c r="S3018" s="5">
        <v>3192</v>
      </c>
      <c r="T3018" s="5">
        <v>3200.1</v>
      </c>
      <c r="V3018" s="5">
        <v>3183.48</v>
      </c>
      <c r="Y3018" s="5">
        <v>276989</v>
      </c>
      <c r="Z3018" s="5">
        <v>883363342.89999998</v>
      </c>
      <c r="AA3018" s="5">
        <v>27706</v>
      </c>
      <c r="AB3018" s="5" t="s">
        <v>85</v>
      </c>
      <c r="AC3018" s="5">
        <v>1</v>
      </c>
    </row>
    <row r="3019" spans="1:29" x14ac:dyDescent="0.3">
      <c r="A3019" s="34">
        <v>46274</v>
      </c>
      <c r="B3019" s="34">
        <v>46274</v>
      </c>
      <c r="C3019" s="5" t="s">
        <v>78</v>
      </c>
      <c r="D3019" s="5" t="s">
        <v>79</v>
      </c>
      <c r="E3019" s="5" t="s">
        <v>80</v>
      </c>
      <c r="F3019" s="5">
        <v>3150</v>
      </c>
      <c r="G3019" s="5" t="s">
        <v>9157</v>
      </c>
      <c r="H3019" s="5" t="s">
        <v>9158</v>
      </c>
      <c r="I3019" s="5" t="s">
        <v>212</v>
      </c>
      <c r="N3019" s="5" t="s">
        <v>9159</v>
      </c>
      <c r="O3019" s="5">
        <v>3932</v>
      </c>
      <c r="P3019" s="5">
        <v>4003</v>
      </c>
      <c r="Q3019" s="5">
        <v>3911.8</v>
      </c>
      <c r="R3019" s="5">
        <v>3949.1</v>
      </c>
      <c r="S3019" s="5">
        <v>3949.1</v>
      </c>
      <c r="T3019" s="5">
        <v>3951.3</v>
      </c>
      <c r="V3019" s="5">
        <v>3949.1</v>
      </c>
      <c r="Y3019" s="5">
        <v>378664</v>
      </c>
      <c r="Z3019" s="5">
        <v>1501347901.4000001</v>
      </c>
      <c r="AA3019" s="5">
        <v>27887</v>
      </c>
      <c r="AB3019" s="5" t="s">
        <v>85</v>
      </c>
      <c r="AC3019" s="5">
        <v>1</v>
      </c>
    </row>
    <row r="3020" spans="1:29" x14ac:dyDescent="0.3">
      <c r="A3020" s="34">
        <v>46274</v>
      </c>
      <c r="B3020" s="34">
        <v>46274</v>
      </c>
      <c r="C3020" s="5" t="s">
        <v>78</v>
      </c>
      <c r="D3020" s="5" t="s">
        <v>79</v>
      </c>
      <c r="E3020" s="5" t="s">
        <v>80</v>
      </c>
      <c r="F3020" s="5">
        <v>6663</v>
      </c>
      <c r="G3020" s="5" t="s">
        <v>9160</v>
      </c>
      <c r="H3020" s="5" t="s">
        <v>9161</v>
      </c>
      <c r="I3020" s="5" t="s">
        <v>212</v>
      </c>
      <c r="N3020" s="5" t="s">
        <v>9162</v>
      </c>
      <c r="O3020" s="5">
        <v>34.54</v>
      </c>
      <c r="P3020" s="5">
        <v>35.799999999999997</v>
      </c>
      <c r="Q3020" s="5">
        <v>34.26</v>
      </c>
      <c r="R3020" s="5">
        <v>35.270000000000003</v>
      </c>
      <c r="S3020" s="5">
        <v>35.6</v>
      </c>
      <c r="T3020" s="5">
        <v>34.700000000000003</v>
      </c>
      <c r="V3020" s="5">
        <v>35.270000000000003</v>
      </c>
      <c r="Y3020" s="5">
        <v>3396501</v>
      </c>
      <c r="Z3020" s="5">
        <v>119734144.92</v>
      </c>
      <c r="AA3020" s="5">
        <v>10582</v>
      </c>
      <c r="AB3020" s="5" t="s">
        <v>85</v>
      </c>
      <c r="AC3020" s="5">
        <v>1</v>
      </c>
    </row>
    <row r="3021" spans="1:29" x14ac:dyDescent="0.3">
      <c r="A3021" s="34">
        <v>46274</v>
      </c>
      <c r="B3021" s="34">
        <v>46274</v>
      </c>
      <c r="C3021" s="5" t="s">
        <v>78</v>
      </c>
      <c r="D3021" s="5" t="s">
        <v>79</v>
      </c>
      <c r="E3021" s="5" t="s">
        <v>80</v>
      </c>
      <c r="F3021" s="5">
        <v>14797</v>
      </c>
      <c r="G3021" s="5" t="s">
        <v>9163</v>
      </c>
      <c r="H3021" s="5" t="s">
        <v>9164</v>
      </c>
      <c r="I3021" s="5" t="s">
        <v>234</v>
      </c>
      <c r="N3021" s="5" t="s">
        <v>9165</v>
      </c>
      <c r="O3021" s="5">
        <v>788</v>
      </c>
      <c r="P3021" s="5">
        <v>789</v>
      </c>
      <c r="Q3021" s="5">
        <v>750</v>
      </c>
      <c r="R3021" s="5">
        <v>755.1</v>
      </c>
      <c r="S3021" s="5">
        <v>754.9</v>
      </c>
      <c r="T3021" s="5">
        <v>777.15</v>
      </c>
      <c r="V3021" s="5">
        <v>755.11</v>
      </c>
      <c r="Y3021" s="5">
        <v>155489</v>
      </c>
      <c r="Z3021" s="5">
        <v>118893568.65000001</v>
      </c>
      <c r="AA3021" s="5">
        <v>4084</v>
      </c>
      <c r="AB3021" s="5" t="s">
        <v>85</v>
      </c>
      <c r="AC3021" s="5">
        <v>1</v>
      </c>
    </row>
    <row r="3022" spans="1:29" x14ac:dyDescent="0.3">
      <c r="A3022" s="34">
        <v>46274</v>
      </c>
      <c r="B3022" s="34">
        <v>46274</v>
      </c>
      <c r="C3022" s="5" t="s">
        <v>78</v>
      </c>
      <c r="D3022" s="5" t="s">
        <v>79</v>
      </c>
      <c r="E3022" s="5" t="s">
        <v>80</v>
      </c>
      <c r="F3022" s="5">
        <v>16658</v>
      </c>
      <c r="G3022" s="5" t="s">
        <v>9166</v>
      </c>
      <c r="H3022" s="5" t="s">
        <v>9167</v>
      </c>
      <c r="I3022" s="5" t="s">
        <v>212</v>
      </c>
      <c r="N3022" s="5" t="s">
        <v>9168</v>
      </c>
      <c r="O3022" s="5">
        <v>47.2</v>
      </c>
      <c r="P3022" s="5">
        <v>48</v>
      </c>
      <c r="Q3022" s="5">
        <v>45.7</v>
      </c>
      <c r="R3022" s="5">
        <v>45.83</v>
      </c>
      <c r="S3022" s="5">
        <v>45.7</v>
      </c>
      <c r="T3022" s="5">
        <v>47.21</v>
      </c>
      <c r="V3022" s="5">
        <v>45.84</v>
      </c>
      <c r="Y3022" s="5">
        <v>112657</v>
      </c>
      <c r="Z3022" s="5">
        <v>5225812.07</v>
      </c>
      <c r="AA3022" s="5">
        <v>1382</v>
      </c>
      <c r="AB3022" s="5" t="s">
        <v>85</v>
      </c>
      <c r="AC3022" s="5">
        <v>1</v>
      </c>
    </row>
    <row r="3023" spans="1:29" x14ac:dyDescent="0.3">
      <c r="A3023" s="34">
        <v>46274</v>
      </c>
      <c r="B3023" s="34">
        <v>46274</v>
      </c>
      <c r="C3023" s="5" t="s">
        <v>78</v>
      </c>
      <c r="D3023" s="5" t="s">
        <v>79</v>
      </c>
      <c r="E3023" s="5" t="s">
        <v>80</v>
      </c>
      <c r="F3023" s="5">
        <v>18743</v>
      </c>
      <c r="G3023" s="5" t="s">
        <v>9169</v>
      </c>
      <c r="H3023" s="5" t="s">
        <v>9170</v>
      </c>
      <c r="I3023" s="5" t="s">
        <v>212</v>
      </c>
      <c r="N3023" s="5" t="s">
        <v>9171</v>
      </c>
      <c r="O3023" s="5">
        <v>785</v>
      </c>
      <c r="P3023" s="5">
        <v>794.1</v>
      </c>
      <c r="Q3023" s="5">
        <v>775.65</v>
      </c>
      <c r="R3023" s="5">
        <v>786.8</v>
      </c>
      <c r="S3023" s="5">
        <v>789.5</v>
      </c>
      <c r="T3023" s="5">
        <v>785.2</v>
      </c>
      <c r="V3023" s="5">
        <v>786.73</v>
      </c>
      <c r="Y3023" s="5">
        <v>172473</v>
      </c>
      <c r="Z3023" s="5">
        <v>134627780.25</v>
      </c>
      <c r="AA3023" s="5">
        <v>4049</v>
      </c>
      <c r="AB3023" s="5" t="s">
        <v>85</v>
      </c>
      <c r="AC3023" s="5">
        <v>1</v>
      </c>
    </row>
    <row r="3024" spans="1:29" x14ac:dyDescent="0.3">
      <c r="A3024" s="34">
        <v>46274</v>
      </c>
      <c r="B3024" s="34">
        <v>46274</v>
      </c>
      <c r="C3024" s="5" t="s">
        <v>78</v>
      </c>
      <c r="D3024" s="5" t="s">
        <v>79</v>
      </c>
      <c r="E3024" s="5" t="s">
        <v>80</v>
      </c>
      <c r="F3024" s="5">
        <v>4517</v>
      </c>
      <c r="G3024" s="5" t="s">
        <v>9172</v>
      </c>
      <c r="H3024" s="5" t="s">
        <v>9173</v>
      </c>
      <c r="I3024" s="5" t="s">
        <v>234</v>
      </c>
      <c r="N3024" s="5" t="s">
        <v>9174</v>
      </c>
      <c r="O3024" s="5">
        <v>70.989999999999995</v>
      </c>
      <c r="P3024" s="5">
        <v>72</v>
      </c>
      <c r="Q3024" s="5">
        <v>68</v>
      </c>
      <c r="R3024" s="5">
        <v>70.52</v>
      </c>
      <c r="S3024" s="5">
        <v>71.5</v>
      </c>
      <c r="T3024" s="5">
        <v>69.88</v>
      </c>
      <c r="V3024" s="5">
        <v>70.53</v>
      </c>
      <c r="Y3024" s="5">
        <v>17737</v>
      </c>
      <c r="Z3024" s="5">
        <v>1247482.92</v>
      </c>
      <c r="AA3024" s="5">
        <v>201</v>
      </c>
      <c r="AB3024" s="5" t="s">
        <v>85</v>
      </c>
      <c r="AC3024" s="5">
        <v>1</v>
      </c>
    </row>
    <row r="3025" spans="1:29" x14ac:dyDescent="0.3">
      <c r="A3025" s="34">
        <v>46274</v>
      </c>
      <c r="B3025" s="34">
        <v>46274</v>
      </c>
      <c r="C3025" s="5" t="s">
        <v>78</v>
      </c>
      <c r="D3025" s="5" t="s">
        <v>79</v>
      </c>
      <c r="E3025" s="5" t="s">
        <v>80</v>
      </c>
      <c r="F3025" s="5">
        <v>22656</v>
      </c>
      <c r="G3025" s="5" t="s">
        <v>9175</v>
      </c>
      <c r="H3025" s="5" t="s">
        <v>9176</v>
      </c>
      <c r="I3025" s="5" t="s">
        <v>212</v>
      </c>
      <c r="N3025" s="5" t="s">
        <v>9177</v>
      </c>
      <c r="O3025" s="5">
        <v>265.60000000000002</v>
      </c>
      <c r="P3025" s="5">
        <v>284</v>
      </c>
      <c r="Q3025" s="5">
        <v>259.60000000000002</v>
      </c>
      <c r="R3025" s="5">
        <v>270.75</v>
      </c>
      <c r="S3025" s="5">
        <v>270</v>
      </c>
      <c r="T3025" s="5">
        <v>264.55</v>
      </c>
      <c r="V3025" s="5">
        <v>270.75</v>
      </c>
      <c r="Y3025" s="5">
        <v>1028495</v>
      </c>
      <c r="Z3025" s="5">
        <v>282834418.94999999</v>
      </c>
      <c r="AA3025" s="5">
        <v>23804</v>
      </c>
      <c r="AB3025" s="5" t="s">
        <v>85</v>
      </c>
      <c r="AC3025" s="5">
        <v>1</v>
      </c>
    </row>
    <row r="3026" spans="1:29" x14ac:dyDescent="0.3">
      <c r="A3026" s="34">
        <v>46274</v>
      </c>
      <c r="B3026" s="34">
        <v>46274</v>
      </c>
      <c r="C3026" s="5" t="s">
        <v>78</v>
      </c>
      <c r="D3026" s="5" t="s">
        <v>79</v>
      </c>
      <c r="E3026" s="5" t="s">
        <v>80</v>
      </c>
      <c r="F3026" s="5">
        <v>762914</v>
      </c>
      <c r="G3026" s="5" t="s">
        <v>9178</v>
      </c>
      <c r="H3026" s="5" t="s">
        <v>9179</v>
      </c>
      <c r="I3026" s="5" t="s">
        <v>212</v>
      </c>
      <c r="N3026" s="5" t="s">
        <v>9180</v>
      </c>
      <c r="O3026" s="5">
        <v>1015.15</v>
      </c>
      <c r="P3026" s="5">
        <v>1019.05</v>
      </c>
      <c r="Q3026" s="5">
        <v>985.6</v>
      </c>
      <c r="R3026" s="5">
        <v>993.4</v>
      </c>
      <c r="S3026" s="5">
        <v>1001</v>
      </c>
      <c r="T3026" s="5">
        <v>1015.15</v>
      </c>
      <c r="V3026" s="5">
        <v>993.78</v>
      </c>
      <c r="Y3026" s="5">
        <v>26269</v>
      </c>
      <c r="Z3026" s="5">
        <v>26297768.050000001</v>
      </c>
      <c r="AA3026" s="5">
        <v>1833</v>
      </c>
      <c r="AB3026" s="5" t="s">
        <v>85</v>
      </c>
      <c r="AC3026" s="5">
        <v>1</v>
      </c>
    </row>
    <row r="3027" spans="1:29" x14ac:dyDescent="0.3">
      <c r="A3027" s="34">
        <v>46274</v>
      </c>
      <c r="B3027" s="34">
        <v>46274</v>
      </c>
      <c r="C3027" s="5" t="s">
        <v>78</v>
      </c>
      <c r="D3027" s="5" t="s">
        <v>79</v>
      </c>
      <c r="E3027" s="5" t="s">
        <v>80</v>
      </c>
      <c r="F3027" s="5">
        <v>6226</v>
      </c>
      <c r="G3027" s="5" t="s">
        <v>9181</v>
      </c>
      <c r="H3027" s="5" t="s">
        <v>9182</v>
      </c>
      <c r="I3027" s="5" t="s">
        <v>234</v>
      </c>
      <c r="N3027" s="5" t="s">
        <v>9183</v>
      </c>
      <c r="O3027" s="5">
        <v>5.53</v>
      </c>
      <c r="P3027" s="5">
        <v>5.63</v>
      </c>
      <c r="Q3027" s="5">
        <v>5.32</v>
      </c>
      <c r="R3027" s="5">
        <v>5.58</v>
      </c>
      <c r="S3027" s="5">
        <v>5.62</v>
      </c>
      <c r="T3027" s="5">
        <v>5.52</v>
      </c>
      <c r="V3027" s="5">
        <v>5.58</v>
      </c>
      <c r="Y3027" s="5">
        <v>702986</v>
      </c>
      <c r="Z3027" s="5">
        <v>3897693.65</v>
      </c>
      <c r="AA3027" s="5">
        <v>446</v>
      </c>
      <c r="AB3027" s="5" t="s">
        <v>85</v>
      </c>
      <c r="AC3027" s="5">
        <v>1</v>
      </c>
    </row>
    <row r="3028" spans="1:29" x14ac:dyDescent="0.3">
      <c r="A3028" s="34">
        <v>46274</v>
      </c>
      <c r="B3028" s="34">
        <v>46274</v>
      </c>
      <c r="C3028" s="5" t="s">
        <v>78</v>
      </c>
      <c r="D3028" s="5" t="s">
        <v>79</v>
      </c>
      <c r="E3028" s="5" t="s">
        <v>80</v>
      </c>
      <c r="F3028" s="5">
        <v>4105</v>
      </c>
      <c r="G3028" s="5" t="s">
        <v>9184</v>
      </c>
      <c r="H3028" s="5" t="s">
        <v>9185</v>
      </c>
      <c r="I3028" s="5" t="s">
        <v>212</v>
      </c>
      <c r="N3028" s="5" t="s">
        <v>9186</v>
      </c>
      <c r="O3028" s="5">
        <v>453</v>
      </c>
      <c r="P3028" s="5">
        <v>465</v>
      </c>
      <c r="Q3028" s="5">
        <v>453</v>
      </c>
      <c r="R3028" s="5">
        <v>461.45</v>
      </c>
      <c r="S3028" s="5">
        <v>462</v>
      </c>
      <c r="T3028" s="5">
        <v>462.4</v>
      </c>
      <c r="V3028" s="5">
        <v>461.43</v>
      </c>
      <c r="Y3028" s="5">
        <v>1855</v>
      </c>
      <c r="Z3028" s="5">
        <v>854966.1</v>
      </c>
      <c r="AA3028" s="5">
        <v>118</v>
      </c>
      <c r="AB3028" s="5" t="s">
        <v>85</v>
      </c>
      <c r="AC3028" s="5">
        <v>1</v>
      </c>
    </row>
    <row r="3029" spans="1:29" x14ac:dyDescent="0.3">
      <c r="A3029" s="34">
        <v>46274</v>
      </c>
      <c r="B3029" s="34">
        <v>46274</v>
      </c>
      <c r="C3029" s="5" t="s">
        <v>78</v>
      </c>
      <c r="D3029" s="5" t="s">
        <v>79</v>
      </c>
      <c r="E3029" s="5" t="s">
        <v>80</v>
      </c>
      <c r="F3029" s="5">
        <v>2492</v>
      </c>
      <c r="G3029" s="5" t="s">
        <v>9187</v>
      </c>
      <c r="H3029" s="5" t="s">
        <v>9188</v>
      </c>
      <c r="I3029" s="5" t="s">
        <v>212</v>
      </c>
      <c r="N3029" s="5" t="s">
        <v>9189</v>
      </c>
      <c r="O3029" s="5">
        <v>71.5</v>
      </c>
      <c r="P3029" s="5">
        <v>72.91</v>
      </c>
      <c r="Q3029" s="5">
        <v>70.55</v>
      </c>
      <c r="R3029" s="5">
        <v>71.09</v>
      </c>
      <c r="S3029" s="5">
        <v>71</v>
      </c>
      <c r="T3029" s="5">
        <v>71.489999999999995</v>
      </c>
      <c r="V3029" s="5">
        <v>71.09</v>
      </c>
      <c r="Y3029" s="5">
        <v>309476</v>
      </c>
      <c r="Z3029" s="5">
        <v>22075600.219999999</v>
      </c>
      <c r="AA3029" s="5">
        <v>997</v>
      </c>
      <c r="AB3029" s="5" t="s">
        <v>85</v>
      </c>
      <c r="AC3029" s="5">
        <v>1</v>
      </c>
    </row>
    <row r="3030" spans="1:29" x14ac:dyDescent="0.3">
      <c r="A3030" s="34">
        <v>46274</v>
      </c>
      <c r="B3030" s="34">
        <v>46274</v>
      </c>
      <c r="C3030" s="5" t="s">
        <v>78</v>
      </c>
      <c r="D3030" s="5" t="s">
        <v>79</v>
      </c>
      <c r="E3030" s="5" t="s">
        <v>80</v>
      </c>
      <c r="F3030" s="5">
        <v>23736</v>
      </c>
      <c r="G3030" s="5" t="s">
        <v>9190</v>
      </c>
      <c r="H3030" s="5" t="s">
        <v>9191</v>
      </c>
      <c r="I3030" s="5" t="s">
        <v>313</v>
      </c>
      <c r="N3030" s="5" t="s">
        <v>9192</v>
      </c>
      <c r="O3030" s="5">
        <v>297</v>
      </c>
      <c r="P3030" s="5">
        <v>297</v>
      </c>
      <c r="Q3030" s="5">
        <v>281.75</v>
      </c>
      <c r="R3030" s="5">
        <v>281.75</v>
      </c>
      <c r="S3030" s="5">
        <v>281.75</v>
      </c>
      <c r="T3030" s="5">
        <v>296.55</v>
      </c>
      <c r="V3030" s="5">
        <v>281.75</v>
      </c>
      <c r="Y3030" s="5">
        <v>21000</v>
      </c>
      <c r="Z3030" s="5">
        <v>6052450</v>
      </c>
      <c r="AA3030" s="5">
        <v>20</v>
      </c>
      <c r="AB3030" s="5" t="s">
        <v>85</v>
      </c>
      <c r="AC3030" s="5">
        <v>1000</v>
      </c>
    </row>
    <row r="3031" spans="1:29" x14ac:dyDescent="0.3">
      <c r="A3031" s="34">
        <v>46274</v>
      </c>
      <c r="B3031" s="34">
        <v>46274</v>
      </c>
      <c r="C3031" s="5" t="s">
        <v>78</v>
      </c>
      <c r="D3031" s="5" t="s">
        <v>79</v>
      </c>
      <c r="E3031" s="5" t="s">
        <v>80</v>
      </c>
      <c r="F3031" s="5">
        <v>757679</v>
      </c>
      <c r="G3031" s="5" t="s">
        <v>9193</v>
      </c>
      <c r="H3031" s="5" t="s">
        <v>9194</v>
      </c>
      <c r="I3031" s="5" t="s">
        <v>313</v>
      </c>
      <c r="N3031" s="5" t="s">
        <v>9195</v>
      </c>
      <c r="O3031" s="5">
        <v>70.75</v>
      </c>
      <c r="P3031" s="5">
        <v>70.75</v>
      </c>
      <c r="Q3031" s="5">
        <v>70.75</v>
      </c>
      <c r="R3031" s="5">
        <v>70.75</v>
      </c>
      <c r="S3031" s="5">
        <v>70.75</v>
      </c>
      <c r="T3031" s="5">
        <v>68.95</v>
      </c>
      <c r="V3031" s="5">
        <v>70.75</v>
      </c>
      <c r="Y3031" s="5">
        <v>800</v>
      </c>
      <c r="Z3031" s="5">
        <v>56600</v>
      </c>
      <c r="AA3031" s="5">
        <v>1</v>
      </c>
      <c r="AB3031" s="5" t="s">
        <v>85</v>
      </c>
      <c r="AC3031" s="5">
        <v>800</v>
      </c>
    </row>
    <row r="3032" spans="1:29" x14ac:dyDescent="0.3">
      <c r="A3032" s="34">
        <v>46274</v>
      </c>
      <c r="B3032" s="34">
        <v>46274</v>
      </c>
      <c r="C3032" s="5" t="s">
        <v>78</v>
      </c>
      <c r="D3032" s="5" t="s">
        <v>79</v>
      </c>
      <c r="E3032" s="5" t="s">
        <v>80</v>
      </c>
      <c r="F3032" s="5">
        <v>19097</v>
      </c>
      <c r="G3032" s="5" t="s">
        <v>9196</v>
      </c>
      <c r="H3032" s="5" t="s">
        <v>9197</v>
      </c>
      <c r="I3032" s="5" t="s">
        <v>212</v>
      </c>
      <c r="N3032" s="5" t="s">
        <v>9198</v>
      </c>
      <c r="O3032" s="5">
        <v>15.96</v>
      </c>
      <c r="P3032" s="5">
        <v>16.489999999999998</v>
      </c>
      <c r="Q3032" s="5">
        <v>15.96</v>
      </c>
      <c r="R3032" s="5">
        <v>16</v>
      </c>
      <c r="S3032" s="5">
        <v>16</v>
      </c>
      <c r="T3032" s="5">
        <v>16.29</v>
      </c>
      <c r="V3032" s="5">
        <v>16</v>
      </c>
      <c r="Y3032" s="5">
        <v>31902</v>
      </c>
      <c r="Z3032" s="5">
        <v>513683.33</v>
      </c>
      <c r="AA3032" s="5">
        <v>45</v>
      </c>
      <c r="AB3032" s="5" t="s">
        <v>85</v>
      </c>
      <c r="AC3032" s="5">
        <v>1</v>
      </c>
    </row>
    <row r="3033" spans="1:29" x14ac:dyDescent="0.3">
      <c r="A3033" s="34">
        <v>46274</v>
      </c>
      <c r="B3033" s="34">
        <v>46274</v>
      </c>
      <c r="C3033" s="5" t="s">
        <v>78</v>
      </c>
      <c r="D3033" s="5" t="s">
        <v>79</v>
      </c>
      <c r="E3033" s="5" t="s">
        <v>80</v>
      </c>
      <c r="F3033" s="5">
        <v>9422</v>
      </c>
      <c r="G3033" s="5" t="s">
        <v>9199</v>
      </c>
      <c r="H3033" s="5" t="s">
        <v>9200</v>
      </c>
      <c r="I3033" s="5" t="s">
        <v>212</v>
      </c>
      <c r="N3033" s="5" t="s">
        <v>9201</v>
      </c>
      <c r="O3033" s="5">
        <v>161</v>
      </c>
      <c r="P3033" s="5">
        <v>165.65</v>
      </c>
      <c r="Q3033" s="5">
        <v>157.99</v>
      </c>
      <c r="R3033" s="5">
        <v>159.96</v>
      </c>
      <c r="S3033" s="5">
        <v>160.4</v>
      </c>
      <c r="T3033" s="5">
        <v>161.1</v>
      </c>
      <c r="V3033" s="5">
        <v>160.02000000000001</v>
      </c>
      <c r="Y3033" s="5">
        <v>418255</v>
      </c>
      <c r="Z3033" s="5">
        <v>67778165.219999999</v>
      </c>
      <c r="AA3033" s="5">
        <v>5179</v>
      </c>
      <c r="AB3033" s="5" t="s">
        <v>85</v>
      </c>
      <c r="AC3033" s="5">
        <v>1</v>
      </c>
    </row>
    <row r="3034" spans="1:29" x14ac:dyDescent="0.3">
      <c r="A3034" s="34">
        <v>46274</v>
      </c>
      <c r="B3034" s="34">
        <v>46274</v>
      </c>
      <c r="C3034" s="5" t="s">
        <v>78</v>
      </c>
      <c r="D3034" s="5" t="s">
        <v>79</v>
      </c>
      <c r="E3034" s="5" t="s">
        <v>80</v>
      </c>
      <c r="F3034" s="5">
        <v>758836</v>
      </c>
      <c r="G3034" s="5" t="s">
        <v>9202</v>
      </c>
      <c r="H3034" s="5" t="s">
        <v>9203</v>
      </c>
      <c r="I3034" s="5" t="s">
        <v>614</v>
      </c>
      <c r="N3034" s="5" t="s">
        <v>9204</v>
      </c>
      <c r="O3034" s="5">
        <v>7.5</v>
      </c>
      <c r="P3034" s="5">
        <v>7.5</v>
      </c>
      <c r="Q3034" s="5">
        <v>7.35</v>
      </c>
      <c r="R3034" s="5">
        <v>7.35</v>
      </c>
      <c r="S3034" s="5">
        <v>7.35</v>
      </c>
      <c r="T3034" s="5">
        <v>7.5</v>
      </c>
      <c r="V3034" s="5">
        <v>7.35</v>
      </c>
      <c r="Y3034" s="5">
        <v>4635</v>
      </c>
      <c r="Z3034" s="5">
        <v>34224.76</v>
      </c>
      <c r="AA3034" s="5">
        <v>26</v>
      </c>
      <c r="AB3034" s="5" t="s">
        <v>85</v>
      </c>
      <c r="AC3034" s="5">
        <v>1</v>
      </c>
    </row>
    <row r="3035" spans="1:29" x14ac:dyDescent="0.3">
      <c r="A3035" s="34">
        <v>46274</v>
      </c>
      <c r="B3035" s="34">
        <v>46274</v>
      </c>
      <c r="C3035" s="5" t="s">
        <v>78</v>
      </c>
      <c r="D3035" s="5" t="s">
        <v>79</v>
      </c>
      <c r="E3035" s="5" t="s">
        <v>80</v>
      </c>
      <c r="F3035" s="5">
        <v>763378</v>
      </c>
      <c r="G3035" s="5" t="s">
        <v>9205</v>
      </c>
      <c r="H3035" s="5" t="s">
        <v>9206</v>
      </c>
      <c r="I3035" s="5" t="s">
        <v>392</v>
      </c>
      <c r="N3035" s="5" t="s">
        <v>9207</v>
      </c>
      <c r="O3035" s="5">
        <v>260</v>
      </c>
      <c r="P3035" s="5">
        <v>262</v>
      </c>
      <c r="Q3035" s="5">
        <v>258</v>
      </c>
      <c r="R3035" s="5">
        <v>262</v>
      </c>
      <c r="S3035" s="5">
        <v>262</v>
      </c>
      <c r="T3035" s="5">
        <v>260.25</v>
      </c>
      <c r="V3035" s="5">
        <v>262</v>
      </c>
      <c r="Y3035" s="5">
        <v>13200</v>
      </c>
      <c r="Z3035" s="5">
        <v>3426960</v>
      </c>
      <c r="AA3035" s="5">
        <v>17</v>
      </c>
      <c r="AB3035" s="5" t="s">
        <v>85</v>
      </c>
      <c r="AC3035" s="5">
        <v>600</v>
      </c>
    </row>
    <row r="3036" spans="1:29" x14ac:dyDescent="0.3">
      <c r="A3036" s="34">
        <v>46274</v>
      </c>
      <c r="B3036" s="34">
        <v>46274</v>
      </c>
      <c r="C3036" s="5" t="s">
        <v>78</v>
      </c>
      <c r="D3036" s="5" t="s">
        <v>79</v>
      </c>
      <c r="E3036" s="5" t="s">
        <v>80</v>
      </c>
      <c r="F3036" s="5">
        <v>3162</v>
      </c>
      <c r="G3036" s="5" t="s">
        <v>9208</v>
      </c>
      <c r="H3036" s="5" t="s">
        <v>9209</v>
      </c>
      <c r="I3036" s="5" t="s">
        <v>212</v>
      </c>
      <c r="N3036" s="5" t="s">
        <v>9210</v>
      </c>
      <c r="O3036" s="5">
        <v>256.05</v>
      </c>
      <c r="P3036" s="5">
        <v>264.55</v>
      </c>
      <c r="Q3036" s="5">
        <v>255.1</v>
      </c>
      <c r="R3036" s="5">
        <v>259.35000000000002</v>
      </c>
      <c r="S3036" s="5">
        <v>260</v>
      </c>
      <c r="T3036" s="5">
        <v>257.39999999999998</v>
      </c>
      <c r="V3036" s="5">
        <v>259.35000000000002</v>
      </c>
      <c r="Y3036" s="5">
        <v>75525</v>
      </c>
      <c r="Z3036" s="5">
        <v>19627302.699999999</v>
      </c>
      <c r="AA3036" s="5">
        <v>1519</v>
      </c>
      <c r="AB3036" s="5" t="s">
        <v>85</v>
      </c>
      <c r="AC3036" s="5">
        <v>1</v>
      </c>
    </row>
    <row r="3037" spans="1:29" x14ac:dyDescent="0.3">
      <c r="A3037" s="34">
        <v>46274</v>
      </c>
      <c r="B3037" s="34">
        <v>46274</v>
      </c>
      <c r="C3037" s="5" t="s">
        <v>78</v>
      </c>
      <c r="D3037" s="5" t="s">
        <v>79</v>
      </c>
      <c r="E3037" s="5" t="s">
        <v>80</v>
      </c>
      <c r="F3037" s="5">
        <v>764915</v>
      </c>
      <c r="G3037" s="5" t="s">
        <v>9211</v>
      </c>
      <c r="H3037" s="5" t="s">
        <v>9212</v>
      </c>
      <c r="I3037" s="5" t="s">
        <v>212</v>
      </c>
      <c r="N3037" s="5" t="s">
        <v>9213</v>
      </c>
      <c r="O3037" s="5">
        <v>140.9</v>
      </c>
      <c r="P3037" s="5">
        <v>140.9</v>
      </c>
      <c r="Q3037" s="5">
        <v>127.9</v>
      </c>
      <c r="R3037" s="5">
        <v>132.22999999999999</v>
      </c>
      <c r="S3037" s="5">
        <v>140.9</v>
      </c>
      <c r="T3037" s="5">
        <v>134.62</v>
      </c>
      <c r="V3037" s="5">
        <v>132.22999999999999</v>
      </c>
      <c r="Y3037" s="5">
        <v>6</v>
      </c>
      <c r="Z3037" s="5">
        <v>793.4</v>
      </c>
      <c r="AA3037" s="5">
        <v>3</v>
      </c>
      <c r="AB3037" s="5" t="s">
        <v>85</v>
      </c>
      <c r="AC3037" s="5">
        <v>1</v>
      </c>
    </row>
    <row r="3038" spans="1:29" x14ac:dyDescent="0.3">
      <c r="A3038" s="34">
        <v>46274</v>
      </c>
      <c r="B3038" s="34">
        <v>46274</v>
      </c>
      <c r="C3038" s="5" t="s">
        <v>78</v>
      </c>
      <c r="D3038" s="5" t="s">
        <v>79</v>
      </c>
      <c r="E3038" s="5" t="s">
        <v>80</v>
      </c>
      <c r="F3038" s="5">
        <v>23480</v>
      </c>
      <c r="G3038" s="5" t="s">
        <v>9214</v>
      </c>
      <c r="H3038" s="5" t="s">
        <v>9215</v>
      </c>
      <c r="I3038" s="5" t="s">
        <v>212</v>
      </c>
      <c r="N3038" s="5" t="s">
        <v>9216</v>
      </c>
      <c r="O3038" s="5">
        <v>84</v>
      </c>
      <c r="P3038" s="5">
        <v>84.79</v>
      </c>
      <c r="Q3038" s="5">
        <v>81.38</v>
      </c>
      <c r="R3038" s="5">
        <v>82.96</v>
      </c>
      <c r="S3038" s="5">
        <v>82.31</v>
      </c>
      <c r="T3038" s="5">
        <v>84.03</v>
      </c>
      <c r="V3038" s="5">
        <v>82.96</v>
      </c>
      <c r="Y3038" s="5">
        <v>54639</v>
      </c>
      <c r="Z3038" s="5">
        <v>4553345.3099999996</v>
      </c>
      <c r="AA3038" s="5">
        <v>777</v>
      </c>
      <c r="AB3038" s="5" t="s">
        <v>85</v>
      </c>
      <c r="AC3038" s="5">
        <v>1</v>
      </c>
    </row>
    <row r="3039" spans="1:29" x14ac:dyDescent="0.3">
      <c r="A3039" s="34">
        <v>46274</v>
      </c>
      <c r="B3039" s="34">
        <v>46274</v>
      </c>
      <c r="C3039" s="5" t="s">
        <v>78</v>
      </c>
      <c r="D3039" s="5" t="s">
        <v>79</v>
      </c>
      <c r="E3039" s="5" t="s">
        <v>80</v>
      </c>
      <c r="F3039" s="5">
        <v>16859</v>
      </c>
      <c r="G3039" s="5" t="s">
        <v>9217</v>
      </c>
      <c r="H3039" s="5" t="s">
        <v>9218</v>
      </c>
      <c r="I3039" s="5" t="s">
        <v>212</v>
      </c>
      <c r="N3039" s="5" t="s">
        <v>9219</v>
      </c>
      <c r="O3039" s="5">
        <v>25</v>
      </c>
      <c r="P3039" s="5">
        <v>25.42</v>
      </c>
      <c r="Q3039" s="5">
        <v>24.55</v>
      </c>
      <c r="R3039" s="5">
        <v>24.99</v>
      </c>
      <c r="S3039" s="5">
        <v>24.79</v>
      </c>
      <c r="T3039" s="5">
        <v>25</v>
      </c>
      <c r="V3039" s="5">
        <v>24.99</v>
      </c>
      <c r="Y3039" s="5">
        <v>11179609</v>
      </c>
      <c r="Z3039" s="5">
        <v>279462348.23000002</v>
      </c>
      <c r="AA3039" s="5">
        <v>1474</v>
      </c>
      <c r="AB3039" s="5" t="s">
        <v>85</v>
      </c>
      <c r="AC3039" s="5">
        <v>1</v>
      </c>
    </row>
    <row r="3040" spans="1:29" x14ac:dyDescent="0.3">
      <c r="A3040" s="34">
        <v>46274</v>
      </c>
      <c r="B3040" s="34">
        <v>46274</v>
      </c>
      <c r="C3040" s="5" t="s">
        <v>78</v>
      </c>
      <c r="D3040" s="5" t="s">
        <v>79</v>
      </c>
      <c r="E3040" s="5" t="s">
        <v>80</v>
      </c>
      <c r="F3040" s="5">
        <v>761420</v>
      </c>
      <c r="G3040" s="5" t="s">
        <v>9220</v>
      </c>
      <c r="H3040" s="5" t="s">
        <v>9221</v>
      </c>
      <c r="I3040" s="5" t="s">
        <v>212</v>
      </c>
      <c r="N3040" s="5" t="s">
        <v>9222</v>
      </c>
      <c r="O3040" s="5">
        <v>75.95</v>
      </c>
      <c r="P3040" s="5">
        <v>76.39</v>
      </c>
      <c r="Q3040" s="5">
        <v>74.11</v>
      </c>
      <c r="R3040" s="5">
        <v>74.38</v>
      </c>
      <c r="S3040" s="5">
        <v>74.88</v>
      </c>
      <c r="T3040" s="5">
        <v>75.75</v>
      </c>
      <c r="V3040" s="5">
        <v>74.430000000000007</v>
      </c>
      <c r="Y3040" s="5">
        <v>32579</v>
      </c>
      <c r="Z3040" s="5">
        <v>2451570.38</v>
      </c>
      <c r="AA3040" s="5">
        <v>441</v>
      </c>
      <c r="AB3040" s="5" t="s">
        <v>85</v>
      </c>
      <c r="AC3040" s="5">
        <v>1</v>
      </c>
    </row>
    <row r="3041" spans="1:29" x14ac:dyDescent="0.3">
      <c r="A3041" s="34">
        <v>46274</v>
      </c>
      <c r="B3041" s="34">
        <v>46274</v>
      </c>
      <c r="C3041" s="5" t="s">
        <v>78</v>
      </c>
      <c r="D3041" s="5" t="s">
        <v>79</v>
      </c>
      <c r="E3041" s="5" t="s">
        <v>80</v>
      </c>
      <c r="F3041" s="5">
        <v>381</v>
      </c>
      <c r="G3041" s="5" t="s">
        <v>9223</v>
      </c>
      <c r="H3041" s="5" t="s">
        <v>9224</v>
      </c>
      <c r="I3041" s="5" t="s">
        <v>212</v>
      </c>
      <c r="N3041" s="5" t="s">
        <v>9225</v>
      </c>
      <c r="O3041" s="5">
        <v>81.849999999999994</v>
      </c>
      <c r="P3041" s="5">
        <v>85</v>
      </c>
      <c r="Q3041" s="5">
        <v>80.97</v>
      </c>
      <c r="R3041" s="5">
        <v>83.9</v>
      </c>
      <c r="S3041" s="5">
        <v>84</v>
      </c>
      <c r="T3041" s="5">
        <v>79.2</v>
      </c>
      <c r="V3041" s="5">
        <v>83.9</v>
      </c>
      <c r="Y3041" s="5">
        <v>8585</v>
      </c>
      <c r="Z3041" s="5">
        <v>724955.31</v>
      </c>
      <c r="AA3041" s="5">
        <v>157</v>
      </c>
      <c r="AB3041" s="5" t="s">
        <v>85</v>
      </c>
      <c r="AC3041" s="5">
        <v>1</v>
      </c>
    </row>
    <row r="3042" spans="1:29" x14ac:dyDescent="0.3">
      <c r="A3042" s="34">
        <v>46274</v>
      </c>
      <c r="B3042" s="34">
        <v>46274</v>
      </c>
      <c r="C3042" s="5" t="s">
        <v>78</v>
      </c>
      <c r="D3042" s="5" t="s">
        <v>79</v>
      </c>
      <c r="E3042" s="5" t="s">
        <v>80</v>
      </c>
      <c r="F3042" s="5">
        <v>11050</v>
      </c>
      <c r="G3042" s="5" t="s">
        <v>9226</v>
      </c>
      <c r="H3042" s="5" t="s">
        <v>9227</v>
      </c>
      <c r="I3042" s="5" t="s">
        <v>212</v>
      </c>
      <c r="N3042" s="5" t="s">
        <v>9228</v>
      </c>
      <c r="O3042" s="5">
        <v>435.35</v>
      </c>
      <c r="P3042" s="5">
        <v>437</v>
      </c>
      <c r="Q3042" s="5">
        <v>429.2</v>
      </c>
      <c r="R3042" s="5">
        <v>430.6</v>
      </c>
      <c r="S3042" s="5">
        <v>429.65</v>
      </c>
      <c r="T3042" s="5">
        <v>434.4</v>
      </c>
      <c r="V3042" s="5">
        <v>430.6</v>
      </c>
      <c r="Y3042" s="5">
        <v>201874</v>
      </c>
      <c r="Z3042" s="5">
        <v>87016691.400000006</v>
      </c>
      <c r="AA3042" s="5">
        <v>4851</v>
      </c>
      <c r="AB3042" s="5" t="s">
        <v>85</v>
      </c>
      <c r="AC3042" s="5">
        <v>1</v>
      </c>
    </row>
    <row r="3043" spans="1:29" x14ac:dyDescent="0.3">
      <c r="A3043" s="34">
        <v>46274</v>
      </c>
      <c r="B3043" s="34">
        <v>46274</v>
      </c>
      <c r="C3043" s="5" t="s">
        <v>78</v>
      </c>
      <c r="D3043" s="5" t="s">
        <v>79</v>
      </c>
      <c r="E3043" s="5" t="s">
        <v>80</v>
      </c>
      <c r="F3043" s="5">
        <v>21501</v>
      </c>
      <c r="G3043" s="5" t="s">
        <v>9229</v>
      </c>
      <c r="H3043" s="5" t="s">
        <v>9230</v>
      </c>
      <c r="I3043" s="5" t="s">
        <v>212</v>
      </c>
      <c r="N3043" s="5" t="s">
        <v>9231</v>
      </c>
      <c r="O3043" s="5">
        <v>427</v>
      </c>
      <c r="P3043" s="5">
        <v>433.8</v>
      </c>
      <c r="Q3043" s="5">
        <v>425.25</v>
      </c>
      <c r="R3043" s="5">
        <v>426.55</v>
      </c>
      <c r="S3043" s="5">
        <v>429.6</v>
      </c>
      <c r="T3043" s="5">
        <v>427.75</v>
      </c>
      <c r="V3043" s="5">
        <v>426.55</v>
      </c>
      <c r="Y3043" s="5">
        <v>365193</v>
      </c>
      <c r="Z3043" s="5">
        <v>156719597</v>
      </c>
      <c r="AA3043" s="5">
        <v>8599</v>
      </c>
      <c r="AB3043" s="5" t="s">
        <v>85</v>
      </c>
      <c r="AC3043" s="5">
        <v>1</v>
      </c>
    </row>
    <row r="3044" spans="1:29" x14ac:dyDescent="0.3">
      <c r="A3044" s="34">
        <v>46274</v>
      </c>
      <c r="B3044" s="34">
        <v>46274</v>
      </c>
      <c r="C3044" s="5" t="s">
        <v>78</v>
      </c>
      <c r="D3044" s="5" t="s">
        <v>79</v>
      </c>
      <c r="E3044" s="5" t="s">
        <v>80</v>
      </c>
      <c r="F3044" s="5">
        <v>29210</v>
      </c>
      <c r="G3044" s="5" t="s">
        <v>9232</v>
      </c>
      <c r="H3044" s="5" t="s">
        <v>9233</v>
      </c>
      <c r="I3044" s="5" t="s">
        <v>614</v>
      </c>
      <c r="N3044" s="5" t="s">
        <v>9234</v>
      </c>
      <c r="O3044" s="5">
        <v>0.28000000000000003</v>
      </c>
      <c r="P3044" s="5">
        <v>0.28999999999999998</v>
      </c>
      <c r="Q3044" s="5">
        <v>0.28000000000000003</v>
      </c>
      <c r="R3044" s="5">
        <v>0.28000000000000003</v>
      </c>
      <c r="S3044" s="5">
        <v>0.28999999999999998</v>
      </c>
      <c r="T3044" s="5">
        <v>0.28000000000000003</v>
      </c>
      <c r="V3044" s="5">
        <v>0.28000000000000003</v>
      </c>
      <c r="Y3044" s="5">
        <v>339048</v>
      </c>
      <c r="Z3044" s="5">
        <v>97321.89</v>
      </c>
      <c r="AA3044" s="5">
        <v>179</v>
      </c>
      <c r="AB3044" s="5" t="s">
        <v>85</v>
      </c>
      <c r="AC3044" s="5">
        <v>1</v>
      </c>
    </row>
    <row r="3045" spans="1:29" x14ac:dyDescent="0.3">
      <c r="A3045" s="34">
        <v>46274</v>
      </c>
      <c r="B3045" s="34">
        <v>46274</v>
      </c>
      <c r="C3045" s="5" t="s">
        <v>78</v>
      </c>
      <c r="D3045" s="5" t="s">
        <v>79</v>
      </c>
      <c r="E3045" s="5" t="s">
        <v>80</v>
      </c>
      <c r="F3045" s="5">
        <v>14096</v>
      </c>
      <c r="G3045" s="5" t="s">
        <v>9235</v>
      </c>
      <c r="H3045" s="5" t="s">
        <v>9236</v>
      </c>
      <c r="I3045" s="5" t="s">
        <v>212</v>
      </c>
      <c r="N3045" s="5" t="s">
        <v>9237</v>
      </c>
      <c r="O3045" s="5">
        <v>550.1</v>
      </c>
      <c r="P3045" s="5">
        <v>553.85</v>
      </c>
      <c r="Q3045" s="5">
        <v>527.1</v>
      </c>
      <c r="R3045" s="5">
        <v>530.45000000000005</v>
      </c>
      <c r="S3045" s="5">
        <v>533</v>
      </c>
      <c r="T3045" s="5">
        <v>554.04999999999995</v>
      </c>
      <c r="V3045" s="5">
        <v>530.45000000000005</v>
      </c>
      <c r="Y3045" s="5">
        <v>80328</v>
      </c>
      <c r="Z3045" s="5">
        <v>42970166.399999999</v>
      </c>
      <c r="AA3045" s="5">
        <v>6491</v>
      </c>
      <c r="AB3045" s="5" t="s">
        <v>85</v>
      </c>
      <c r="AC3045" s="5">
        <v>1</v>
      </c>
    </row>
    <row r="3046" spans="1:29" x14ac:dyDescent="0.3">
      <c r="A3046" s="34">
        <v>46274</v>
      </c>
      <c r="B3046" s="34">
        <v>46274</v>
      </c>
      <c r="C3046" s="5" t="s">
        <v>78</v>
      </c>
      <c r="D3046" s="5" t="s">
        <v>79</v>
      </c>
      <c r="E3046" s="5" t="s">
        <v>80</v>
      </c>
      <c r="F3046" s="5">
        <v>6643</v>
      </c>
      <c r="G3046" s="5" t="s">
        <v>9238</v>
      </c>
      <c r="H3046" s="5" t="s">
        <v>9239</v>
      </c>
      <c r="I3046" s="5" t="s">
        <v>212</v>
      </c>
      <c r="N3046" s="5" t="s">
        <v>9240</v>
      </c>
      <c r="O3046" s="5">
        <v>2280</v>
      </c>
      <c r="P3046" s="5">
        <v>2304.9</v>
      </c>
      <c r="Q3046" s="5">
        <v>2258.5</v>
      </c>
      <c r="R3046" s="5">
        <v>2295.1999999999998</v>
      </c>
      <c r="S3046" s="5">
        <v>2290</v>
      </c>
      <c r="T3046" s="5">
        <v>2286.8000000000002</v>
      </c>
      <c r="V3046" s="5">
        <v>2295.2199999999998</v>
      </c>
      <c r="Y3046" s="5">
        <v>88371</v>
      </c>
      <c r="Z3046" s="5">
        <v>201941104.5</v>
      </c>
      <c r="AA3046" s="5">
        <v>16775</v>
      </c>
      <c r="AB3046" s="5" t="s">
        <v>85</v>
      </c>
      <c r="AC3046" s="5">
        <v>1</v>
      </c>
    </row>
    <row r="3047" spans="1:29" x14ac:dyDescent="0.3">
      <c r="A3047" s="34">
        <v>46274</v>
      </c>
      <c r="B3047" s="34">
        <v>46274</v>
      </c>
      <c r="C3047" s="5" t="s">
        <v>78</v>
      </c>
      <c r="D3047" s="5" t="s">
        <v>79</v>
      </c>
      <c r="E3047" s="5" t="s">
        <v>80</v>
      </c>
      <c r="F3047" s="5">
        <v>18883</v>
      </c>
      <c r="G3047" s="5" t="s">
        <v>9241</v>
      </c>
      <c r="H3047" s="5" t="s">
        <v>9242</v>
      </c>
      <c r="I3047" s="5" t="s">
        <v>212</v>
      </c>
      <c r="N3047" s="5" t="s">
        <v>9243</v>
      </c>
      <c r="O3047" s="5">
        <v>65.95</v>
      </c>
      <c r="P3047" s="5">
        <v>68.33</v>
      </c>
      <c r="Q3047" s="5">
        <v>65.59</v>
      </c>
      <c r="R3047" s="5">
        <v>66.88</v>
      </c>
      <c r="S3047" s="5">
        <v>66.84</v>
      </c>
      <c r="T3047" s="5">
        <v>65.87</v>
      </c>
      <c r="V3047" s="5">
        <v>66.88</v>
      </c>
      <c r="Y3047" s="5">
        <v>5367026</v>
      </c>
      <c r="Z3047" s="5">
        <v>361094894.50999999</v>
      </c>
      <c r="AA3047" s="5">
        <v>28434</v>
      </c>
      <c r="AB3047" s="5" t="s">
        <v>85</v>
      </c>
      <c r="AC3047" s="5">
        <v>1</v>
      </c>
    </row>
    <row r="3048" spans="1:29" x14ac:dyDescent="0.3">
      <c r="A3048" s="34">
        <v>46274</v>
      </c>
      <c r="B3048" s="34">
        <v>46274</v>
      </c>
      <c r="C3048" s="5" t="s">
        <v>78</v>
      </c>
      <c r="D3048" s="5" t="s">
        <v>79</v>
      </c>
      <c r="E3048" s="5" t="s">
        <v>80</v>
      </c>
      <c r="F3048" s="5">
        <v>760101</v>
      </c>
      <c r="G3048" s="5" t="s">
        <v>9244</v>
      </c>
      <c r="H3048" s="5" t="s">
        <v>9245</v>
      </c>
      <c r="I3048" s="5" t="s">
        <v>212</v>
      </c>
      <c r="N3048" s="5" t="s">
        <v>9246</v>
      </c>
      <c r="O3048" s="5">
        <v>2940</v>
      </c>
      <c r="P3048" s="5">
        <v>3039.8</v>
      </c>
      <c r="Q3048" s="5">
        <v>2935.7</v>
      </c>
      <c r="R3048" s="5">
        <v>2971.7</v>
      </c>
      <c r="S3048" s="5">
        <v>2961.5</v>
      </c>
      <c r="T3048" s="5">
        <v>2953.8</v>
      </c>
      <c r="V3048" s="5">
        <v>2971.46</v>
      </c>
      <c r="Y3048" s="5">
        <v>36285</v>
      </c>
      <c r="Z3048" s="5">
        <v>108828680.7</v>
      </c>
      <c r="AA3048" s="5">
        <v>7358</v>
      </c>
      <c r="AB3048" s="5" t="s">
        <v>85</v>
      </c>
      <c r="AC3048" s="5">
        <v>1</v>
      </c>
    </row>
    <row r="3049" spans="1:29" x14ac:dyDescent="0.3">
      <c r="A3049" s="34">
        <v>46274</v>
      </c>
      <c r="B3049" s="34">
        <v>46274</v>
      </c>
      <c r="C3049" s="5" t="s">
        <v>78</v>
      </c>
      <c r="D3049" s="5" t="s">
        <v>79</v>
      </c>
      <c r="E3049" s="5" t="s">
        <v>80</v>
      </c>
      <c r="F3049" s="5">
        <v>3186</v>
      </c>
      <c r="G3049" s="5" t="s">
        <v>9247</v>
      </c>
      <c r="H3049" s="5" t="s">
        <v>9248</v>
      </c>
      <c r="I3049" s="5" t="s">
        <v>212</v>
      </c>
      <c r="N3049" s="5" t="s">
        <v>9249</v>
      </c>
      <c r="O3049" s="5">
        <v>1534.8</v>
      </c>
      <c r="P3049" s="5">
        <v>1552.7</v>
      </c>
      <c r="Q3049" s="5">
        <v>1525.9</v>
      </c>
      <c r="R3049" s="5">
        <v>1533.5</v>
      </c>
      <c r="S3049" s="5">
        <v>1533.2</v>
      </c>
      <c r="T3049" s="5">
        <v>1534.8</v>
      </c>
      <c r="V3049" s="5">
        <v>1533.47</v>
      </c>
      <c r="Y3049" s="5">
        <v>26668</v>
      </c>
      <c r="Z3049" s="5">
        <v>40974967.200000003</v>
      </c>
      <c r="AA3049" s="5">
        <v>3970</v>
      </c>
      <c r="AB3049" s="5" t="s">
        <v>85</v>
      </c>
      <c r="AC3049" s="5">
        <v>1</v>
      </c>
    </row>
    <row r="3050" spans="1:29" x14ac:dyDescent="0.3">
      <c r="A3050" s="34">
        <v>46274</v>
      </c>
      <c r="B3050" s="34">
        <v>46274</v>
      </c>
      <c r="C3050" s="5" t="s">
        <v>78</v>
      </c>
      <c r="D3050" s="5" t="s">
        <v>79</v>
      </c>
      <c r="E3050" s="5" t="s">
        <v>80</v>
      </c>
      <c r="F3050" s="5">
        <v>9428</v>
      </c>
      <c r="G3050" s="5" t="s">
        <v>9250</v>
      </c>
      <c r="H3050" s="5" t="s">
        <v>9251</v>
      </c>
      <c r="I3050" s="5" t="s">
        <v>212</v>
      </c>
      <c r="N3050" s="5" t="s">
        <v>9252</v>
      </c>
      <c r="O3050" s="5">
        <v>604</v>
      </c>
      <c r="P3050" s="5">
        <v>616.79999999999995</v>
      </c>
      <c r="Q3050" s="5">
        <v>590.1</v>
      </c>
      <c r="R3050" s="5">
        <v>593.95000000000005</v>
      </c>
      <c r="S3050" s="5">
        <v>591.15</v>
      </c>
      <c r="T3050" s="5">
        <v>604.70000000000005</v>
      </c>
      <c r="V3050" s="5">
        <v>593.96</v>
      </c>
      <c r="Y3050" s="5">
        <v>1704618</v>
      </c>
      <c r="Z3050" s="5">
        <v>1029609990.95</v>
      </c>
      <c r="AA3050" s="5">
        <v>51726</v>
      </c>
      <c r="AB3050" s="5" t="s">
        <v>85</v>
      </c>
      <c r="AC3050" s="5">
        <v>1</v>
      </c>
    </row>
    <row r="3051" spans="1:29" x14ac:dyDescent="0.3">
      <c r="A3051" s="34">
        <v>46274</v>
      </c>
      <c r="B3051" s="34">
        <v>46274</v>
      </c>
      <c r="C3051" s="5" t="s">
        <v>78</v>
      </c>
      <c r="D3051" s="5" t="s">
        <v>79</v>
      </c>
      <c r="E3051" s="5" t="s">
        <v>80</v>
      </c>
      <c r="F3051" s="5">
        <v>4732</v>
      </c>
      <c r="G3051" s="5" t="s">
        <v>9253</v>
      </c>
      <c r="H3051" s="5" t="s">
        <v>9254</v>
      </c>
      <c r="I3051" s="5" t="s">
        <v>212</v>
      </c>
      <c r="N3051" s="5" t="s">
        <v>9255</v>
      </c>
      <c r="O3051" s="5">
        <v>252.15</v>
      </c>
      <c r="P3051" s="5">
        <v>254.95</v>
      </c>
      <c r="Q3051" s="5">
        <v>249</v>
      </c>
      <c r="R3051" s="5">
        <v>250.9</v>
      </c>
      <c r="S3051" s="5">
        <v>250.6</v>
      </c>
      <c r="T3051" s="5">
        <v>253.35</v>
      </c>
      <c r="V3051" s="5">
        <v>250.9</v>
      </c>
      <c r="Y3051" s="5">
        <v>123540</v>
      </c>
      <c r="Z3051" s="5">
        <v>31034289.800000001</v>
      </c>
      <c r="AA3051" s="5">
        <v>2743</v>
      </c>
      <c r="AB3051" s="5" t="s">
        <v>85</v>
      </c>
      <c r="AC3051" s="5">
        <v>1</v>
      </c>
    </row>
    <row r="3052" spans="1:29" x14ac:dyDescent="0.3">
      <c r="A3052" s="34">
        <v>46274</v>
      </c>
      <c r="B3052" s="34">
        <v>46274</v>
      </c>
      <c r="C3052" s="5" t="s">
        <v>78</v>
      </c>
      <c r="D3052" s="5" t="s">
        <v>79</v>
      </c>
      <c r="E3052" s="5" t="s">
        <v>80</v>
      </c>
      <c r="F3052" s="5">
        <v>10325</v>
      </c>
      <c r="G3052" s="5" t="s">
        <v>9256</v>
      </c>
      <c r="H3052" s="5" t="s">
        <v>9257</v>
      </c>
      <c r="I3052" s="5" t="s">
        <v>313</v>
      </c>
      <c r="N3052" s="5" t="s">
        <v>9258</v>
      </c>
      <c r="O3052" s="5">
        <v>165</v>
      </c>
      <c r="P3052" s="5">
        <v>169.2</v>
      </c>
      <c r="Q3052" s="5">
        <v>163.05000000000001</v>
      </c>
      <c r="R3052" s="5">
        <v>168.7</v>
      </c>
      <c r="S3052" s="5">
        <v>168.7</v>
      </c>
      <c r="T3052" s="5">
        <v>167.3</v>
      </c>
      <c r="V3052" s="5">
        <v>168.7</v>
      </c>
      <c r="Y3052" s="5">
        <v>18000</v>
      </c>
      <c r="Z3052" s="5">
        <v>2980675</v>
      </c>
      <c r="AA3052" s="5">
        <v>24</v>
      </c>
      <c r="AB3052" s="5" t="s">
        <v>85</v>
      </c>
      <c r="AC3052" s="5">
        <v>500</v>
      </c>
    </row>
    <row r="3053" spans="1:29" x14ac:dyDescent="0.3">
      <c r="A3053" s="34">
        <v>46274</v>
      </c>
      <c r="B3053" s="34">
        <v>46274</v>
      </c>
      <c r="C3053" s="5" t="s">
        <v>78</v>
      </c>
      <c r="D3053" s="5" t="s">
        <v>79</v>
      </c>
      <c r="E3053" s="5" t="s">
        <v>80</v>
      </c>
      <c r="F3053" s="5">
        <v>13631</v>
      </c>
      <c r="G3053" s="5" t="s">
        <v>9259</v>
      </c>
      <c r="H3053" s="5" t="s">
        <v>9260</v>
      </c>
      <c r="I3053" s="5" t="s">
        <v>212</v>
      </c>
      <c r="N3053" s="5" t="s">
        <v>9261</v>
      </c>
      <c r="O3053" s="5">
        <v>825</v>
      </c>
      <c r="P3053" s="5">
        <v>839</v>
      </c>
      <c r="Q3053" s="5">
        <v>810.1</v>
      </c>
      <c r="R3053" s="5">
        <v>832.2</v>
      </c>
      <c r="S3053" s="5">
        <v>831.9</v>
      </c>
      <c r="T3053" s="5">
        <v>820</v>
      </c>
      <c r="V3053" s="5">
        <v>832.22</v>
      </c>
      <c r="Y3053" s="5">
        <v>1092277</v>
      </c>
      <c r="Z3053" s="5">
        <v>904454152.29999995</v>
      </c>
      <c r="AA3053" s="5">
        <v>30993</v>
      </c>
      <c r="AB3053" s="5" t="s">
        <v>85</v>
      </c>
      <c r="AC3053" s="5">
        <v>1</v>
      </c>
    </row>
    <row r="3054" spans="1:29" x14ac:dyDescent="0.3">
      <c r="A3054" s="34">
        <v>46274</v>
      </c>
      <c r="B3054" s="34">
        <v>46274</v>
      </c>
      <c r="C3054" s="5" t="s">
        <v>78</v>
      </c>
      <c r="D3054" s="5" t="s">
        <v>79</v>
      </c>
      <c r="E3054" s="5" t="s">
        <v>80</v>
      </c>
      <c r="F3054" s="5">
        <v>765333</v>
      </c>
      <c r="G3054" s="5" t="s">
        <v>9262</v>
      </c>
      <c r="H3054" s="5" t="s">
        <v>9263</v>
      </c>
      <c r="I3054" s="5" t="s">
        <v>313</v>
      </c>
      <c r="N3054" s="5" t="s">
        <v>9264</v>
      </c>
      <c r="O3054" s="5">
        <v>30.85</v>
      </c>
      <c r="P3054" s="5">
        <v>30.85</v>
      </c>
      <c r="Q3054" s="5">
        <v>30.85</v>
      </c>
      <c r="R3054" s="5">
        <v>30.85</v>
      </c>
      <c r="S3054" s="5">
        <v>30.85</v>
      </c>
      <c r="T3054" s="5">
        <v>32.450000000000003</v>
      </c>
      <c r="V3054" s="5">
        <v>30.85</v>
      </c>
      <c r="Y3054" s="5">
        <v>40000</v>
      </c>
      <c r="Z3054" s="5">
        <v>1234000</v>
      </c>
      <c r="AA3054" s="5">
        <v>15</v>
      </c>
      <c r="AB3054" s="5" t="s">
        <v>85</v>
      </c>
      <c r="AC3054" s="5">
        <v>1600</v>
      </c>
    </row>
    <row r="3055" spans="1:29" x14ac:dyDescent="0.3">
      <c r="A3055" s="34">
        <v>46274</v>
      </c>
      <c r="B3055" s="34">
        <v>46274</v>
      </c>
      <c r="C3055" s="5" t="s">
        <v>78</v>
      </c>
      <c r="D3055" s="5" t="s">
        <v>79</v>
      </c>
      <c r="E3055" s="5" t="s">
        <v>80</v>
      </c>
      <c r="F3055" s="5">
        <v>765480</v>
      </c>
      <c r="G3055" s="5" t="s">
        <v>9265</v>
      </c>
      <c r="H3055" s="5" t="s">
        <v>9266</v>
      </c>
      <c r="I3055" s="5" t="s">
        <v>212</v>
      </c>
      <c r="N3055" s="5" t="s">
        <v>9267</v>
      </c>
      <c r="O3055" s="5">
        <v>110.5</v>
      </c>
      <c r="P3055" s="5">
        <v>117.95</v>
      </c>
      <c r="Q3055" s="5">
        <v>109.33</v>
      </c>
      <c r="R3055" s="5">
        <v>113.59</v>
      </c>
      <c r="S3055" s="5">
        <v>113.95</v>
      </c>
      <c r="T3055" s="5">
        <v>110.22</v>
      </c>
      <c r="V3055" s="5">
        <v>113.59</v>
      </c>
      <c r="Y3055" s="5">
        <v>5424457</v>
      </c>
      <c r="Z3055" s="5">
        <v>622798160.02999997</v>
      </c>
      <c r="AA3055" s="5">
        <v>39215</v>
      </c>
      <c r="AB3055" s="5" t="s">
        <v>85</v>
      </c>
      <c r="AC3055" s="5">
        <v>1</v>
      </c>
    </row>
    <row r="3056" spans="1:29" x14ac:dyDescent="0.3">
      <c r="A3056" s="34">
        <v>46274</v>
      </c>
      <c r="B3056" s="34">
        <v>46274</v>
      </c>
      <c r="C3056" s="5" t="s">
        <v>78</v>
      </c>
      <c r="D3056" s="5" t="s">
        <v>79</v>
      </c>
      <c r="E3056" s="5" t="s">
        <v>80</v>
      </c>
      <c r="F3056" s="5">
        <v>23692</v>
      </c>
      <c r="G3056" s="5" t="s">
        <v>9268</v>
      </c>
      <c r="H3056" s="5" t="s">
        <v>9269</v>
      </c>
      <c r="I3056" s="5" t="s">
        <v>392</v>
      </c>
      <c r="N3056" s="5" t="s">
        <v>9270</v>
      </c>
      <c r="O3056" s="5">
        <v>179</v>
      </c>
      <c r="P3056" s="5">
        <v>180</v>
      </c>
      <c r="Q3056" s="5">
        <v>174.05</v>
      </c>
      <c r="R3056" s="5">
        <v>180</v>
      </c>
      <c r="S3056" s="5">
        <v>180</v>
      </c>
      <c r="T3056" s="5">
        <v>180.9</v>
      </c>
      <c r="V3056" s="5">
        <v>180</v>
      </c>
      <c r="Y3056" s="5">
        <v>2000</v>
      </c>
      <c r="Z3056" s="5">
        <v>352840</v>
      </c>
      <c r="AA3056" s="5">
        <v>5</v>
      </c>
      <c r="AB3056" s="5" t="s">
        <v>85</v>
      </c>
      <c r="AC3056" s="5">
        <v>400</v>
      </c>
    </row>
    <row r="3057" spans="1:29" x14ac:dyDescent="0.3">
      <c r="A3057" s="34">
        <v>46274</v>
      </c>
      <c r="B3057" s="34">
        <v>46274</v>
      </c>
      <c r="C3057" s="5" t="s">
        <v>78</v>
      </c>
      <c r="D3057" s="5" t="s">
        <v>79</v>
      </c>
      <c r="E3057" s="5" t="s">
        <v>80</v>
      </c>
      <c r="F3057" s="5">
        <v>757622</v>
      </c>
      <c r="G3057" s="5" t="s">
        <v>9271</v>
      </c>
      <c r="H3057" s="5" t="s">
        <v>9272</v>
      </c>
      <c r="I3057" s="5" t="s">
        <v>392</v>
      </c>
      <c r="N3057" s="5" t="s">
        <v>9273</v>
      </c>
      <c r="O3057" s="5">
        <v>55</v>
      </c>
      <c r="P3057" s="5">
        <v>56</v>
      </c>
      <c r="Q3057" s="5">
        <v>53.75</v>
      </c>
      <c r="R3057" s="5">
        <v>56</v>
      </c>
      <c r="S3057" s="5">
        <v>56</v>
      </c>
      <c r="T3057" s="5">
        <v>56.15</v>
      </c>
      <c r="V3057" s="5">
        <v>56</v>
      </c>
      <c r="Y3057" s="5">
        <v>13200</v>
      </c>
      <c r="Z3057" s="5">
        <v>717120</v>
      </c>
      <c r="AA3057" s="5">
        <v>10</v>
      </c>
      <c r="AB3057" s="5" t="s">
        <v>85</v>
      </c>
      <c r="AC3057" s="5">
        <v>1200</v>
      </c>
    </row>
    <row r="3058" spans="1:29" x14ac:dyDescent="0.3">
      <c r="A3058" s="34">
        <v>46274</v>
      </c>
      <c r="B3058" s="34">
        <v>46274</v>
      </c>
      <c r="C3058" s="5" t="s">
        <v>78</v>
      </c>
      <c r="D3058" s="5" t="s">
        <v>79</v>
      </c>
      <c r="E3058" s="5" t="s">
        <v>80</v>
      </c>
      <c r="F3058" s="5">
        <v>9893</v>
      </c>
      <c r="G3058" s="5" t="s">
        <v>9274</v>
      </c>
      <c r="H3058" s="5" t="s">
        <v>9275</v>
      </c>
      <c r="I3058" s="5" t="s">
        <v>234</v>
      </c>
      <c r="N3058" s="5" t="s">
        <v>9276</v>
      </c>
      <c r="O3058" s="5">
        <v>215</v>
      </c>
      <c r="P3058" s="5">
        <v>215</v>
      </c>
      <c r="Q3058" s="5">
        <v>205</v>
      </c>
      <c r="R3058" s="5">
        <v>209.47</v>
      </c>
      <c r="S3058" s="5">
        <v>209.65</v>
      </c>
      <c r="T3058" s="5">
        <v>207.3</v>
      </c>
      <c r="V3058" s="5">
        <v>208.93</v>
      </c>
      <c r="Y3058" s="5">
        <v>5421</v>
      </c>
      <c r="Z3058" s="5">
        <v>1116881.99</v>
      </c>
      <c r="AA3058" s="5">
        <v>58</v>
      </c>
      <c r="AB3058" s="5" t="s">
        <v>85</v>
      </c>
      <c r="AC3058" s="5">
        <v>1</v>
      </c>
    </row>
    <row r="3059" spans="1:29" x14ac:dyDescent="0.3">
      <c r="A3059" s="34">
        <v>46274</v>
      </c>
      <c r="B3059" s="34">
        <v>46274</v>
      </c>
      <c r="C3059" s="5" t="s">
        <v>78</v>
      </c>
      <c r="D3059" s="5" t="s">
        <v>79</v>
      </c>
      <c r="E3059" s="5" t="s">
        <v>80</v>
      </c>
      <c r="F3059" s="5">
        <v>757965</v>
      </c>
      <c r="G3059" s="5" t="s">
        <v>9277</v>
      </c>
      <c r="H3059" s="5" t="s">
        <v>9278</v>
      </c>
      <c r="I3059" s="5" t="s">
        <v>212</v>
      </c>
      <c r="N3059" s="5" t="s">
        <v>9279</v>
      </c>
      <c r="O3059" s="5">
        <v>557.15</v>
      </c>
      <c r="P3059" s="5">
        <v>558</v>
      </c>
      <c r="Q3059" s="5">
        <v>541.1</v>
      </c>
      <c r="R3059" s="5">
        <v>547.95000000000005</v>
      </c>
      <c r="S3059" s="5">
        <v>552.20000000000005</v>
      </c>
      <c r="T3059" s="5">
        <v>552.65</v>
      </c>
      <c r="V3059" s="5">
        <v>547.91</v>
      </c>
      <c r="Y3059" s="5">
        <v>63358</v>
      </c>
      <c r="Z3059" s="5">
        <v>34733944.75</v>
      </c>
      <c r="AA3059" s="5">
        <v>3132</v>
      </c>
      <c r="AB3059" s="5" t="s">
        <v>85</v>
      </c>
      <c r="AC3059" s="5">
        <v>1</v>
      </c>
    </row>
    <row r="3060" spans="1:29" x14ac:dyDescent="0.3">
      <c r="A3060" s="34">
        <v>46274</v>
      </c>
      <c r="B3060" s="34">
        <v>46274</v>
      </c>
      <c r="C3060" s="5" t="s">
        <v>78</v>
      </c>
      <c r="D3060" s="5" t="s">
        <v>79</v>
      </c>
      <c r="E3060" s="5" t="s">
        <v>80</v>
      </c>
      <c r="F3060" s="5">
        <v>2320</v>
      </c>
      <c r="G3060" s="5" t="s">
        <v>9280</v>
      </c>
      <c r="H3060" s="5" t="s">
        <v>9281</v>
      </c>
      <c r="I3060" s="5" t="s">
        <v>212</v>
      </c>
      <c r="N3060" s="5" t="s">
        <v>9282</v>
      </c>
      <c r="O3060" s="5">
        <v>85</v>
      </c>
      <c r="P3060" s="5">
        <v>85.47</v>
      </c>
      <c r="Q3060" s="5">
        <v>83.22</v>
      </c>
      <c r="R3060" s="5">
        <v>83.93</v>
      </c>
      <c r="S3060" s="5">
        <v>84</v>
      </c>
      <c r="T3060" s="5">
        <v>85.31</v>
      </c>
      <c r="V3060" s="5">
        <v>83.93</v>
      </c>
      <c r="Y3060" s="5">
        <v>804605</v>
      </c>
      <c r="Z3060" s="5">
        <v>67940479.090000004</v>
      </c>
      <c r="AA3060" s="5">
        <v>3105</v>
      </c>
      <c r="AB3060" s="5" t="s">
        <v>85</v>
      </c>
      <c r="AC3060" s="5">
        <v>1</v>
      </c>
    </row>
    <row r="3061" spans="1:29" x14ac:dyDescent="0.3">
      <c r="A3061" s="34">
        <v>46274</v>
      </c>
      <c r="B3061" s="34">
        <v>46274</v>
      </c>
      <c r="C3061" s="5" t="s">
        <v>78</v>
      </c>
      <c r="D3061" s="5" t="s">
        <v>79</v>
      </c>
      <c r="E3061" s="5" t="s">
        <v>80</v>
      </c>
      <c r="F3061" s="5">
        <v>3387</v>
      </c>
      <c r="G3061" s="5" t="s">
        <v>9283</v>
      </c>
      <c r="H3061" s="5" t="s">
        <v>9284</v>
      </c>
      <c r="I3061" s="5" t="s">
        <v>212</v>
      </c>
      <c r="N3061" s="5" t="s">
        <v>9285</v>
      </c>
      <c r="O3061" s="5">
        <v>6325</v>
      </c>
      <c r="P3061" s="5">
        <v>6629</v>
      </c>
      <c r="Q3061" s="5">
        <v>6290</v>
      </c>
      <c r="R3061" s="5">
        <v>6570</v>
      </c>
      <c r="S3061" s="5">
        <v>6529.5</v>
      </c>
      <c r="T3061" s="5">
        <v>6313.5</v>
      </c>
      <c r="V3061" s="5">
        <v>6561.66</v>
      </c>
      <c r="Y3061" s="5">
        <v>134865</v>
      </c>
      <c r="Z3061" s="5">
        <v>882149965</v>
      </c>
      <c r="AA3061" s="5">
        <v>17894</v>
      </c>
      <c r="AB3061" s="5" t="s">
        <v>85</v>
      </c>
      <c r="AC3061" s="5">
        <v>1</v>
      </c>
    </row>
    <row r="3062" spans="1:29" x14ac:dyDescent="0.3">
      <c r="A3062" s="34">
        <v>46274</v>
      </c>
      <c r="B3062" s="34">
        <v>46274</v>
      </c>
      <c r="C3062" s="5" t="s">
        <v>78</v>
      </c>
      <c r="D3062" s="5" t="s">
        <v>79</v>
      </c>
      <c r="E3062" s="5" t="s">
        <v>80</v>
      </c>
      <c r="F3062" s="5">
        <v>14329</v>
      </c>
      <c r="G3062" s="5" t="s">
        <v>9286</v>
      </c>
      <c r="H3062" s="5" t="s">
        <v>9287</v>
      </c>
      <c r="I3062" s="5" t="s">
        <v>212</v>
      </c>
      <c r="N3062" s="5" t="s">
        <v>9288</v>
      </c>
      <c r="O3062" s="5">
        <v>405</v>
      </c>
      <c r="P3062" s="5">
        <v>417.7</v>
      </c>
      <c r="Q3062" s="5">
        <v>402.05</v>
      </c>
      <c r="R3062" s="5">
        <v>407.3</v>
      </c>
      <c r="S3062" s="5">
        <v>408.1</v>
      </c>
      <c r="T3062" s="5">
        <v>399.15</v>
      </c>
      <c r="V3062" s="5">
        <v>407.3</v>
      </c>
      <c r="Y3062" s="5">
        <v>523724</v>
      </c>
      <c r="Z3062" s="5">
        <v>214311722.65000001</v>
      </c>
      <c r="AA3062" s="5">
        <v>16910</v>
      </c>
      <c r="AB3062" s="5" t="s">
        <v>85</v>
      </c>
      <c r="AC3062" s="5">
        <v>1</v>
      </c>
    </row>
    <row r="3063" spans="1:29" x14ac:dyDescent="0.3">
      <c r="A3063" s="34">
        <v>46274</v>
      </c>
      <c r="B3063" s="34">
        <v>46274</v>
      </c>
      <c r="C3063" s="5" t="s">
        <v>78</v>
      </c>
      <c r="D3063" s="5" t="s">
        <v>79</v>
      </c>
      <c r="E3063" s="5" t="s">
        <v>80</v>
      </c>
      <c r="F3063" s="5">
        <v>758946</v>
      </c>
      <c r="G3063" s="5" t="s">
        <v>9289</v>
      </c>
      <c r="H3063" s="5" t="s">
        <v>9290</v>
      </c>
      <c r="I3063" s="5" t="s">
        <v>313</v>
      </c>
      <c r="N3063" s="5" t="s">
        <v>9291</v>
      </c>
      <c r="O3063" s="5">
        <v>44.2</v>
      </c>
      <c r="P3063" s="5">
        <v>44.2</v>
      </c>
      <c r="Q3063" s="5">
        <v>44</v>
      </c>
      <c r="R3063" s="5">
        <v>44</v>
      </c>
      <c r="S3063" s="5">
        <v>44</v>
      </c>
      <c r="T3063" s="5">
        <v>46.95</v>
      </c>
      <c r="V3063" s="5">
        <v>44</v>
      </c>
      <c r="Y3063" s="5">
        <v>3000</v>
      </c>
      <c r="Z3063" s="5">
        <v>132300</v>
      </c>
      <c r="AA3063" s="5">
        <v>3</v>
      </c>
      <c r="AB3063" s="5" t="s">
        <v>85</v>
      </c>
      <c r="AC3063" s="5">
        <v>1000</v>
      </c>
    </row>
    <row r="3064" spans="1:29" x14ac:dyDescent="0.3">
      <c r="A3064" s="34">
        <v>46274</v>
      </c>
      <c r="B3064" s="34">
        <v>46274</v>
      </c>
      <c r="C3064" s="5" t="s">
        <v>78</v>
      </c>
      <c r="D3064" s="5" t="s">
        <v>79</v>
      </c>
      <c r="E3064" s="5" t="s">
        <v>80</v>
      </c>
      <c r="F3064" s="5">
        <v>4843</v>
      </c>
      <c r="G3064" s="5" t="s">
        <v>9292</v>
      </c>
      <c r="H3064" s="5" t="s">
        <v>9293</v>
      </c>
      <c r="I3064" s="5" t="s">
        <v>212</v>
      </c>
      <c r="N3064" s="5" t="s">
        <v>9294</v>
      </c>
      <c r="O3064" s="5">
        <v>36.83</v>
      </c>
      <c r="P3064" s="5">
        <v>37.200000000000003</v>
      </c>
      <c r="Q3064" s="5">
        <v>36.33</v>
      </c>
      <c r="R3064" s="5">
        <v>36.82</v>
      </c>
      <c r="S3064" s="5">
        <v>36.619999999999997</v>
      </c>
      <c r="T3064" s="5">
        <v>36.83</v>
      </c>
      <c r="V3064" s="5">
        <v>36.82</v>
      </c>
      <c r="Y3064" s="5">
        <v>75581</v>
      </c>
      <c r="Z3064" s="5">
        <v>2771426.93</v>
      </c>
      <c r="AA3064" s="5">
        <v>983</v>
      </c>
      <c r="AB3064" s="5" t="s">
        <v>85</v>
      </c>
      <c r="AC3064" s="5">
        <v>1</v>
      </c>
    </row>
    <row r="3065" spans="1:29" x14ac:dyDescent="0.3">
      <c r="A3065" s="34">
        <v>46274</v>
      </c>
      <c r="B3065" s="34">
        <v>46274</v>
      </c>
      <c r="C3065" s="5" t="s">
        <v>78</v>
      </c>
      <c r="D3065" s="5" t="s">
        <v>79</v>
      </c>
      <c r="E3065" s="5" t="s">
        <v>80</v>
      </c>
      <c r="F3065" s="5">
        <v>13826</v>
      </c>
      <c r="G3065" s="5" t="s">
        <v>9295</v>
      </c>
      <c r="H3065" s="5" t="s">
        <v>9296</v>
      </c>
      <c r="I3065" s="5" t="s">
        <v>212</v>
      </c>
      <c r="N3065" s="5" t="s">
        <v>9297</v>
      </c>
      <c r="O3065" s="5">
        <v>1255</v>
      </c>
      <c r="P3065" s="5">
        <v>1255</v>
      </c>
      <c r="Q3065" s="5">
        <v>1224</v>
      </c>
      <c r="R3065" s="5">
        <v>1229.5</v>
      </c>
      <c r="S3065" s="5">
        <v>1230</v>
      </c>
      <c r="T3065" s="5">
        <v>1255.5999999999999</v>
      </c>
      <c r="V3065" s="5">
        <v>1229.43</v>
      </c>
      <c r="Y3065" s="5">
        <v>40274</v>
      </c>
      <c r="Z3065" s="5">
        <v>49728735.600000001</v>
      </c>
      <c r="AA3065" s="5">
        <v>5163</v>
      </c>
      <c r="AB3065" s="5" t="s">
        <v>85</v>
      </c>
      <c r="AC3065" s="5">
        <v>1</v>
      </c>
    </row>
    <row r="3066" spans="1:29" x14ac:dyDescent="0.3">
      <c r="A3066" s="34">
        <v>46274</v>
      </c>
      <c r="B3066" s="34">
        <v>46274</v>
      </c>
      <c r="C3066" s="5" t="s">
        <v>78</v>
      </c>
      <c r="D3066" s="5" t="s">
        <v>79</v>
      </c>
      <c r="E3066" s="5" t="s">
        <v>80</v>
      </c>
      <c r="F3066" s="5">
        <v>8266</v>
      </c>
      <c r="G3066" s="5" t="s">
        <v>9298</v>
      </c>
      <c r="H3066" s="5" t="s">
        <v>9299</v>
      </c>
      <c r="I3066" s="5" t="s">
        <v>212</v>
      </c>
      <c r="N3066" s="5" t="s">
        <v>9300</v>
      </c>
      <c r="O3066" s="5">
        <v>446.95</v>
      </c>
      <c r="P3066" s="5">
        <v>446.95</v>
      </c>
      <c r="Q3066" s="5">
        <v>430.15</v>
      </c>
      <c r="R3066" s="5">
        <v>441.65</v>
      </c>
      <c r="S3066" s="5">
        <v>442</v>
      </c>
      <c r="T3066" s="5">
        <v>438</v>
      </c>
      <c r="V3066" s="5">
        <v>441.65</v>
      </c>
      <c r="Y3066" s="5">
        <v>2570</v>
      </c>
      <c r="Z3066" s="5">
        <v>1122635.6499999999</v>
      </c>
      <c r="AA3066" s="5">
        <v>107</v>
      </c>
      <c r="AB3066" s="5" t="s">
        <v>85</v>
      </c>
      <c r="AC3066" s="5">
        <v>1</v>
      </c>
    </row>
    <row r="3067" spans="1:29" x14ac:dyDescent="0.3">
      <c r="A3067" s="34">
        <v>46274</v>
      </c>
      <c r="B3067" s="34">
        <v>46274</v>
      </c>
      <c r="C3067" s="5" t="s">
        <v>78</v>
      </c>
      <c r="D3067" s="5" t="s">
        <v>79</v>
      </c>
      <c r="E3067" s="5" t="s">
        <v>80</v>
      </c>
      <c r="F3067" s="5">
        <v>13332</v>
      </c>
      <c r="G3067" s="5" t="s">
        <v>9301</v>
      </c>
      <c r="H3067" s="5" t="s">
        <v>9302</v>
      </c>
      <c r="I3067" s="5" t="s">
        <v>212</v>
      </c>
      <c r="N3067" s="5" t="s">
        <v>9303</v>
      </c>
      <c r="O3067" s="5">
        <v>22515</v>
      </c>
      <c r="P3067" s="5">
        <v>22625</v>
      </c>
      <c r="Q3067" s="5">
        <v>22230</v>
      </c>
      <c r="R3067" s="5">
        <v>22355</v>
      </c>
      <c r="S3067" s="5">
        <v>22355</v>
      </c>
      <c r="T3067" s="5">
        <v>22455</v>
      </c>
      <c r="V3067" s="5">
        <v>22354.02</v>
      </c>
      <c r="Y3067" s="5">
        <v>94443</v>
      </c>
      <c r="Z3067" s="5">
        <v>2109723875</v>
      </c>
      <c r="AA3067" s="5">
        <v>19872</v>
      </c>
      <c r="AB3067" s="5" t="s">
        <v>85</v>
      </c>
      <c r="AC3067" s="5">
        <v>1</v>
      </c>
    </row>
    <row r="3068" spans="1:29" x14ac:dyDescent="0.3">
      <c r="A3068" s="34">
        <v>46274</v>
      </c>
      <c r="B3068" s="34">
        <v>46274</v>
      </c>
      <c r="C3068" s="5" t="s">
        <v>78</v>
      </c>
      <c r="D3068" s="5" t="s">
        <v>79</v>
      </c>
      <c r="E3068" s="5" t="s">
        <v>80</v>
      </c>
      <c r="F3068" s="5">
        <v>3672</v>
      </c>
      <c r="G3068" s="5" t="s">
        <v>9304</v>
      </c>
      <c r="H3068" s="5" t="s">
        <v>9305</v>
      </c>
      <c r="I3068" s="5" t="s">
        <v>212</v>
      </c>
      <c r="N3068" s="5" t="s">
        <v>9306</v>
      </c>
      <c r="O3068" s="5">
        <v>700</v>
      </c>
      <c r="P3068" s="5">
        <v>707.95</v>
      </c>
      <c r="Q3068" s="5">
        <v>688.05</v>
      </c>
      <c r="R3068" s="5">
        <v>690.5</v>
      </c>
      <c r="S3068" s="5">
        <v>693</v>
      </c>
      <c r="T3068" s="5">
        <v>701.8</v>
      </c>
      <c r="V3068" s="5">
        <v>690.49</v>
      </c>
      <c r="Y3068" s="5">
        <v>271068</v>
      </c>
      <c r="Z3068" s="5">
        <v>187966116.5</v>
      </c>
      <c r="AA3068" s="5">
        <v>11544</v>
      </c>
      <c r="AB3068" s="5" t="s">
        <v>85</v>
      </c>
      <c r="AC3068" s="5">
        <v>1</v>
      </c>
    </row>
    <row r="3069" spans="1:29" x14ac:dyDescent="0.3">
      <c r="A3069" s="34">
        <v>46274</v>
      </c>
      <c r="B3069" s="34">
        <v>46274</v>
      </c>
      <c r="C3069" s="5" t="s">
        <v>78</v>
      </c>
      <c r="D3069" s="5" t="s">
        <v>79</v>
      </c>
      <c r="E3069" s="5" t="s">
        <v>80</v>
      </c>
      <c r="F3069" s="5">
        <v>759929</v>
      </c>
      <c r="G3069" s="5" t="s">
        <v>9307</v>
      </c>
      <c r="H3069" s="5" t="s">
        <v>9308</v>
      </c>
      <c r="I3069" s="5" t="s">
        <v>212</v>
      </c>
      <c r="N3069" s="5" t="s">
        <v>9309</v>
      </c>
      <c r="O3069" s="5">
        <v>149</v>
      </c>
      <c r="P3069" s="5">
        <v>149</v>
      </c>
      <c r="Q3069" s="5">
        <v>145.05000000000001</v>
      </c>
      <c r="R3069" s="5">
        <v>145.59</v>
      </c>
      <c r="S3069" s="5">
        <v>145.94999999999999</v>
      </c>
      <c r="T3069" s="5">
        <v>147.99</v>
      </c>
      <c r="V3069" s="5">
        <v>145.59</v>
      </c>
      <c r="Y3069" s="5">
        <v>109693</v>
      </c>
      <c r="Z3069" s="5">
        <v>16118863.92</v>
      </c>
      <c r="AA3069" s="5">
        <v>2202</v>
      </c>
      <c r="AB3069" s="5" t="s">
        <v>85</v>
      </c>
      <c r="AC3069" s="5">
        <v>1</v>
      </c>
    </row>
    <row r="3070" spans="1:29" x14ac:dyDescent="0.3">
      <c r="A3070" s="34">
        <v>46274</v>
      </c>
      <c r="B3070" s="34">
        <v>46274</v>
      </c>
      <c r="C3070" s="5" t="s">
        <v>78</v>
      </c>
      <c r="D3070" s="5" t="s">
        <v>79</v>
      </c>
      <c r="E3070" s="5" t="s">
        <v>80</v>
      </c>
      <c r="F3070" s="5">
        <v>759397</v>
      </c>
      <c r="G3070" s="5" t="s">
        <v>9310</v>
      </c>
      <c r="H3070" s="5" t="s">
        <v>9311</v>
      </c>
      <c r="I3070" s="5" t="s">
        <v>212</v>
      </c>
      <c r="N3070" s="5" t="s">
        <v>9312</v>
      </c>
      <c r="O3070" s="5">
        <v>729.8</v>
      </c>
      <c r="P3070" s="5">
        <v>729.8</v>
      </c>
      <c r="Q3070" s="5">
        <v>712.8</v>
      </c>
      <c r="R3070" s="5">
        <v>715.6</v>
      </c>
      <c r="S3070" s="5">
        <v>721.25</v>
      </c>
      <c r="T3070" s="5">
        <v>725.05</v>
      </c>
      <c r="V3070" s="5">
        <v>715.59</v>
      </c>
      <c r="Y3070" s="5">
        <v>16403</v>
      </c>
      <c r="Z3070" s="5">
        <v>11804870.6</v>
      </c>
      <c r="AA3070" s="5">
        <v>1917</v>
      </c>
      <c r="AB3070" s="5" t="s">
        <v>85</v>
      </c>
      <c r="AC3070" s="5">
        <v>1</v>
      </c>
    </row>
    <row r="3071" spans="1:29" x14ac:dyDescent="0.3">
      <c r="A3071" s="34">
        <v>46274</v>
      </c>
      <c r="B3071" s="34">
        <v>46274</v>
      </c>
      <c r="C3071" s="5" t="s">
        <v>78</v>
      </c>
      <c r="D3071" s="5" t="s">
        <v>79</v>
      </c>
      <c r="E3071" s="5" t="s">
        <v>80</v>
      </c>
      <c r="F3071" s="5">
        <v>1338</v>
      </c>
      <c r="G3071" s="5" t="s">
        <v>9313</v>
      </c>
      <c r="H3071" s="5" t="s">
        <v>9314</v>
      </c>
      <c r="I3071" s="5" t="s">
        <v>212</v>
      </c>
      <c r="N3071" s="5" t="s">
        <v>9315</v>
      </c>
      <c r="O3071" s="5">
        <v>72.39</v>
      </c>
      <c r="P3071" s="5">
        <v>73.5</v>
      </c>
      <c r="Q3071" s="5">
        <v>71.25</v>
      </c>
      <c r="R3071" s="5">
        <v>71.680000000000007</v>
      </c>
      <c r="S3071" s="5">
        <v>72.08</v>
      </c>
      <c r="T3071" s="5">
        <v>72.39</v>
      </c>
      <c r="V3071" s="5">
        <v>71.680000000000007</v>
      </c>
      <c r="Y3071" s="5">
        <v>408987</v>
      </c>
      <c r="Z3071" s="5">
        <v>29367535.09</v>
      </c>
      <c r="AA3071" s="5">
        <v>3392</v>
      </c>
      <c r="AB3071" s="5" t="s">
        <v>85</v>
      </c>
      <c r="AC3071" s="5">
        <v>1</v>
      </c>
    </row>
    <row r="3072" spans="1:29" x14ac:dyDescent="0.3">
      <c r="A3072" s="34">
        <v>46274</v>
      </c>
      <c r="B3072" s="34">
        <v>46274</v>
      </c>
      <c r="C3072" s="5" t="s">
        <v>78</v>
      </c>
      <c r="D3072" s="5" t="s">
        <v>79</v>
      </c>
      <c r="E3072" s="5" t="s">
        <v>80</v>
      </c>
      <c r="F3072" s="5">
        <v>4201</v>
      </c>
      <c r="G3072" s="5" t="s">
        <v>9316</v>
      </c>
      <c r="H3072" s="5" t="s">
        <v>9317</v>
      </c>
      <c r="I3072" s="5" t="s">
        <v>212</v>
      </c>
      <c r="N3072" s="5" t="s">
        <v>9318</v>
      </c>
      <c r="O3072" s="5">
        <v>86.98</v>
      </c>
      <c r="P3072" s="5">
        <v>86.98</v>
      </c>
      <c r="Q3072" s="5">
        <v>84</v>
      </c>
      <c r="R3072" s="5">
        <v>84.05</v>
      </c>
      <c r="S3072" s="5">
        <v>84.99</v>
      </c>
      <c r="T3072" s="5">
        <v>85.27</v>
      </c>
      <c r="V3072" s="5">
        <v>84.05</v>
      </c>
      <c r="Y3072" s="5">
        <v>7478</v>
      </c>
      <c r="Z3072" s="5">
        <v>632960.34</v>
      </c>
      <c r="AA3072" s="5">
        <v>173</v>
      </c>
      <c r="AB3072" s="5" t="s">
        <v>85</v>
      </c>
      <c r="AC3072" s="5">
        <v>1</v>
      </c>
    </row>
    <row r="3073" spans="1:29" x14ac:dyDescent="0.3">
      <c r="A3073" s="34">
        <v>46274</v>
      </c>
      <c r="B3073" s="34">
        <v>46274</v>
      </c>
      <c r="C3073" s="5" t="s">
        <v>78</v>
      </c>
      <c r="D3073" s="5" t="s">
        <v>79</v>
      </c>
      <c r="E3073" s="5" t="s">
        <v>80</v>
      </c>
      <c r="F3073" s="5">
        <v>3880</v>
      </c>
      <c r="G3073" s="5" t="s">
        <v>9319</v>
      </c>
      <c r="H3073" s="5" t="s">
        <v>9320</v>
      </c>
      <c r="I3073" s="5" t="s">
        <v>212</v>
      </c>
      <c r="N3073" s="5" t="s">
        <v>9321</v>
      </c>
      <c r="O3073" s="5">
        <v>558</v>
      </c>
      <c r="P3073" s="5">
        <v>561.75</v>
      </c>
      <c r="Q3073" s="5">
        <v>551.6</v>
      </c>
      <c r="R3073" s="5">
        <v>553.5</v>
      </c>
      <c r="S3073" s="5">
        <v>560</v>
      </c>
      <c r="T3073" s="5">
        <v>562.65</v>
      </c>
      <c r="V3073" s="5">
        <v>553.53</v>
      </c>
      <c r="Y3073" s="5">
        <v>93463</v>
      </c>
      <c r="Z3073" s="5">
        <v>51835197.049999997</v>
      </c>
      <c r="AA3073" s="5">
        <v>7074</v>
      </c>
      <c r="AB3073" s="5" t="s">
        <v>85</v>
      </c>
      <c r="AC3073" s="5">
        <v>1</v>
      </c>
    </row>
    <row r="3074" spans="1:29" x14ac:dyDescent="0.3">
      <c r="A3074" s="34">
        <v>46274</v>
      </c>
      <c r="B3074" s="34">
        <v>46274</v>
      </c>
      <c r="C3074" s="5" t="s">
        <v>78</v>
      </c>
      <c r="D3074" s="5" t="s">
        <v>79</v>
      </c>
      <c r="E3074" s="5" t="s">
        <v>80</v>
      </c>
      <c r="F3074" s="5">
        <v>17794</v>
      </c>
      <c r="G3074" s="5" t="s">
        <v>9322</v>
      </c>
      <c r="H3074" s="5" t="s">
        <v>9323</v>
      </c>
      <c r="I3074" s="5" t="s">
        <v>212</v>
      </c>
      <c r="N3074" s="5" t="s">
        <v>9324</v>
      </c>
      <c r="O3074" s="5">
        <v>90.55</v>
      </c>
      <c r="P3074" s="5">
        <v>91.99</v>
      </c>
      <c r="Q3074" s="5">
        <v>90.5</v>
      </c>
      <c r="R3074" s="5">
        <v>90.87</v>
      </c>
      <c r="S3074" s="5">
        <v>91.21</v>
      </c>
      <c r="T3074" s="5">
        <v>91.64</v>
      </c>
      <c r="V3074" s="5">
        <v>90.86</v>
      </c>
      <c r="Y3074" s="5">
        <v>7428</v>
      </c>
      <c r="Z3074" s="5">
        <v>674192.42</v>
      </c>
      <c r="AA3074" s="5">
        <v>266</v>
      </c>
      <c r="AB3074" s="5" t="s">
        <v>85</v>
      </c>
      <c r="AC3074" s="5">
        <v>1</v>
      </c>
    </row>
    <row r="3075" spans="1:29" x14ac:dyDescent="0.3">
      <c r="A3075" s="34">
        <v>46274</v>
      </c>
      <c r="B3075" s="34">
        <v>46274</v>
      </c>
      <c r="C3075" s="5" t="s">
        <v>78</v>
      </c>
      <c r="D3075" s="5" t="s">
        <v>79</v>
      </c>
      <c r="E3075" s="5" t="s">
        <v>80</v>
      </c>
      <c r="F3075" s="5">
        <v>4684</v>
      </c>
      <c r="G3075" s="5" t="s">
        <v>9325</v>
      </c>
      <c r="H3075" s="5" t="s">
        <v>9326</v>
      </c>
      <c r="I3075" s="5" t="s">
        <v>212</v>
      </c>
      <c r="N3075" s="5" t="s">
        <v>9327</v>
      </c>
      <c r="O3075" s="5">
        <v>803.05</v>
      </c>
      <c r="P3075" s="5">
        <v>806.4</v>
      </c>
      <c r="Q3075" s="5">
        <v>792.55</v>
      </c>
      <c r="R3075" s="5">
        <v>799.5</v>
      </c>
      <c r="S3075" s="5">
        <v>799.5</v>
      </c>
      <c r="T3075" s="5">
        <v>804</v>
      </c>
      <c r="V3075" s="5">
        <v>799.51</v>
      </c>
      <c r="Y3075" s="5">
        <v>549181</v>
      </c>
      <c r="Z3075" s="5">
        <v>438690199.44999999</v>
      </c>
      <c r="AA3075" s="5">
        <v>21582</v>
      </c>
      <c r="AB3075" s="5" t="s">
        <v>85</v>
      </c>
      <c r="AC3075" s="5">
        <v>1</v>
      </c>
    </row>
    <row r="3076" spans="1:29" x14ac:dyDescent="0.3">
      <c r="A3076" s="34">
        <v>46274</v>
      </c>
      <c r="B3076" s="34">
        <v>46274</v>
      </c>
      <c r="C3076" s="5" t="s">
        <v>78</v>
      </c>
      <c r="D3076" s="5" t="s">
        <v>79</v>
      </c>
      <c r="E3076" s="5" t="s">
        <v>80</v>
      </c>
      <c r="F3076" s="5">
        <v>23052</v>
      </c>
      <c r="G3076" s="5" t="s">
        <v>9328</v>
      </c>
      <c r="H3076" s="5" t="s">
        <v>9329</v>
      </c>
      <c r="I3076" s="5" t="s">
        <v>313</v>
      </c>
      <c r="N3076" s="5" t="s">
        <v>9330</v>
      </c>
      <c r="O3076" s="5">
        <v>33.15</v>
      </c>
      <c r="P3076" s="5">
        <v>33.15</v>
      </c>
      <c r="Q3076" s="5">
        <v>32.85</v>
      </c>
      <c r="R3076" s="5">
        <v>32.85</v>
      </c>
      <c r="S3076" s="5">
        <v>32.85</v>
      </c>
      <c r="T3076" s="5">
        <v>34.549999999999997</v>
      </c>
      <c r="V3076" s="5">
        <v>32.85</v>
      </c>
      <c r="Y3076" s="5">
        <v>3000</v>
      </c>
      <c r="Z3076" s="5">
        <v>99100</v>
      </c>
      <c r="AA3076" s="5">
        <v>3</v>
      </c>
      <c r="AB3076" s="5" t="s">
        <v>85</v>
      </c>
      <c r="AC3076" s="5">
        <v>1000</v>
      </c>
    </row>
    <row r="3077" spans="1:29" x14ac:dyDescent="0.3">
      <c r="A3077" s="34">
        <v>46274</v>
      </c>
      <c r="B3077" s="34">
        <v>46274</v>
      </c>
      <c r="C3077" s="5" t="s">
        <v>78</v>
      </c>
      <c r="D3077" s="5" t="s">
        <v>79</v>
      </c>
      <c r="E3077" s="5" t="s">
        <v>80</v>
      </c>
      <c r="F3077" s="5">
        <v>762919</v>
      </c>
      <c r="G3077" s="5" t="s">
        <v>9331</v>
      </c>
      <c r="H3077" s="5" t="s">
        <v>9332</v>
      </c>
      <c r="I3077" s="5" t="s">
        <v>212</v>
      </c>
      <c r="N3077" s="5" t="s">
        <v>9333</v>
      </c>
      <c r="O3077" s="5">
        <v>88.85</v>
      </c>
      <c r="P3077" s="5">
        <v>89.4</v>
      </c>
      <c r="Q3077" s="5">
        <v>88.5</v>
      </c>
      <c r="R3077" s="5">
        <v>88.58</v>
      </c>
      <c r="S3077" s="5">
        <v>89.4</v>
      </c>
      <c r="T3077" s="5">
        <v>88.85</v>
      </c>
      <c r="V3077" s="5">
        <v>88.58</v>
      </c>
      <c r="Y3077" s="5">
        <v>125</v>
      </c>
      <c r="Z3077" s="5">
        <v>11078.8</v>
      </c>
      <c r="AA3077" s="5">
        <v>4</v>
      </c>
      <c r="AB3077" s="5" t="s">
        <v>85</v>
      </c>
      <c r="AC3077" s="5">
        <v>1</v>
      </c>
    </row>
    <row r="3078" spans="1:29" x14ac:dyDescent="0.3">
      <c r="A3078" s="34">
        <v>46274</v>
      </c>
      <c r="B3078" s="34">
        <v>46274</v>
      </c>
      <c r="C3078" s="5" t="s">
        <v>78</v>
      </c>
      <c r="D3078" s="5" t="s">
        <v>79</v>
      </c>
      <c r="E3078" s="5" t="s">
        <v>80</v>
      </c>
      <c r="F3078" s="5">
        <v>8817</v>
      </c>
      <c r="G3078" s="5" t="s">
        <v>9334</v>
      </c>
      <c r="H3078" s="5" t="s">
        <v>9335</v>
      </c>
      <c r="I3078" s="5" t="s">
        <v>234</v>
      </c>
      <c r="N3078" s="5" t="s">
        <v>9336</v>
      </c>
      <c r="O3078" s="5">
        <v>73</v>
      </c>
      <c r="P3078" s="5">
        <v>76</v>
      </c>
      <c r="Q3078" s="5">
        <v>73</v>
      </c>
      <c r="R3078" s="5">
        <v>74.650000000000006</v>
      </c>
      <c r="S3078" s="5">
        <v>74.89</v>
      </c>
      <c r="T3078" s="5">
        <v>72.5</v>
      </c>
      <c r="V3078" s="5">
        <v>74.650000000000006</v>
      </c>
      <c r="Y3078" s="5">
        <v>127225</v>
      </c>
      <c r="Z3078" s="5">
        <v>9511154.0999999996</v>
      </c>
      <c r="AA3078" s="5">
        <v>503</v>
      </c>
      <c r="AB3078" s="5" t="s">
        <v>85</v>
      </c>
      <c r="AC3078" s="5">
        <v>1</v>
      </c>
    </row>
    <row r="3079" spans="1:29" x14ac:dyDescent="0.3">
      <c r="A3079" s="34">
        <v>46274</v>
      </c>
      <c r="B3079" s="34">
        <v>46274</v>
      </c>
      <c r="C3079" s="5" t="s">
        <v>78</v>
      </c>
      <c r="D3079" s="5" t="s">
        <v>79</v>
      </c>
      <c r="E3079" s="5" t="s">
        <v>80</v>
      </c>
      <c r="F3079" s="5">
        <v>6596</v>
      </c>
      <c r="G3079" s="5" t="s">
        <v>9337</v>
      </c>
      <c r="H3079" s="5" t="s">
        <v>9338</v>
      </c>
      <c r="I3079" s="5" t="s">
        <v>212</v>
      </c>
      <c r="N3079" s="5" t="s">
        <v>9339</v>
      </c>
      <c r="O3079" s="5">
        <v>274.14999999999998</v>
      </c>
      <c r="P3079" s="5">
        <v>274.14999999999998</v>
      </c>
      <c r="Q3079" s="5">
        <v>265.3</v>
      </c>
      <c r="R3079" s="5">
        <v>267.7</v>
      </c>
      <c r="S3079" s="5">
        <v>268.95</v>
      </c>
      <c r="T3079" s="5">
        <v>274.25</v>
      </c>
      <c r="V3079" s="5">
        <v>267.67</v>
      </c>
      <c r="Y3079" s="5">
        <v>909749</v>
      </c>
      <c r="Z3079" s="5">
        <v>244092560.59999999</v>
      </c>
      <c r="AA3079" s="5">
        <v>19147</v>
      </c>
      <c r="AB3079" s="5" t="s">
        <v>85</v>
      </c>
      <c r="AC3079" s="5">
        <v>1</v>
      </c>
    </row>
    <row r="3080" spans="1:29" x14ac:dyDescent="0.3">
      <c r="A3080" s="34">
        <v>46274</v>
      </c>
      <c r="B3080" s="34">
        <v>46274</v>
      </c>
      <c r="C3080" s="5" t="s">
        <v>78</v>
      </c>
      <c r="D3080" s="5" t="s">
        <v>79</v>
      </c>
      <c r="E3080" s="5" t="s">
        <v>80</v>
      </c>
      <c r="F3080" s="5">
        <v>9463</v>
      </c>
      <c r="G3080" s="5" t="s">
        <v>9340</v>
      </c>
      <c r="H3080" s="5" t="s">
        <v>9341</v>
      </c>
      <c r="I3080" s="5" t="s">
        <v>392</v>
      </c>
      <c r="N3080" s="5" t="s">
        <v>9342</v>
      </c>
      <c r="O3080" s="5">
        <v>50.1</v>
      </c>
      <c r="P3080" s="5">
        <v>50.15</v>
      </c>
      <c r="Q3080" s="5">
        <v>46.55</v>
      </c>
      <c r="R3080" s="5">
        <v>49.65</v>
      </c>
      <c r="S3080" s="5">
        <v>49.65</v>
      </c>
      <c r="T3080" s="5">
        <v>48.95</v>
      </c>
      <c r="V3080" s="5">
        <v>49.65</v>
      </c>
      <c r="Y3080" s="5">
        <v>129000</v>
      </c>
      <c r="Z3080" s="5">
        <v>6283275</v>
      </c>
      <c r="AA3080" s="5">
        <v>55</v>
      </c>
      <c r="AB3080" s="5" t="s">
        <v>85</v>
      </c>
      <c r="AC3080" s="5">
        <v>1500</v>
      </c>
    </row>
    <row r="3081" spans="1:29" x14ac:dyDescent="0.3">
      <c r="A3081" s="34">
        <v>46274</v>
      </c>
      <c r="B3081" s="34">
        <v>46274</v>
      </c>
      <c r="C3081" s="5" t="s">
        <v>78</v>
      </c>
      <c r="D3081" s="5" t="s">
        <v>79</v>
      </c>
      <c r="E3081" s="5" t="s">
        <v>80</v>
      </c>
      <c r="F3081" s="5">
        <v>9678</v>
      </c>
      <c r="G3081" s="5" t="s">
        <v>9343</v>
      </c>
      <c r="H3081" s="5" t="s">
        <v>9344</v>
      </c>
      <c r="I3081" s="5" t="s">
        <v>212</v>
      </c>
      <c r="N3081" s="5" t="s">
        <v>9345</v>
      </c>
      <c r="O3081" s="5">
        <v>230.5</v>
      </c>
      <c r="P3081" s="5">
        <v>244.4</v>
      </c>
      <c r="Q3081" s="5">
        <v>224.17</v>
      </c>
      <c r="R3081" s="5">
        <v>226.81</v>
      </c>
      <c r="S3081" s="5">
        <v>228</v>
      </c>
      <c r="T3081" s="5">
        <v>230.38</v>
      </c>
      <c r="V3081" s="5">
        <v>226.81</v>
      </c>
      <c r="Y3081" s="5">
        <v>1192055</v>
      </c>
      <c r="Z3081" s="5">
        <v>282767729.45999998</v>
      </c>
      <c r="AA3081" s="5">
        <v>21170</v>
      </c>
      <c r="AB3081" s="5" t="s">
        <v>85</v>
      </c>
      <c r="AC3081" s="5">
        <v>1</v>
      </c>
    </row>
    <row r="3082" spans="1:29" x14ac:dyDescent="0.3">
      <c r="A3082" s="34">
        <v>46274</v>
      </c>
      <c r="B3082" s="34">
        <v>46274</v>
      </c>
      <c r="C3082" s="5" t="s">
        <v>78</v>
      </c>
      <c r="D3082" s="5" t="s">
        <v>79</v>
      </c>
      <c r="E3082" s="5" t="s">
        <v>80</v>
      </c>
      <c r="F3082" s="5">
        <v>19372</v>
      </c>
      <c r="G3082" s="5" t="s">
        <v>9346</v>
      </c>
      <c r="H3082" s="5" t="s">
        <v>9347</v>
      </c>
      <c r="I3082" s="5" t="s">
        <v>212</v>
      </c>
      <c r="N3082" s="5" t="s">
        <v>9348</v>
      </c>
      <c r="O3082" s="5">
        <v>3.63</v>
      </c>
      <c r="P3082" s="5">
        <v>3.65</v>
      </c>
      <c r="Q3082" s="5">
        <v>3.53</v>
      </c>
      <c r="R3082" s="5">
        <v>3.57</v>
      </c>
      <c r="S3082" s="5">
        <v>3.59</v>
      </c>
      <c r="T3082" s="5">
        <v>3.61</v>
      </c>
      <c r="V3082" s="5">
        <v>3.57</v>
      </c>
      <c r="Y3082" s="5">
        <v>573087</v>
      </c>
      <c r="Z3082" s="5">
        <v>2057909.92</v>
      </c>
      <c r="AA3082" s="5">
        <v>569</v>
      </c>
      <c r="AB3082" s="5" t="s">
        <v>85</v>
      </c>
      <c r="AC3082" s="5">
        <v>1</v>
      </c>
    </row>
    <row r="3083" spans="1:29" x14ac:dyDescent="0.3">
      <c r="A3083" s="34">
        <v>46274</v>
      </c>
      <c r="B3083" s="34">
        <v>46274</v>
      </c>
      <c r="C3083" s="5" t="s">
        <v>78</v>
      </c>
      <c r="D3083" s="5" t="s">
        <v>79</v>
      </c>
      <c r="E3083" s="5" t="s">
        <v>80</v>
      </c>
      <c r="F3083" s="5">
        <v>11435</v>
      </c>
      <c r="G3083" s="5" t="s">
        <v>9349</v>
      </c>
      <c r="H3083" s="5" t="s">
        <v>9350</v>
      </c>
      <c r="I3083" s="5" t="s">
        <v>212</v>
      </c>
      <c r="N3083" s="5" t="s">
        <v>9351</v>
      </c>
      <c r="O3083" s="5">
        <v>239</v>
      </c>
      <c r="P3083" s="5">
        <v>239</v>
      </c>
      <c r="Q3083" s="5">
        <v>232.02</v>
      </c>
      <c r="R3083" s="5">
        <v>232.61</v>
      </c>
      <c r="S3083" s="5">
        <v>233.08</v>
      </c>
      <c r="T3083" s="5">
        <v>239.74</v>
      </c>
      <c r="V3083" s="5">
        <v>232.61</v>
      </c>
      <c r="Y3083" s="5">
        <v>88510</v>
      </c>
      <c r="Z3083" s="5">
        <v>20716798.280000001</v>
      </c>
      <c r="AA3083" s="5">
        <v>4044</v>
      </c>
      <c r="AB3083" s="5" t="s">
        <v>85</v>
      </c>
      <c r="AC3083" s="5">
        <v>1</v>
      </c>
    </row>
    <row r="3084" spans="1:29" x14ac:dyDescent="0.3">
      <c r="A3084" s="34">
        <v>46274</v>
      </c>
      <c r="B3084" s="34">
        <v>46274</v>
      </c>
      <c r="C3084" s="5" t="s">
        <v>78</v>
      </c>
      <c r="D3084" s="5" t="s">
        <v>79</v>
      </c>
      <c r="E3084" s="5" t="s">
        <v>80</v>
      </c>
      <c r="F3084" s="5">
        <v>760135</v>
      </c>
      <c r="G3084" s="5" t="s">
        <v>9352</v>
      </c>
      <c r="H3084" s="5" t="s">
        <v>9353</v>
      </c>
      <c r="I3084" s="5" t="s">
        <v>313</v>
      </c>
      <c r="N3084" s="5" t="s">
        <v>9354</v>
      </c>
      <c r="O3084" s="5">
        <v>93.05</v>
      </c>
      <c r="P3084" s="5">
        <v>93.05</v>
      </c>
      <c r="Q3084" s="5">
        <v>93.05</v>
      </c>
      <c r="R3084" s="5">
        <v>93.05</v>
      </c>
      <c r="S3084" s="5">
        <v>93.05</v>
      </c>
      <c r="T3084" s="5">
        <v>93</v>
      </c>
      <c r="V3084" s="5">
        <v>93.05</v>
      </c>
      <c r="Y3084" s="5">
        <v>4000</v>
      </c>
      <c r="Z3084" s="5">
        <v>372200</v>
      </c>
      <c r="AA3084" s="5">
        <v>1</v>
      </c>
      <c r="AB3084" s="5" t="s">
        <v>85</v>
      </c>
      <c r="AC3084" s="5">
        <v>2000</v>
      </c>
    </row>
    <row r="3085" spans="1:29" x14ac:dyDescent="0.3">
      <c r="A3085" s="34">
        <v>46274</v>
      </c>
      <c r="B3085" s="34">
        <v>46274</v>
      </c>
      <c r="C3085" s="5" t="s">
        <v>78</v>
      </c>
      <c r="D3085" s="5" t="s">
        <v>79</v>
      </c>
      <c r="E3085" s="5" t="s">
        <v>80</v>
      </c>
      <c r="F3085" s="5">
        <v>27111</v>
      </c>
      <c r="G3085" s="5" t="s">
        <v>9355</v>
      </c>
      <c r="H3085" s="5" t="s">
        <v>9356</v>
      </c>
      <c r="I3085" s="5" t="s">
        <v>234</v>
      </c>
      <c r="N3085" s="5" t="s">
        <v>9357</v>
      </c>
      <c r="O3085" s="5">
        <v>134.44</v>
      </c>
      <c r="P3085" s="5">
        <v>136</v>
      </c>
      <c r="Q3085" s="5">
        <v>131.5</v>
      </c>
      <c r="R3085" s="5">
        <v>135.13</v>
      </c>
      <c r="S3085" s="5">
        <v>135</v>
      </c>
      <c r="T3085" s="5">
        <v>133.78</v>
      </c>
      <c r="V3085" s="5">
        <v>135.15</v>
      </c>
      <c r="Y3085" s="5">
        <v>17330</v>
      </c>
      <c r="Z3085" s="5">
        <v>2326282.2200000002</v>
      </c>
      <c r="AA3085" s="5">
        <v>137</v>
      </c>
      <c r="AB3085" s="5" t="s">
        <v>85</v>
      </c>
      <c r="AC3085" s="5">
        <v>1</v>
      </c>
    </row>
    <row r="3086" spans="1:29" x14ac:dyDescent="0.3">
      <c r="A3086" s="34">
        <v>46274</v>
      </c>
      <c r="B3086" s="34">
        <v>46274</v>
      </c>
      <c r="C3086" s="5" t="s">
        <v>78</v>
      </c>
      <c r="D3086" s="5" t="s">
        <v>79</v>
      </c>
      <c r="E3086" s="5" t="s">
        <v>80</v>
      </c>
      <c r="F3086" s="5">
        <v>30457</v>
      </c>
      <c r="G3086" s="5" t="s">
        <v>9358</v>
      </c>
      <c r="H3086" s="5" t="s">
        <v>9359</v>
      </c>
      <c r="I3086" s="5" t="s">
        <v>234</v>
      </c>
      <c r="N3086" s="5" t="s">
        <v>9360</v>
      </c>
      <c r="O3086" s="5">
        <v>2591</v>
      </c>
      <c r="P3086" s="5">
        <v>2741.6</v>
      </c>
      <c r="Q3086" s="5">
        <v>2571</v>
      </c>
      <c r="R3086" s="5">
        <v>2741.6</v>
      </c>
      <c r="S3086" s="5">
        <v>2741.6</v>
      </c>
      <c r="T3086" s="5">
        <v>2611.1</v>
      </c>
      <c r="V3086" s="5">
        <v>2741.6</v>
      </c>
      <c r="Y3086" s="5">
        <v>22007</v>
      </c>
      <c r="Z3086" s="5">
        <v>59189704.399999999</v>
      </c>
      <c r="AA3086" s="5">
        <v>584</v>
      </c>
      <c r="AB3086" s="5" t="s">
        <v>85</v>
      </c>
      <c r="AC3086" s="5">
        <v>1</v>
      </c>
    </row>
    <row r="3087" spans="1:29" x14ac:dyDescent="0.3">
      <c r="A3087" s="34">
        <v>46274</v>
      </c>
      <c r="B3087" s="34">
        <v>46274</v>
      </c>
      <c r="C3087" s="5" t="s">
        <v>78</v>
      </c>
      <c r="D3087" s="5" t="s">
        <v>79</v>
      </c>
      <c r="E3087" s="5" t="s">
        <v>80</v>
      </c>
      <c r="F3087" s="5">
        <v>764920</v>
      </c>
      <c r="G3087" s="5" t="s">
        <v>9361</v>
      </c>
      <c r="H3087" s="5" t="s">
        <v>9362</v>
      </c>
      <c r="I3087" s="5" t="s">
        <v>212</v>
      </c>
      <c r="N3087" s="5" t="s">
        <v>9363</v>
      </c>
      <c r="O3087" s="5">
        <v>147.33000000000001</v>
      </c>
      <c r="P3087" s="5">
        <v>148.44999999999999</v>
      </c>
      <c r="Q3087" s="5">
        <v>145</v>
      </c>
      <c r="R3087" s="5">
        <v>145.65</v>
      </c>
      <c r="S3087" s="5">
        <v>145.5</v>
      </c>
      <c r="T3087" s="5">
        <v>146.6</v>
      </c>
      <c r="V3087" s="5">
        <v>145.69999999999999</v>
      </c>
      <c r="Y3087" s="5">
        <v>22324</v>
      </c>
      <c r="Z3087" s="5">
        <v>3258286.11</v>
      </c>
      <c r="AA3087" s="5">
        <v>1009</v>
      </c>
      <c r="AB3087" s="5" t="s">
        <v>85</v>
      </c>
      <c r="AC3087" s="5">
        <v>1</v>
      </c>
    </row>
    <row r="3088" spans="1:29" x14ac:dyDescent="0.3">
      <c r="A3088" s="34">
        <v>46274</v>
      </c>
      <c r="B3088" s="34">
        <v>46274</v>
      </c>
      <c r="C3088" s="5" t="s">
        <v>78</v>
      </c>
      <c r="D3088" s="5" t="s">
        <v>79</v>
      </c>
      <c r="E3088" s="5" t="s">
        <v>80</v>
      </c>
      <c r="F3088" s="5">
        <v>8163</v>
      </c>
      <c r="G3088" s="5" t="s">
        <v>9364</v>
      </c>
      <c r="H3088" s="5" t="s">
        <v>9365</v>
      </c>
      <c r="I3088" s="5" t="s">
        <v>212</v>
      </c>
      <c r="N3088" s="5" t="s">
        <v>9366</v>
      </c>
      <c r="O3088" s="5">
        <v>29.89</v>
      </c>
      <c r="P3088" s="5">
        <v>29.98</v>
      </c>
      <c r="Q3088" s="5">
        <v>29</v>
      </c>
      <c r="R3088" s="5">
        <v>29.22</v>
      </c>
      <c r="S3088" s="5">
        <v>29.22</v>
      </c>
      <c r="T3088" s="5">
        <v>29.41</v>
      </c>
      <c r="V3088" s="5">
        <v>29.22</v>
      </c>
      <c r="Y3088" s="5">
        <v>9742</v>
      </c>
      <c r="Z3088" s="5">
        <v>286212.61</v>
      </c>
      <c r="AA3088" s="5">
        <v>165</v>
      </c>
      <c r="AB3088" s="5" t="s">
        <v>85</v>
      </c>
      <c r="AC3088" s="5">
        <v>1</v>
      </c>
    </row>
    <row r="3089" spans="1:29" x14ac:dyDescent="0.3">
      <c r="A3089" s="34">
        <v>46274</v>
      </c>
      <c r="B3089" s="34">
        <v>46274</v>
      </c>
      <c r="C3089" s="5" t="s">
        <v>78</v>
      </c>
      <c r="D3089" s="5" t="s">
        <v>79</v>
      </c>
      <c r="E3089" s="5" t="s">
        <v>80</v>
      </c>
      <c r="F3089" s="5">
        <v>3252</v>
      </c>
      <c r="G3089" s="5" t="s">
        <v>9367</v>
      </c>
      <c r="H3089" s="5" t="s">
        <v>9368</v>
      </c>
      <c r="I3089" s="5" t="s">
        <v>212</v>
      </c>
      <c r="N3089" s="5" t="s">
        <v>9369</v>
      </c>
      <c r="O3089" s="5">
        <v>71.069999999999993</v>
      </c>
      <c r="P3089" s="5">
        <v>71.48</v>
      </c>
      <c r="Q3089" s="5">
        <v>69.95</v>
      </c>
      <c r="R3089" s="5">
        <v>70.13</v>
      </c>
      <c r="S3089" s="5">
        <v>70.2</v>
      </c>
      <c r="T3089" s="5">
        <v>71.069999999999993</v>
      </c>
      <c r="V3089" s="5">
        <v>70.13</v>
      </c>
      <c r="Y3089" s="5">
        <v>398972</v>
      </c>
      <c r="Z3089" s="5">
        <v>28200092.789999999</v>
      </c>
      <c r="AA3089" s="5">
        <v>2705</v>
      </c>
      <c r="AB3089" s="5" t="s">
        <v>85</v>
      </c>
      <c r="AC3089" s="5">
        <v>1</v>
      </c>
    </row>
    <row r="3090" spans="1:29" x14ac:dyDescent="0.3">
      <c r="A3090" s="34">
        <v>46274</v>
      </c>
      <c r="B3090" s="34">
        <v>46274</v>
      </c>
      <c r="C3090" s="5" t="s">
        <v>78</v>
      </c>
      <c r="D3090" s="5" t="s">
        <v>79</v>
      </c>
      <c r="E3090" s="5" t="s">
        <v>80</v>
      </c>
      <c r="F3090" s="5">
        <v>11935</v>
      </c>
      <c r="G3090" s="5" t="s">
        <v>9370</v>
      </c>
      <c r="H3090" s="5" t="s">
        <v>9371</v>
      </c>
      <c r="I3090" s="5" t="s">
        <v>212</v>
      </c>
      <c r="N3090" s="5" t="s">
        <v>9372</v>
      </c>
      <c r="O3090" s="5">
        <v>30.81</v>
      </c>
      <c r="P3090" s="5">
        <v>31.4</v>
      </c>
      <c r="Q3090" s="5">
        <v>30</v>
      </c>
      <c r="R3090" s="5">
        <v>31.33</v>
      </c>
      <c r="S3090" s="5">
        <v>31.3</v>
      </c>
      <c r="T3090" s="5">
        <v>30.8</v>
      </c>
      <c r="V3090" s="5">
        <v>31.35</v>
      </c>
      <c r="Y3090" s="5">
        <v>4330</v>
      </c>
      <c r="Z3090" s="5">
        <v>132495.73000000001</v>
      </c>
      <c r="AA3090" s="5">
        <v>84</v>
      </c>
      <c r="AB3090" s="5" t="s">
        <v>85</v>
      </c>
      <c r="AC3090" s="5">
        <v>1</v>
      </c>
    </row>
    <row r="3091" spans="1:29" x14ac:dyDescent="0.3">
      <c r="A3091" s="34">
        <v>46274</v>
      </c>
      <c r="B3091" s="34">
        <v>46274</v>
      </c>
      <c r="C3091" s="5" t="s">
        <v>78</v>
      </c>
      <c r="D3091" s="5" t="s">
        <v>79</v>
      </c>
      <c r="E3091" s="5" t="s">
        <v>80</v>
      </c>
      <c r="F3091" s="5">
        <v>3321</v>
      </c>
      <c r="G3091" s="5" t="s">
        <v>9373</v>
      </c>
      <c r="H3091" s="5" t="s">
        <v>9374</v>
      </c>
      <c r="I3091" s="5" t="s">
        <v>212</v>
      </c>
      <c r="N3091" s="5" t="s">
        <v>9375</v>
      </c>
      <c r="O3091" s="5">
        <v>176.42</v>
      </c>
      <c r="P3091" s="5">
        <v>179.1</v>
      </c>
      <c r="Q3091" s="5">
        <v>173</v>
      </c>
      <c r="R3091" s="5">
        <v>173.93</v>
      </c>
      <c r="S3091" s="5">
        <v>173.1</v>
      </c>
      <c r="T3091" s="5">
        <v>176.31</v>
      </c>
      <c r="V3091" s="5">
        <v>173.93</v>
      </c>
      <c r="Y3091" s="5">
        <v>206020</v>
      </c>
      <c r="Z3091" s="5">
        <v>36114218.530000001</v>
      </c>
      <c r="AA3091" s="5">
        <v>3876</v>
      </c>
      <c r="AB3091" s="5" t="s">
        <v>85</v>
      </c>
      <c r="AC3091" s="5">
        <v>1</v>
      </c>
    </row>
    <row r="3092" spans="1:29" x14ac:dyDescent="0.3">
      <c r="A3092" s="34">
        <v>46274</v>
      </c>
      <c r="B3092" s="34">
        <v>46274</v>
      </c>
      <c r="C3092" s="5" t="s">
        <v>78</v>
      </c>
      <c r="D3092" s="5" t="s">
        <v>79</v>
      </c>
      <c r="E3092" s="5" t="s">
        <v>80</v>
      </c>
      <c r="F3092" s="5">
        <v>10733</v>
      </c>
      <c r="G3092" s="5" t="s">
        <v>9376</v>
      </c>
      <c r="H3092" s="5" t="s">
        <v>9377</v>
      </c>
      <c r="I3092" s="5" t="s">
        <v>212</v>
      </c>
      <c r="N3092" s="5" t="s">
        <v>9378</v>
      </c>
      <c r="O3092" s="5">
        <v>215.99</v>
      </c>
      <c r="P3092" s="5">
        <v>219.97</v>
      </c>
      <c r="Q3092" s="5">
        <v>212.22</v>
      </c>
      <c r="R3092" s="5">
        <v>217.39</v>
      </c>
      <c r="S3092" s="5">
        <v>218.5</v>
      </c>
      <c r="T3092" s="5">
        <v>215.6</v>
      </c>
      <c r="V3092" s="5">
        <v>217.39</v>
      </c>
      <c r="Y3092" s="5">
        <v>171997</v>
      </c>
      <c r="Z3092" s="5">
        <v>37259198.189999998</v>
      </c>
      <c r="AA3092" s="5">
        <v>4164</v>
      </c>
      <c r="AB3092" s="5" t="s">
        <v>85</v>
      </c>
      <c r="AC3092" s="5">
        <v>1</v>
      </c>
    </row>
    <row r="3093" spans="1:29" x14ac:dyDescent="0.3">
      <c r="A3093" s="34">
        <v>46274</v>
      </c>
      <c r="B3093" s="34">
        <v>46274</v>
      </c>
      <c r="C3093" s="5" t="s">
        <v>78</v>
      </c>
      <c r="D3093" s="5" t="s">
        <v>79</v>
      </c>
      <c r="E3093" s="5" t="s">
        <v>80</v>
      </c>
      <c r="F3093" s="5">
        <v>25306</v>
      </c>
      <c r="G3093" s="5" t="s">
        <v>9379</v>
      </c>
      <c r="H3093" s="5" t="s">
        <v>9380</v>
      </c>
      <c r="I3093" s="5" t="s">
        <v>313</v>
      </c>
      <c r="N3093" s="5" t="s">
        <v>9381</v>
      </c>
      <c r="O3093" s="5">
        <v>11.5</v>
      </c>
      <c r="P3093" s="5">
        <v>11.5</v>
      </c>
      <c r="Q3093" s="5">
        <v>11.5</v>
      </c>
      <c r="R3093" s="5">
        <v>11.5</v>
      </c>
      <c r="S3093" s="5">
        <v>11.5</v>
      </c>
      <c r="T3093" s="5">
        <v>12.05</v>
      </c>
      <c r="V3093" s="5">
        <v>11.5</v>
      </c>
      <c r="Y3093" s="5">
        <v>2000</v>
      </c>
      <c r="Z3093" s="5">
        <v>23000</v>
      </c>
      <c r="AA3093" s="5">
        <v>1</v>
      </c>
      <c r="AB3093" s="5" t="s">
        <v>85</v>
      </c>
      <c r="AC3093" s="5">
        <v>2000</v>
      </c>
    </row>
    <row r="3094" spans="1:29" x14ac:dyDescent="0.3">
      <c r="A3094" s="34">
        <v>46274</v>
      </c>
      <c r="B3094" s="34">
        <v>46274</v>
      </c>
      <c r="C3094" s="5" t="s">
        <v>78</v>
      </c>
      <c r="D3094" s="5" t="s">
        <v>79</v>
      </c>
      <c r="E3094" s="5" t="s">
        <v>80</v>
      </c>
      <c r="F3094" s="5">
        <v>17186</v>
      </c>
      <c r="G3094" s="5" t="s">
        <v>9382</v>
      </c>
      <c r="H3094" s="5" t="s">
        <v>9383</v>
      </c>
      <c r="I3094" s="5" t="s">
        <v>212</v>
      </c>
      <c r="N3094" s="5" t="s">
        <v>9384</v>
      </c>
      <c r="O3094" s="5">
        <v>4438.2</v>
      </c>
      <c r="P3094" s="5">
        <v>4525</v>
      </c>
      <c r="Q3094" s="5">
        <v>4390</v>
      </c>
      <c r="R3094" s="5">
        <v>4500.8</v>
      </c>
      <c r="S3094" s="5">
        <v>4500</v>
      </c>
      <c r="T3094" s="5">
        <v>4438.2</v>
      </c>
      <c r="V3094" s="5">
        <v>4500.8100000000004</v>
      </c>
      <c r="Y3094" s="5">
        <v>101461</v>
      </c>
      <c r="Z3094" s="5">
        <v>455555836.89999998</v>
      </c>
      <c r="AA3094" s="5">
        <v>18510</v>
      </c>
      <c r="AB3094" s="5" t="s">
        <v>85</v>
      </c>
      <c r="AC3094" s="5">
        <v>1</v>
      </c>
    </row>
    <row r="3095" spans="1:29" x14ac:dyDescent="0.3">
      <c r="A3095" s="34">
        <v>46274</v>
      </c>
      <c r="B3095" s="34">
        <v>46274</v>
      </c>
      <c r="C3095" s="5" t="s">
        <v>78</v>
      </c>
      <c r="D3095" s="5" t="s">
        <v>79</v>
      </c>
      <c r="E3095" s="5" t="s">
        <v>80</v>
      </c>
      <c r="F3095" s="5">
        <v>757865</v>
      </c>
      <c r="G3095" s="5" t="s">
        <v>9385</v>
      </c>
      <c r="H3095" s="5" t="s">
        <v>9386</v>
      </c>
      <c r="I3095" s="5" t="s">
        <v>313</v>
      </c>
      <c r="N3095" s="5" t="s">
        <v>9387</v>
      </c>
      <c r="O3095" s="5">
        <v>102.5</v>
      </c>
      <c r="P3095" s="5">
        <v>103</v>
      </c>
      <c r="Q3095" s="5">
        <v>101</v>
      </c>
      <c r="R3095" s="5">
        <v>102.35</v>
      </c>
      <c r="S3095" s="5">
        <v>102</v>
      </c>
      <c r="T3095" s="5">
        <v>102.95</v>
      </c>
      <c r="V3095" s="5">
        <v>102.35</v>
      </c>
      <c r="Y3095" s="5">
        <v>30000</v>
      </c>
      <c r="Z3095" s="5">
        <v>3062520</v>
      </c>
      <c r="AA3095" s="5">
        <v>10</v>
      </c>
      <c r="AB3095" s="5" t="s">
        <v>85</v>
      </c>
      <c r="AC3095" s="5">
        <v>1200</v>
      </c>
    </row>
    <row r="3096" spans="1:29" x14ac:dyDescent="0.3">
      <c r="A3096" s="34">
        <v>46274</v>
      </c>
      <c r="B3096" s="34">
        <v>46274</v>
      </c>
      <c r="C3096" s="5" t="s">
        <v>78</v>
      </c>
      <c r="D3096" s="5" t="s">
        <v>79</v>
      </c>
      <c r="E3096" s="5" t="s">
        <v>80</v>
      </c>
      <c r="F3096" s="5">
        <v>14582</v>
      </c>
      <c r="G3096" s="5" t="s">
        <v>9388</v>
      </c>
      <c r="H3096" s="5" t="s">
        <v>9389</v>
      </c>
      <c r="I3096" s="5" t="s">
        <v>212</v>
      </c>
      <c r="N3096" s="5" t="s">
        <v>9390</v>
      </c>
      <c r="O3096" s="5">
        <v>528</v>
      </c>
      <c r="P3096" s="5">
        <v>537.5</v>
      </c>
      <c r="Q3096" s="5">
        <v>527.04999999999995</v>
      </c>
      <c r="R3096" s="5">
        <v>531.9</v>
      </c>
      <c r="S3096" s="5">
        <v>534.79999999999995</v>
      </c>
      <c r="T3096" s="5">
        <v>527.9</v>
      </c>
      <c r="V3096" s="5">
        <v>531.72</v>
      </c>
      <c r="Y3096" s="5">
        <v>14320</v>
      </c>
      <c r="Z3096" s="5">
        <v>7642141.4500000002</v>
      </c>
      <c r="AA3096" s="5">
        <v>994</v>
      </c>
      <c r="AB3096" s="5" t="s">
        <v>85</v>
      </c>
      <c r="AC3096" s="5">
        <v>1</v>
      </c>
    </row>
    <row r="3097" spans="1:29" x14ac:dyDescent="0.3">
      <c r="A3097" s="34">
        <v>46274</v>
      </c>
      <c r="B3097" s="34">
        <v>46274</v>
      </c>
      <c r="C3097" s="5" t="s">
        <v>78</v>
      </c>
      <c r="D3097" s="5" t="s">
        <v>79</v>
      </c>
      <c r="E3097" s="5" t="s">
        <v>80</v>
      </c>
      <c r="F3097" s="5">
        <v>31837</v>
      </c>
      <c r="G3097" s="5" t="s">
        <v>9391</v>
      </c>
      <c r="H3097" s="5" t="s">
        <v>9392</v>
      </c>
      <c r="I3097" s="5" t="s">
        <v>212</v>
      </c>
      <c r="N3097" s="5" t="s">
        <v>9393</v>
      </c>
      <c r="O3097" s="5">
        <v>288</v>
      </c>
      <c r="P3097" s="5">
        <v>345.01</v>
      </c>
      <c r="Q3097" s="5">
        <v>287.5</v>
      </c>
      <c r="R3097" s="5">
        <v>345.01</v>
      </c>
      <c r="S3097" s="5">
        <v>345.01</v>
      </c>
      <c r="T3097" s="5">
        <v>287.51</v>
      </c>
      <c r="V3097" s="5">
        <v>345.01</v>
      </c>
      <c r="Y3097" s="5">
        <v>635232</v>
      </c>
      <c r="Z3097" s="5">
        <v>213482651.71000001</v>
      </c>
      <c r="AA3097" s="5">
        <v>9370</v>
      </c>
      <c r="AB3097" s="5" t="s">
        <v>85</v>
      </c>
      <c r="AC3097" s="5">
        <v>1</v>
      </c>
    </row>
    <row r="3098" spans="1:29" x14ac:dyDescent="0.3">
      <c r="A3098" s="34">
        <v>46274</v>
      </c>
      <c r="B3098" s="34">
        <v>46274</v>
      </c>
      <c r="C3098" s="5" t="s">
        <v>78</v>
      </c>
      <c r="D3098" s="5" t="s">
        <v>79</v>
      </c>
      <c r="E3098" s="5" t="s">
        <v>80</v>
      </c>
      <c r="F3098" s="5">
        <v>3273</v>
      </c>
      <c r="G3098" s="5" t="s">
        <v>9394</v>
      </c>
      <c r="H3098" s="5" t="s">
        <v>9395</v>
      </c>
      <c r="I3098" s="5" t="s">
        <v>212</v>
      </c>
      <c r="N3098" s="5" t="s">
        <v>9396</v>
      </c>
      <c r="O3098" s="5">
        <v>2519.8000000000002</v>
      </c>
      <c r="P3098" s="5">
        <v>2532</v>
      </c>
      <c r="Q3098" s="5">
        <v>2509.6999999999998</v>
      </c>
      <c r="R3098" s="5">
        <v>2520</v>
      </c>
      <c r="S3098" s="5">
        <v>2520</v>
      </c>
      <c r="T3098" s="5">
        <v>2522</v>
      </c>
      <c r="V3098" s="5">
        <v>2519.9499999999998</v>
      </c>
      <c r="Y3098" s="5">
        <v>68501</v>
      </c>
      <c r="Z3098" s="5">
        <v>172664249.40000001</v>
      </c>
      <c r="AA3098" s="5">
        <v>12041</v>
      </c>
      <c r="AB3098" s="5" t="s">
        <v>85</v>
      </c>
      <c r="AC3098" s="5">
        <v>1</v>
      </c>
    </row>
    <row r="3099" spans="1:29" x14ac:dyDescent="0.3">
      <c r="A3099" s="34">
        <v>46274</v>
      </c>
      <c r="B3099" s="34">
        <v>46274</v>
      </c>
      <c r="C3099" s="5" t="s">
        <v>78</v>
      </c>
      <c r="D3099" s="5" t="s">
        <v>79</v>
      </c>
      <c r="E3099" s="5" t="s">
        <v>80</v>
      </c>
      <c r="F3099" s="5">
        <v>18119</v>
      </c>
      <c r="G3099" s="5" t="s">
        <v>9397</v>
      </c>
      <c r="H3099" s="5" t="s">
        <v>9398</v>
      </c>
      <c r="I3099" s="5" t="s">
        <v>212</v>
      </c>
      <c r="N3099" s="5" t="s">
        <v>9399</v>
      </c>
      <c r="O3099" s="5">
        <v>244.9</v>
      </c>
      <c r="P3099" s="5">
        <v>244.9</v>
      </c>
      <c r="Q3099" s="5">
        <v>233</v>
      </c>
      <c r="R3099" s="5">
        <v>243.75</v>
      </c>
      <c r="S3099" s="5">
        <v>240.5</v>
      </c>
      <c r="T3099" s="5">
        <v>236.65</v>
      </c>
      <c r="V3099" s="5">
        <v>243.75</v>
      </c>
      <c r="Y3099" s="5">
        <v>5845</v>
      </c>
      <c r="Z3099" s="5">
        <v>1395731.9</v>
      </c>
      <c r="AA3099" s="5">
        <v>117</v>
      </c>
      <c r="AB3099" s="5" t="s">
        <v>85</v>
      </c>
      <c r="AC3099" s="5">
        <v>1</v>
      </c>
    </row>
    <row r="3100" spans="1:29" x14ac:dyDescent="0.3">
      <c r="A3100" s="34">
        <v>46274</v>
      </c>
      <c r="B3100" s="34">
        <v>46274</v>
      </c>
      <c r="C3100" s="5" t="s">
        <v>78</v>
      </c>
      <c r="D3100" s="5" t="s">
        <v>79</v>
      </c>
      <c r="E3100" s="5" t="s">
        <v>80</v>
      </c>
      <c r="F3100" s="5">
        <v>7457</v>
      </c>
      <c r="G3100" s="5" t="s">
        <v>9400</v>
      </c>
      <c r="H3100" s="5" t="s">
        <v>9401</v>
      </c>
      <c r="I3100" s="5" t="s">
        <v>212</v>
      </c>
      <c r="N3100" s="5" t="s">
        <v>9402</v>
      </c>
      <c r="O3100" s="5">
        <v>1.35</v>
      </c>
      <c r="P3100" s="5">
        <v>1.36</v>
      </c>
      <c r="Q3100" s="5">
        <v>1.3</v>
      </c>
      <c r="R3100" s="5">
        <v>1.35</v>
      </c>
      <c r="S3100" s="5">
        <v>1.35</v>
      </c>
      <c r="T3100" s="5">
        <v>1.33</v>
      </c>
      <c r="V3100" s="5">
        <v>1.35</v>
      </c>
      <c r="Y3100" s="5">
        <v>18739</v>
      </c>
      <c r="Z3100" s="5">
        <v>25100.39</v>
      </c>
      <c r="AA3100" s="5">
        <v>65</v>
      </c>
      <c r="AB3100" s="5" t="s">
        <v>85</v>
      </c>
      <c r="AC3100" s="5">
        <v>1</v>
      </c>
    </row>
    <row r="3101" spans="1:29" x14ac:dyDescent="0.3">
      <c r="A3101" s="34">
        <v>46274</v>
      </c>
      <c r="B3101" s="34">
        <v>46274</v>
      </c>
      <c r="C3101" s="5" t="s">
        <v>78</v>
      </c>
      <c r="D3101" s="5" t="s">
        <v>79</v>
      </c>
      <c r="E3101" s="5" t="s">
        <v>80</v>
      </c>
      <c r="F3101" s="5">
        <v>765168</v>
      </c>
      <c r="G3101" s="5" t="s">
        <v>9403</v>
      </c>
      <c r="H3101" s="5" t="s">
        <v>9404</v>
      </c>
      <c r="I3101" s="5" t="s">
        <v>234</v>
      </c>
      <c r="N3101" s="5" t="s">
        <v>9405</v>
      </c>
      <c r="O3101" s="5">
        <v>33.97</v>
      </c>
      <c r="P3101" s="5">
        <v>33.97</v>
      </c>
      <c r="Q3101" s="5">
        <v>30.75</v>
      </c>
      <c r="R3101" s="5">
        <v>32.26</v>
      </c>
      <c r="S3101" s="5">
        <v>32.200000000000003</v>
      </c>
      <c r="T3101" s="5">
        <v>32.36</v>
      </c>
      <c r="V3101" s="5">
        <v>32.26</v>
      </c>
      <c r="Y3101" s="5">
        <v>10151</v>
      </c>
      <c r="Z3101" s="5">
        <v>321617.15000000002</v>
      </c>
      <c r="AA3101" s="5">
        <v>91</v>
      </c>
      <c r="AB3101" s="5" t="s">
        <v>85</v>
      </c>
      <c r="AC3101" s="5">
        <v>1</v>
      </c>
    </row>
    <row r="3102" spans="1:29" x14ac:dyDescent="0.3">
      <c r="A3102" s="34">
        <v>46274</v>
      </c>
      <c r="B3102" s="34">
        <v>46274</v>
      </c>
      <c r="C3102" s="5" t="s">
        <v>78</v>
      </c>
      <c r="D3102" s="5" t="s">
        <v>79</v>
      </c>
      <c r="E3102" s="5" t="s">
        <v>80</v>
      </c>
      <c r="F3102" s="5">
        <v>758147</v>
      </c>
      <c r="G3102" s="5" t="s">
        <v>9406</v>
      </c>
      <c r="H3102" s="5" t="s">
        <v>9407</v>
      </c>
      <c r="I3102" s="5" t="s">
        <v>234</v>
      </c>
      <c r="N3102" s="5" t="s">
        <v>9408</v>
      </c>
      <c r="O3102" s="5">
        <v>199.75</v>
      </c>
      <c r="P3102" s="5">
        <v>200.9</v>
      </c>
      <c r="Q3102" s="5">
        <v>193</v>
      </c>
      <c r="R3102" s="5">
        <v>197.99</v>
      </c>
      <c r="S3102" s="5">
        <v>199</v>
      </c>
      <c r="T3102" s="5">
        <v>198.81</v>
      </c>
      <c r="V3102" s="5">
        <v>197.97</v>
      </c>
      <c r="Y3102" s="5">
        <v>818087</v>
      </c>
      <c r="Z3102" s="5">
        <v>162399339.46000001</v>
      </c>
      <c r="AA3102" s="5">
        <v>3667</v>
      </c>
      <c r="AB3102" s="5" t="s">
        <v>85</v>
      </c>
      <c r="AC3102" s="5">
        <v>1</v>
      </c>
    </row>
    <row r="3103" spans="1:29" x14ac:dyDescent="0.3">
      <c r="A3103" s="34">
        <v>46274</v>
      </c>
      <c r="B3103" s="34">
        <v>46274</v>
      </c>
      <c r="C3103" s="5" t="s">
        <v>78</v>
      </c>
      <c r="D3103" s="5" t="s">
        <v>79</v>
      </c>
      <c r="E3103" s="5" t="s">
        <v>80</v>
      </c>
      <c r="F3103" s="5">
        <v>761393</v>
      </c>
      <c r="G3103" s="5" t="s">
        <v>9409</v>
      </c>
      <c r="H3103" s="5" t="s">
        <v>9410</v>
      </c>
      <c r="I3103" s="5" t="s">
        <v>313</v>
      </c>
      <c r="N3103" s="5" t="s">
        <v>9411</v>
      </c>
      <c r="O3103" s="5">
        <v>158.05000000000001</v>
      </c>
      <c r="P3103" s="5">
        <v>173</v>
      </c>
      <c r="Q3103" s="5">
        <v>155</v>
      </c>
      <c r="R3103" s="5">
        <v>155</v>
      </c>
      <c r="S3103" s="5">
        <v>155</v>
      </c>
      <c r="T3103" s="5">
        <v>150</v>
      </c>
      <c r="V3103" s="5">
        <v>155</v>
      </c>
      <c r="Y3103" s="5">
        <v>4800</v>
      </c>
      <c r="Z3103" s="5">
        <v>769320</v>
      </c>
      <c r="AA3103" s="5">
        <v>4</v>
      </c>
      <c r="AB3103" s="5" t="s">
        <v>85</v>
      </c>
      <c r="AC3103" s="5">
        <v>1200</v>
      </c>
    </row>
    <row r="3104" spans="1:29" x14ac:dyDescent="0.3">
      <c r="A3104" s="34">
        <v>46274</v>
      </c>
      <c r="B3104" s="34">
        <v>46274</v>
      </c>
      <c r="C3104" s="5" t="s">
        <v>78</v>
      </c>
      <c r="D3104" s="5" t="s">
        <v>79</v>
      </c>
      <c r="E3104" s="5" t="s">
        <v>80</v>
      </c>
      <c r="F3104" s="5">
        <v>18059</v>
      </c>
      <c r="G3104" s="5" t="s">
        <v>9412</v>
      </c>
      <c r="H3104" s="5" t="s">
        <v>9413</v>
      </c>
      <c r="I3104" s="5" t="s">
        <v>392</v>
      </c>
      <c r="N3104" s="5" t="s">
        <v>9414</v>
      </c>
      <c r="O3104" s="5">
        <v>275.2</v>
      </c>
      <c r="P3104" s="5">
        <v>288</v>
      </c>
      <c r="Q3104" s="5">
        <v>270</v>
      </c>
      <c r="R3104" s="5">
        <v>285.7</v>
      </c>
      <c r="S3104" s="5">
        <v>288</v>
      </c>
      <c r="T3104" s="5">
        <v>276</v>
      </c>
      <c r="V3104" s="5">
        <v>285.7</v>
      </c>
      <c r="Y3104" s="5">
        <v>13500</v>
      </c>
      <c r="Z3104" s="5">
        <v>3829625</v>
      </c>
      <c r="AA3104" s="5">
        <v>25</v>
      </c>
      <c r="AB3104" s="5" t="s">
        <v>85</v>
      </c>
      <c r="AC3104" s="5">
        <v>500</v>
      </c>
    </row>
    <row r="3105" spans="1:29" x14ac:dyDescent="0.3">
      <c r="A3105" s="34">
        <v>46274</v>
      </c>
      <c r="B3105" s="34">
        <v>46274</v>
      </c>
      <c r="C3105" s="5" t="s">
        <v>78</v>
      </c>
      <c r="D3105" s="5" t="s">
        <v>79</v>
      </c>
      <c r="E3105" s="5" t="s">
        <v>80</v>
      </c>
      <c r="F3105" s="5">
        <v>14416</v>
      </c>
      <c r="G3105" s="5" t="s">
        <v>9415</v>
      </c>
      <c r="H3105" s="5" t="s">
        <v>9416</v>
      </c>
      <c r="I3105" s="5" t="s">
        <v>392</v>
      </c>
      <c r="N3105" s="5" t="s">
        <v>9417</v>
      </c>
      <c r="O3105" s="5">
        <v>74.05</v>
      </c>
      <c r="P3105" s="5">
        <v>75.95</v>
      </c>
      <c r="Q3105" s="5">
        <v>74.05</v>
      </c>
      <c r="R3105" s="5">
        <v>75.95</v>
      </c>
      <c r="S3105" s="5">
        <v>75.95</v>
      </c>
      <c r="T3105" s="5">
        <v>76</v>
      </c>
      <c r="V3105" s="5">
        <v>75.95</v>
      </c>
      <c r="Y3105" s="5">
        <v>5000</v>
      </c>
      <c r="Z3105" s="5">
        <v>373050</v>
      </c>
      <c r="AA3105" s="5">
        <v>5</v>
      </c>
      <c r="AB3105" s="5" t="s">
        <v>85</v>
      </c>
      <c r="AC3105" s="5">
        <v>1000</v>
      </c>
    </row>
    <row r="3106" spans="1:29" x14ac:dyDescent="0.3">
      <c r="A3106" s="34">
        <v>46274</v>
      </c>
      <c r="B3106" s="34">
        <v>46274</v>
      </c>
      <c r="C3106" s="5" t="s">
        <v>78</v>
      </c>
      <c r="D3106" s="5" t="s">
        <v>79</v>
      </c>
      <c r="E3106" s="5" t="s">
        <v>80</v>
      </c>
      <c r="F3106" s="5">
        <v>23402</v>
      </c>
      <c r="G3106" s="5" t="s">
        <v>9418</v>
      </c>
      <c r="H3106" s="5" t="s">
        <v>9419</v>
      </c>
      <c r="I3106" s="5" t="s">
        <v>212</v>
      </c>
      <c r="N3106" s="5" t="s">
        <v>9420</v>
      </c>
      <c r="O3106" s="5">
        <v>462.9</v>
      </c>
      <c r="P3106" s="5">
        <v>462.9</v>
      </c>
      <c r="Q3106" s="5">
        <v>450</v>
      </c>
      <c r="R3106" s="5">
        <v>452.85</v>
      </c>
      <c r="S3106" s="5">
        <v>453</v>
      </c>
      <c r="T3106" s="5">
        <v>461.05</v>
      </c>
      <c r="V3106" s="5">
        <v>452.84</v>
      </c>
      <c r="Y3106" s="5">
        <v>43801</v>
      </c>
      <c r="Z3106" s="5">
        <v>19889044.050000001</v>
      </c>
      <c r="AA3106" s="5">
        <v>1917</v>
      </c>
      <c r="AB3106" s="5" t="s">
        <v>85</v>
      </c>
      <c r="AC3106" s="5">
        <v>1</v>
      </c>
    </row>
    <row r="3107" spans="1:29" x14ac:dyDescent="0.3">
      <c r="A3107" s="34">
        <v>46274</v>
      </c>
      <c r="B3107" s="34">
        <v>46274</v>
      </c>
      <c r="C3107" s="5" t="s">
        <v>78</v>
      </c>
      <c r="D3107" s="5" t="s">
        <v>79</v>
      </c>
      <c r="E3107" s="5" t="s">
        <v>80</v>
      </c>
      <c r="F3107" s="5">
        <v>29205</v>
      </c>
      <c r="G3107" s="5" t="s">
        <v>9421</v>
      </c>
      <c r="H3107" s="5" t="s">
        <v>9422</v>
      </c>
      <c r="I3107" s="5" t="s">
        <v>234</v>
      </c>
      <c r="N3107" s="5" t="s">
        <v>9423</v>
      </c>
      <c r="O3107" s="5">
        <v>218.7</v>
      </c>
      <c r="P3107" s="5">
        <v>223.4</v>
      </c>
      <c r="Q3107" s="5">
        <v>215.1</v>
      </c>
      <c r="R3107" s="5">
        <v>223.4</v>
      </c>
      <c r="S3107" s="5">
        <v>223.4</v>
      </c>
      <c r="T3107" s="5">
        <v>212.77</v>
      </c>
      <c r="V3107" s="5">
        <v>223.4</v>
      </c>
      <c r="Y3107" s="5">
        <v>201491</v>
      </c>
      <c r="Z3107" s="5">
        <v>44820808.310000002</v>
      </c>
      <c r="AA3107" s="5">
        <v>1301</v>
      </c>
      <c r="AB3107" s="5" t="s">
        <v>85</v>
      </c>
      <c r="AC3107" s="5">
        <v>1</v>
      </c>
    </row>
    <row r="3108" spans="1:29" x14ac:dyDescent="0.3">
      <c r="A3108" s="34">
        <v>46274</v>
      </c>
      <c r="B3108" s="34">
        <v>46274</v>
      </c>
      <c r="C3108" s="5" t="s">
        <v>78</v>
      </c>
      <c r="D3108" s="5" t="s">
        <v>79</v>
      </c>
      <c r="E3108" s="5" t="s">
        <v>80</v>
      </c>
      <c r="F3108" s="5">
        <v>29075</v>
      </c>
      <c r="G3108" s="5" t="s">
        <v>9424</v>
      </c>
      <c r="H3108" s="5" t="s">
        <v>9425</v>
      </c>
      <c r="I3108" s="5" t="s">
        <v>212</v>
      </c>
      <c r="N3108" s="5" t="s">
        <v>9426</v>
      </c>
      <c r="O3108" s="5">
        <v>402</v>
      </c>
      <c r="P3108" s="5">
        <v>424.7</v>
      </c>
      <c r="Q3108" s="5">
        <v>401.4</v>
      </c>
      <c r="R3108" s="5">
        <v>424.7</v>
      </c>
      <c r="S3108" s="5">
        <v>424.7</v>
      </c>
      <c r="T3108" s="5">
        <v>404.5</v>
      </c>
      <c r="V3108" s="5">
        <v>424.7</v>
      </c>
      <c r="Y3108" s="5">
        <v>1743094</v>
      </c>
      <c r="Z3108" s="5">
        <v>732716345.29999995</v>
      </c>
      <c r="AA3108" s="5">
        <v>13607</v>
      </c>
      <c r="AB3108" s="5" t="s">
        <v>85</v>
      </c>
      <c r="AC3108" s="5">
        <v>1</v>
      </c>
    </row>
    <row r="3109" spans="1:29" x14ac:dyDescent="0.3">
      <c r="A3109" s="34">
        <v>46274</v>
      </c>
      <c r="B3109" s="34">
        <v>46274</v>
      </c>
      <c r="C3109" s="5" t="s">
        <v>78</v>
      </c>
      <c r="D3109" s="5" t="s">
        <v>79</v>
      </c>
      <c r="E3109" s="5" t="s">
        <v>80</v>
      </c>
      <c r="F3109" s="5">
        <v>11297</v>
      </c>
      <c r="G3109" s="5" t="s">
        <v>9427</v>
      </c>
      <c r="H3109" s="5" t="s">
        <v>9428</v>
      </c>
      <c r="I3109" s="5" t="s">
        <v>212</v>
      </c>
      <c r="N3109" s="5" t="s">
        <v>9429</v>
      </c>
      <c r="O3109" s="5">
        <v>19.190000000000001</v>
      </c>
      <c r="P3109" s="5">
        <v>19.29</v>
      </c>
      <c r="Q3109" s="5">
        <v>18.260000000000002</v>
      </c>
      <c r="R3109" s="5">
        <v>18.350000000000001</v>
      </c>
      <c r="S3109" s="5">
        <v>18.45</v>
      </c>
      <c r="T3109" s="5">
        <v>19.100000000000001</v>
      </c>
      <c r="V3109" s="5">
        <v>18.350000000000001</v>
      </c>
      <c r="Y3109" s="5">
        <v>75317</v>
      </c>
      <c r="Z3109" s="5">
        <v>1398278.74</v>
      </c>
      <c r="AA3109" s="5">
        <v>480</v>
      </c>
      <c r="AB3109" s="5" t="s">
        <v>85</v>
      </c>
      <c r="AC3109" s="5">
        <v>1</v>
      </c>
    </row>
    <row r="3110" spans="1:29" x14ac:dyDescent="0.3">
      <c r="A3110" s="34">
        <v>46274</v>
      </c>
      <c r="B3110" s="34">
        <v>46274</v>
      </c>
      <c r="C3110" s="5" t="s">
        <v>78</v>
      </c>
      <c r="D3110" s="5" t="s">
        <v>79</v>
      </c>
      <c r="E3110" s="5" t="s">
        <v>80</v>
      </c>
      <c r="F3110" s="5">
        <v>24226</v>
      </c>
      <c r="G3110" s="5" t="s">
        <v>9430</v>
      </c>
      <c r="H3110" s="5" t="s">
        <v>9431</v>
      </c>
      <c r="I3110" s="5" t="s">
        <v>212</v>
      </c>
      <c r="N3110" s="5" t="s">
        <v>9432</v>
      </c>
      <c r="O3110" s="5">
        <v>139.25</v>
      </c>
      <c r="P3110" s="5">
        <v>140.5</v>
      </c>
      <c r="Q3110" s="5">
        <v>137.01</v>
      </c>
      <c r="R3110" s="5">
        <v>138.41</v>
      </c>
      <c r="S3110" s="5">
        <v>137.01</v>
      </c>
      <c r="T3110" s="5">
        <v>138.59</v>
      </c>
      <c r="V3110" s="5">
        <v>138.41</v>
      </c>
      <c r="Y3110" s="5">
        <v>74144</v>
      </c>
      <c r="Z3110" s="5">
        <v>10273644.960000001</v>
      </c>
      <c r="AA3110" s="5">
        <v>1643</v>
      </c>
      <c r="AB3110" s="5" t="s">
        <v>85</v>
      </c>
      <c r="AC3110" s="5">
        <v>1</v>
      </c>
    </row>
    <row r="3111" spans="1:29" x14ac:dyDescent="0.3">
      <c r="A3111" s="34">
        <v>46274</v>
      </c>
      <c r="B3111" s="34">
        <v>46274</v>
      </c>
      <c r="C3111" s="5" t="s">
        <v>78</v>
      </c>
      <c r="D3111" s="5" t="s">
        <v>79</v>
      </c>
      <c r="E3111" s="5" t="s">
        <v>80</v>
      </c>
      <c r="F3111" s="5">
        <v>21091</v>
      </c>
      <c r="G3111" s="5" t="s">
        <v>9433</v>
      </c>
      <c r="H3111" s="5" t="s">
        <v>9434</v>
      </c>
      <c r="I3111" s="5" t="s">
        <v>212</v>
      </c>
      <c r="N3111" s="5" t="s">
        <v>9435</v>
      </c>
      <c r="O3111" s="5">
        <v>194.94</v>
      </c>
      <c r="P3111" s="5">
        <v>194.94</v>
      </c>
      <c r="Q3111" s="5">
        <v>190.4</v>
      </c>
      <c r="R3111" s="5">
        <v>192.32</v>
      </c>
      <c r="S3111" s="5">
        <v>192.25</v>
      </c>
      <c r="T3111" s="5">
        <v>194.83</v>
      </c>
      <c r="V3111" s="5">
        <v>191.7</v>
      </c>
      <c r="Y3111" s="5">
        <v>260534</v>
      </c>
      <c r="Z3111" s="5">
        <v>50087644.240000002</v>
      </c>
      <c r="AA3111" s="5">
        <v>4815</v>
      </c>
      <c r="AB3111" s="5" t="s">
        <v>85</v>
      </c>
      <c r="AC3111" s="5">
        <v>1</v>
      </c>
    </row>
    <row r="3112" spans="1:29" x14ac:dyDescent="0.3">
      <c r="A3112" s="34">
        <v>46274</v>
      </c>
      <c r="B3112" s="34">
        <v>46274</v>
      </c>
      <c r="C3112" s="5" t="s">
        <v>78</v>
      </c>
      <c r="D3112" s="5" t="s">
        <v>79</v>
      </c>
      <c r="E3112" s="5" t="s">
        <v>80</v>
      </c>
      <c r="F3112" s="5">
        <v>7083</v>
      </c>
      <c r="G3112" s="5" t="s">
        <v>9436</v>
      </c>
      <c r="H3112" s="5" t="s">
        <v>9437</v>
      </c>
      <c r="I3112" s="5" t="s">
        <v>212</v>
      </c>
      <c r="N3112" s="5" t="s">
        <v>9438</v>
      </c>
      <c r="O3112" s="5">
        <v>576.5</v>
      </c>
      <c r="P3112" s="5">
        <v>576.5</v>
      </c>
      <c r="Q3112" s="5">
        <v>561.75</v>
      </c>
      <c r="R3112" s="5">
        <v>571.95000000000005</v>
      </c>
      <c r="S3112" s="5">
        <v>573.95000000000005</v>
      </c>
      <c r="T3112" s="5">
        <v>572.1</v>
      </c>
      <c r="V3112" s="5">
        <v>571.92999999999995</v>
      </c>
      <c r="Y3112" s="5">
        <v>289071</v>
      </c>
      <c r="Z3112" s="5">
        <v>164820769.30000001</v>
      </c>
      <c r="AA3112" s="5">
        <v>21643</v>
      </c>
      <c r="AB3112" s="5" t="s">
        <v>85</v>
      </c>
      <c r="AC3112" s="5">
        <v>1</v>
      </c>
    </row>
    <row r="3113" spans="1:29" x14ac:dyDescent="0.3">
      <c r="A3113" s="34">
        <v>46274</v>
      </c>
      <c r="B3113" s="34">
        <v>46274</v>
      </c>
      <c r="C3113" s="5" t="s">
        <v>78</v>
      </c>
      <c r="D3113" s="5" t="s">
        <v>79</v>
      </c>
      <c r="E3113" s="5" t="s">
        <v>80</v>
      </c>
      <c r="F3113" s="5">
        <v>3291</v>
      </c>
      <c r="G3113" s="5" t="s">
        <v>9439</v>
      </c>
      <c r="H3113" s="5" t="s">
        <v>9440</v>
      </c>
      <c r="I3113" s="5" t="s">
        <v>212</v>
      </c>
      <c r="N3113" s="5" t="s">
        <v>9441</v>
      </c>
      <c r="O3113" s="5">
        <v>161.5</v>
      </c>
      <c r="P3113" s="5">
        <v>163</v>
      </c>
      <c r="Q3113" s="5">
        <v>157.5</v>
      </c>
      <c r="R3113" s="5">
        <v>159.16999999999999</v>
      </c>
      <c r="S3113" s="5">
        <v>158.55000000000001</v>
      </c>
      <c r="T3113" s="5">
        <v>159.33000000000001</v>
      </c>
      <c r="V3113" s="5">
        <v>159.54</v>
      </c>
      <c r="Y3113" s="5">
        <v>8830</v>
      </c>
      <c r="Z3113" s="5">
        <v>1416261.58</v>
      </c>
      <c r="AA3113" s="5">
        <v>188</v>
      </c>
      <c r="AB3113" s="5" t="s">
        <v>85</v>
      </c>
      <c r="AC3113" s="5">
        <v>1</v>
      </c>
    </row>
    <row r="3114" spans="1:29" x14ac:dyDescent="0.3">
      <c r="A3114" s="34">
        <v>46274</v>
      </c>
      <c r="B3114" s="34">
        <v>46274</v>
      </c>
      <c r="C3114" s="5" t="s">
        <v>78</v>
      </c>
      <c r="D3114" s="5" t="s">
        <v>79</v>
      </c>
      <c r="E3114" s="5" t="s">
        <v>80</v>
      </c>
      <c r="F3114" s="5">
        <v>9305</v>
      </c>
      <c r="G3114" s="5" t="s">
        <v>9442</v>
      </c>
      <c r="H3114" s="5" t="s">
        <v>9443</v>
      </c>
      <c r="I3114" s="5" t="s">
        <v>212</v>
      </c>
      <c r="N3114" s="5" t="s">
        <v>9444</v>
      </c>
      <c r="O3114" s="5">
        <v>249.95</v>
      </c>
      <c r="P3114" s="5">
        <v>250.15</v>
      </c>
      <c r="Q3114" s="5">
        <v>243.1</v>
      </c>
      <c r="R3114" s="5">
        <v>246.15</v>
      </c>
      <c r="S3114" s="5">
        <v>246.1</v>
      </c>
      <c r="T3114" s="5">
        <v>246.9</v>
      </c>
      <c r="V3114" s="5">
        <v>245.85</v>
      </c>
      <c r="Y3114" s="5">
        <v>142</v>
      </c>
      <c r="Z3114" s="5">
        <v>35117.4</v>
      </c>
      <c r="AA3114" s="5">
        <v>50</v>
      </c>
      <c r="AB3114" s="5" t="s">
        <v>85</v>
      </c>
      <c r="AC3114" s="5">
        <v>1</v>
      </c>
    </row>
    <row r="3115" spans="1:29" x14ac:dyDescent="0.3">
      <c r="A3115" s="34">
        <v>46274</v>
      </c>
      <c r="B3115" s="34">
        <v>46274</v>
      </c>
      <c r="C3115" s="5" t="s">
        <v>78</v>
      </c>
      <c r="D3115" s="5" t="s">
        <v>79</v>
      </c>
      <c r="E3115" s="5" t="s">
        <v>80</v>
      </c>
      <c r="F3115" s="5">
        <v>3045</v>
      </c>
      <c r="G3115" s="5" t="s">
        <v>9445</v>
      </c>
      <c r="H3115" s="5" t="s">
        <v>9446</v>
      </c>
      <c r="I3115" s="5" t="s">
        <v>212</v>
      </c>
      <c r="N3115" s="5" t="s">
        <v>9447</v>
      </c>
      <c r="O3115" s="5">
        <v>999</v>
      </c>
      <c r="P3115" s="5">
        <v>1012.2</v>
      </c>
      <c r="Q3115" s="5">
        <v>992.4</v>
      </c>
      <c r="R3115" s="5">
        <v>1000.5</v>
      </c>
      <c r="S3115" s="5">
        <v>1000.5</v>
      </c>
      <c r="T3115" s="5">
        <v>1008</v>
      </c>
      <c r="V3115" s="5">
        <v>1000.52</v>
      </c>
      <c r="Y3115" s="5">
        <v>7091386</v>
      </c>
      <c r="Z3115" s="5">
        <v>7126396235</v>
      </c>
      <c r="AA3115" s="5">
        <v>168692</v>
      </c>
      <c r="AB3115" s="5" t="s">
        <v>85</v>
      </c>
      <c r="AC3115" s="5">
        <v>1</v>
      </c>
    </row>
    <row r="3116" spans="1:29" x14ac:dyDescent="0.3">
      <c r="A3116" s="34">
        <v>46274</v>
      </c>
      <c r="B3116" s="34">
        <v>46274</v>
      </c>
      <c r="C3116" s="5" t="s">
        <v>78</v>
      </c>
      <c r="D3116" s="5" t="s">
        <v>79</v>
      </c>
      <c r="E3116" s="5" t="s">
        <v>80</v>
      </c>
      <c r="F3116" s="5">
        <v>2963</v>
      </c>
      <c r="G3116" s="5" t="s">
        <v>9448</v>
      </c>
      <c r="H3116" s="5" t="s">
        <v>9449</v>
      </c>
      <c r="I3116" s="5" t="s">
        <v>212</v>
      </c>
      <c r="N3116" s="5" t="s">
        <v>9450</v>
      </c>
      <c r="O3116" s="5">
        <v>185.98</v>
      </c>
      <c r="P3116" s="5">
        <v>189.4</v>
      </c>
      <c r="Q3116" s="5">
        <v>185.36</v>
      </c>
      <c r="R3116" s="5">
        <v>186.4</v>
      </c>
      <c r="S3116" s="5">
        <v>186.4</v>
      </c>
      <c r="T3116" s="5">
        <v>186.1</v>
      </c>
      <c r="V3116" s="5">
        <v>186.39</v>
      </c>
      <c r="Y3116" s="5">
        <v>13768193</v>
      </c>
      <c r="Z3116" s="5">
        <v>2581198517.4899998</v>
      </c>
      <c r="AA3116" s="5">
        <v>69347</v>
      </c>
      <c r="AB3116" s="5" t="s">
        <v>85</v>
      </c>
      <c r="AC3116" s="5">
        <v>1</v>
      </c>
    </row>
    <row r="3117" spans="1:29" x14ac:dyDescent="0.3">
      <c r="A3117" s="34">
        <v>46274</v>
      </c>
      <c r="B3117" s="34">
        <v>46274</v>
      </c>
      <c r="C3117" s="5" t="s">
        <v>78</v>
      </c>
      <c r="D3117" s="5" t="s">
        <v>79</v>
      </c>
      <c r="E3117" s="5" t="s">
        <v>80</v>
      </c>
      <c r="F3117" s="5">
        <v>10406</v>
      </c>
      <c r="G3117" s="5" t="s">
        <v>9451</v>
      </c>
      <c r="H3117" s="5" t="s">
        <v>9452</v>
      </c>
      <c r="I3117" s="5" t="s">
        <v>212</v>
      </c>
      <c r="N3117" s="5" t="s">
        <v>9453</v>
      </c>
      <c r="O3117" s="5">
        <v>83.4</v>
      </c>
      <c r="P3117" s="5">
        <v>84.29</v>
      </c>
      <c r="Q3117" s="5">
        <v>82.5</v>
      </c>
      <c r="R3117" s="5">
        <v>84.07</v>
      </c>
      <c r="S3117" s="5">
        <v>83.8</v>
      </c>
      <c r="T3117" s="5">
        <v>83.22</v>
      </c>
      <c r="V3117" s="5">
        <v>84.07</v>
      </c>
      <c r="Y3117" s="5">
        <v>5821</v>
      </c>
      <c r="Z3117" s="5">
        <v>483812.56</v>
      </c>
      <c r="AA3117" s="5">
        <v>108</v>
      </c>
      <c r="AB3117" s="5" t="s">
        <v>85</v>
      </c>
      <c r="AC3117" s="5">
        <v>1</v>
      </c>
    </row>
    <row r="3118" spans="1:29" x14ac:dyDescent="0.3">
      <c r="A3118" s="34">
        <v>46274</v>
      </c>
      <c r="B3118" s="34">
        <v>46274</v>
      </c>
      <c r="C3118" s="5" t="s">
        <v>78</v>
      </c>
      <c r="D3118" s="5" t="s">
        <v>79</v>
      </c>
      <c r="E3118" s="5" t="s">
        <v>80</v>
      </c>
      <c r="F3118" s="5">
        <v>21339</v>
      </c>
      <c r="G3118" s="5" t="s">
        <v>9454</v>
      </c>
      <c r="H3118" s="5" t="s">
        <v>9455</v>
      </c>
      <c r="I3118" s="5" t="s">
        <v>212</v>
      </c>
      <c r="N3118" s="5" t="s">
        <v>9456</v>
      </c>
      <c r="O3118" s="5">
        <v>11.61</v>
      </c>
      <c r="P3118" s="5">
        <v>12.89</v>
      </c>
      <c r="Q3118" s="5">
        <v>11.47</v>
      </c>
      <c r="R3118" s="5">
        <v>12</v>
      </c>
      <c r="S3118" s="5">
        <v>12.04</v>
      </c>
      <c r="T3118" s="5">
        <v>11.53</v>
      </c>
      <c r="V3118" s="5">
        <v>12</v>
      </c>
      <c r="Y3118" s="5">
        <v>57173683</v>
      </c>
      <c r="Z3118" s="5">
        <v>704610227.52999997</v>
      </c>
      <c r="AA3118" s="5">
        <v>157953</v>
      </c>
      <c r="AB3118" s="5" t="s">
        <v>85</v>
      </c>
      <c r="AC3118" s="5">
        <v>1</v>
      </c>
    </row>
    <row r="3119" spans="1:29" x14ac:dyDescent="0.3">
      <c r="A3119" s="34">
        <v>46274</v>
      </c>
      <c r="B3119" s="34">
        <v>46274</v>
      </c>
      <c r="C3119" s="5" t="s">
        <v>78</v>
      </c>
      <c r="D3119" s="5" t="s">
        <v>79</v>
      </c>
      <c r="E3119" s="5" t="s">
        <v>80</v>
      </c>
      <c r="F3119" s="5">
        <v>765170</v>
      </c>
      <c r="G3119" s="5" t="s">
        <v>9457</v>
      </c>
      <c r="H3119" s="5" t="s">
        <v>9458</v>
      </c>
      <c r="I3119" s="5" t="s">
        <v>212</v>
      </c>
      <c r="N3119" s="5" t="s">
        <v>9459</v>
      </c>
      <c r="O3119" s="5">
        <v>18.2</v>
      </c>
      <c r="P3119" s="5">
        <v>19.5</v>
      </c>
      <c r="Q3119" s="5">
        <v>18.2</v>
      </c>
      <c r="R3119" s="5">
        <v>18.64</v>
      </c>
      <c r="S3119" s="5">
        <v>18.96</v>
      </c>
      <c r="T3119" s="5">
        <v>18.11</v>
      </c>
      <c r="V3119" s="5">
        <v>18.64</v>
      </c>
      <c r="Y3119" s="5">
        <v>1642</v>
      </c>
      <c r="Z3119" s="5">
        <v>30422.84</v>
      </c>
      <c r="AA3119" s="5">
        <v>47</v>
      </c>
      <c r="AB3119" s="5" t="s">
        <v>85</v>
      </c>
      <c r="AC3119" s="5">
        <v>1</v>
      </c>
    </row>
    <row r="3120" spans="1:29" x14ac:dyDescent="0.3">
      <c r="A3120" s="34">
        <v>46274</v>
      </c>
      <c r="B3120" s="34">
        <v>46274</v>
      </c>
      <c r="C3120" s="5" t="s">
        <v>78</v>
      </c>
      <c r="D3120" s="5" t="s">
        <v>79</v>
      </c>
      <c r="E3120" s="5" t="s">
        <v>80</v>
      </c>
      <c r="F3120" s="5">
        <v>11829</v>
      </c>
      <c r="G3120" s="5" t="s">
        <v>9460</v>
      </c>
      <c r="H3120" s="5" t="s">
        <v>9461</v>
      </c>
      <c r="I3120" s="5" t="s">
        <v>212</v>
      </c>
      <c r="N3120" s="5" t="s">
        <v>9462</v>
      </c>
      <c r="O3120" s="5">
        <v>374.95</v>
      </c>
      <c r="P3120" s="5">
        <v>379.05</v>
      </c>
      <c r="Q3120" s="5">
        <v>369.15</v>
      </c>
      <c r="R3120" s="5">
        <v>371.45</v>
      </c>
      <c r="S3120" s="5">
        <v>370.7</v>
      </c>
      <c r="T3120" s="5">
        <v>373.1</v>
      </c>
      <c r="V3120" s="5">
        <v>371.44</v>
      </c>
      <c r="Y3120" s="5">
        <v>676147</v>
      </c>
      <c r="Z3120" s="5">
        <v>252145591.15000001</v>
      </c>
      <c r="AA3120" s="5">
        <v>18255</v>
      </c>
      <c r="AB3120" s="5" t="s">
        <v>85</v>
      </c>
      <c r="AC3120" s="5">
        <v>1</v>
      </c>
    </row>
    <row r="3121" spans="1:29" x14ac:dyDescent="0.3">
      <c r="A3121" s="34">
        <v>46274</v>
      </c>
      <c r="B3121" s="34">
        <v>46274</v>
      </c>
      <c r="C3121" s="5" t="s">
        <v>78</v>
      </c>
      <c r="D3121" s="5" t="s">
        <v>79</v>
      </c>
      <c r="E3121" s="5" t="s">
        <v>80</v>
      </c>
      <c r="F3121" s="5">
        <v>6803</v>
      </c>
      <c r="G3121" s="5" t="s">
        <v>9463</v>
      </c>
      <c r="H3121" s="5" t="s">
        <v>9464</v>
      </c>
      <c r="I3121" s="5" t="s">
        <v>212</v>
      </c>
      <c r="N3121" s="5" t="s">
        <v>9465</v>
      </c>
      <c r="O3121" s="5">
        <v>333.8</v>
      </c>
      <c r="P3121" s="5">
        <v>336.2</v>
      </c>
      <c r="Q3121" s="5">
        <v>320.35000000000002</v>
      </c>
      <c r="R3121" s="5">
        <v>324.8</v>
      </c>
      <c r="S3121" s="5">
        <v>321.3</v>
      </c>
      <c r="T3121" s="5">
        <v>331.6</v>
      </c>
      <c r="V3121" s="5">
        <v>324.82</v>
      </c>
      <c r="Y3121" s="5">
        <v>78377</v>
      </c>
      <c r="Z3121" s="5">
        <v>25715352.100000001</v>
      </c>
      <c r="AA3121" s="5">
        <v>3030</v>
      </c>
      <c r="AB3121" s="5" t="s">
        <v>85</v>
      </c>
      <c r="AC3121" s="5">
        <v>1</v>
      </c>
    </row>
    <row r="3122" spans="1:29" x14ac:dyDescent="0.3">
      <c r="A3122" s="34">
        <v>46274</v>
      </c>
      <c r="B3122" s="34">
        <v>46274</v>
      </c>
      <c r="C3122" s="5" t="s">
        <v>78</v>
      </c>
      <c r="D3122" s="5" t="s">
        <v>79</v>
      </c>
      <c r="E3122" s="5" t="s">
        <v>80</v>
      </c>
      <c r="F3122" s="5">
        <v>21484</v>
      </c>
      <c r="G3122" s="5" t="s">
        <v>9466</v>
      </c>
      <c r="H3122" s="5" t="s">
        <v>9467</v>
      </c>
      <c r="I3122" s="5" t="s">
        <v>212</v>
      </c>
      <c r="N3122" s="5" t="s">
        <v>9468</v>
      </c>
      <c r="O3122" s="5">
        <v>605.15</v>
      </c>
      <c r="P3122" s="5">
        <v>607.6</v>
      </c>
      <c r="Q3122" s="5">
        <v>577.6</v>
      </c>
      <c r="R3122" s="5">
        <v>590</v>
      </c>
      <c r="S3122" s="5">
        <v>590</v>
      </c>
      <c r="T3122" s="5">
        <v>601.4</v>
      </c>
      <c r="V3122" s="5">
        <v>590</v>
      </c>
      <c r="Y3122" s="5">
        <v>4063</v>
      </c>
      <c r="Z3122" s="5">
        <v>2395925.1</v>
      </c>
      <c r="AA3122" s="5">
        <v>444</v>
      </c>
      <c r="AB3122" s="5" t="s">
        <v>85</v>
      </c>
      <c r="AC3122" s="5">
        <v>1</v>
      </c>
    </row>
    <row r="3123" spans="1:29" x14ac:dyDescent="0.3">
      <c r="A3123" s="34">
        <v>46274</v>
      </c>
      <c r="B3123" s="34">
        <v>46274</v>
      </c>
      <c r="C3123" s="5" t="s">
        <v>78</v>
      </c>
      <c r="D3123" s="5" t="s">
        <v>79</v>
      </c>
      <c r="E3123" s="5" t="s">
        <v>80</v>
      </c>
      <c r="F3123" s="5">
        <v>6188</v>
      </c>
      <c r="G3123" s="5" t="s">
        <v>9469</v>
      </c>
      <c r="H3123" s="5" t="s">
        <v>9470</v>
      </c>
      <c r="I3123" s="5" t="s">
        <v>234</v>
      </c>
      <c r="N3123" s="5" t="s">
        <v>9471</v>
      </c>
      <c r="O3123" s="5">
        <v>218</v>
      </c>
      <c r="P3123" s="5">
        <v>219</v>
      </c>
      <c r="Q3123" s="5">
        <v>215</v>
      </c>
      <c r="R3123" s="5">
        <v>217.42</v>
      </c>
      <c r="S3123" s="5">
        <v>219</v>
      </c>
      <c r="T3123" s="5">
        <v>218.68</v>
      </c>
      <c r="V3123" s="5">
        <v>217.35</v>
      </c>
      <c r="Y3123" s="5">
        <v>11117</v>
      </c>
      <c r="Z3123" s="5">
        <v>2408634.71</v>
      </c>
      <c r="AA3123" s="5">
        <v>275</v>
      </c>
      <c r="AB3123" s="5" t="s">
        <v>85</v>
      </c>
      <c r="AC3123" s="5">
        <v>1</v>
      </c>
    </row>
    <row r="3124" spans="1:29" x14ac:dyDescent="0.3">
      <c r="A3124" s="34">
        <v>46274</v>
      </c>
      <c r="B3124" s="34">
        <v>46274</v>
      </c>
      <c r="C3124" s="5" t="s">
        <v>78</v>
      </c>
      <c r="D3124" s="5" t="s">
        <v>79</v>
      </c>
      <c r="E3124" s="5" t="s">
        <v>80</v>
      </c>
      <c r="F3124" s="5">
        <v>9313</v>
      </c>
      <c r="G3124" s="5" t="s">
        <v>9472</v>
      </c>
      <c r="H3124" s="5" t="s">
        <v>9473</v>
      </c>
      <c r="I3124" s="5" t="s">
        <v>234</v>
      </c>
      <c r="N3124" s="5" t="s">
        <v>9474</v>
      </c>
      <c r="O3124" s="5">
        <v>815</v>
      </c>
      <c r="P3124" s="5">
        <v>865.9</v>
      </c>
      <c r="Q3124" s="5">
        <v>796.05</v>
      </c>
      <c r="R3124" s="5">
        <v>865.9</v>
      </c>
      <c r="S3124" s="5">
        <v>865.9</v>
      </c>
      <c r="T3124" s="5">
        <v>824.7</v>
      </c>
      <c r="V3124" s="5">
        <v>866.68</v>
      </c>
      <c r="Y3124" s="5">
        <v>4381757</v>
      </c>
      <c r="Z3124" s="5">
        <v>3744568287.5500002</v>
      </c>
      <c r="AA3124" s="5">
        <v>37218</v>
      </c>
      <c r="AB3124" s="5" t="s">
        <v>85</v>
      </c>
      <c r="AC3124" s="5">
        <v>1</v>
      </c>
    </row>
    <row r="3125" spans="1:29" x14ac:dyDescent="0.3">
      <c r="A3125" s="34">
        <v>46274</v>
      </c>
      <c r="B3125" s="34">
        <v>46274</v>
      </c>
      <c r="C3125" s="5" t="s">
        <v>78</v>
      </c>
      <c r="D3125" s="5" t="s">
        <v>79</v>
      </c>
      <c r="E3125" s="5" t="s">
        <v>80</v>
      </c>
      <c r="F3125" s="5">
        <v>13367</v>
      </c>
      <c r="G3125" s="5" t="s">
        <v>9475</v>
      </c>
      <c r="H3125" s="5" t="s">
        <v>9476</v>
      </c>
      <c r="I3125" s="5" t="s">
        <v>212</v>
      </c>
      <c r="N3125" s="5" t="s">
        <v>9477</v>
      </c>
      <c r="O3125" s="5">
        <v>10.06</v>
      </c>
      <c r="P3125" s="5">
        <v>10.33</v>
      </c>
      <c r="Q3125" s="5">
        <v>9.81</v>
      </c>
      <c r="R3125" s="5">
        <v>10.07</v>
      </c>
      <c r="S3125" s="5">
        <v>10.07</v>
      </c>
      <c r="T3125" s="5">
        <v>9.8699999999999992</v>
      </c>
      <c r="V3125" s="5">
        <v>10.07</v>
      </c>
      <c r="Y3125" s="5">
        <v>33380</v>
      </c>
      <c r="Z3125" s="5">
        <v>335481.45</v>
      </c>
      <c r="AA3125" s="5">
        <v>68</v>
      </c>
      <c r="AB3125" s="5" t="s">
        <v>85</v>
      </c>
      <c r="AC3125" s="5">
        <v>1</v>
      </c>
    </row>
    <row r="3126" spans="1:29" x14ac:dyDescent="0.3">
      <c r="A3126" s="34">
        <v>46274</v>
      </c>
      <c r="B3126" s="34">
        <v>46274</v>
      </c>
      <c r="C3126" s="5" t="s">
        <v>78</v>
      </c>
      <c r="D3126" s="5" t="s">
        <v>79</v>
      </c>
      <c r="E3126" s="5" t="s">
        <v>80</v>
      </c>
      <c r="F3126" s="5">
        <v>758958</v>
      </c>
      <c r="G3126" s="5" t="s">
        <v>9478</v>
      </c>
      <c r="H3126" s="5" t="s">
        <v>9479</v>
      </c>
      <c r="I3126" s="5" t="s">
        <v>212</v>
      </c>
      <c r="N3126" s="5" t="s">
        <v>9480</v>
      </c>
      <c r="O3126" s="5">
        <v>31.95</v>
      </c>
      <c r="P3126" s="5">
        <v>33.200000000000003</v>
      </c>
      <c r="Q3126" s="5">
        <v>30.71</v>
      </c>
      <c r="R3126" s="5">
        <v>33.200000000000003</v>
      </c>
      <c r="S3126" s="5">
        <v>33.200000000000003</v>
      </c>
      <c r="T3126" s="5">
        <v>31.62</v>
      </c>
      <c r="V3126" s="5">
        <v>33.200000000000003</v>
      </c>
      <c r="Y3126" s="5">
        <v>12406425</v>
      </c>
      <c r="Z3126" s="5">
        <v>405129375.31999999</v>
      </c>
      <c r="AA3126" s="5">
        <v>19103</v>
      </c>
      <c r="AB3126" s="5" t="s">
        <v>85</v>
      </c>
      <c r="AC3126" s="5">
        <v>1</v>
      </c>
    </row>
    <row r="3127" spans="1:29" x14ac:dyDescent="0.3">
      <c r="A3127" s="34">
        <v>46274</v>
      </c>
      <c r="B3127" s="34">
        <v>46274</v>
      </c>
      <c r="C3127" s="5" t="s">
        <v>78</v>
      </c>
      <c r="D3127" s="5" t="s">
        <v>79</v>
      </c>
      <c r="E3127" s="5" t="s">
        <v>80</v>
      </c>
      <c r="F3127" s="5">
        <v>2107</v>
      </c>
      <c r="G3127" s="5" t="s">
        <v>9481</v>
      </c>
      <c r="H3127" s="5" t="s">
        <v>9482</v>
      </c>
      <c r="I3127" s="5" t="s">
        <v>212</v>
      </c>
      <c r="N3127" s="5" t="s">
        <v>9483</v>
      </c>
      <c r="O3127" s="5">
        <v>845</v>
      </c>
      <c r="P3127" s="5">
        <v>849.8</v>
      </c>
      <c r="Q3127" s="5">
        <v>830.55</v>
      </c>
      <c r="R3127" s="5">
        <v>839.3</v>
      </c>
      <c r="S3127" s="5">
        <v>838.55</v>
      </c>
      <c r="T3127" s="5">
        <v>839.45</v>
      </c>
      <c r="V3127" s="5">
        <v>839.29</v>
      </c>
      <c r="Y3127" s="5">
        <v>77414</v>
      </c>
      <c r="Z3127" s="5">
        <v>65103386.5</v>
      </c>
      <c r="AA3127" s="5">
        <v>6558</v>
      </c>
      <c r="AB3127" s="5" t="s">
        <v>85</v>
      </c>
      <c r="AC3127" s="5">
        <v>1</v>
      </c>
    </row>
    <row r="3128" spans="1:29" x14ac:dyDescent="0.3">
      <c r="A3128" s="34">
        <v>46274</v>
      </c>
      <c r="B3128" s="34">
        <v>46274</v>
      </c>
      <c r="C3128" s="5" t="s">
        <v>78</v>
      </c>
      <c r="D3128" s="5" t="s">
        <v>79</v>
      </c>
      <c r="E3128" s="5" t="s">
        <v>80</v>
      </c>
      <c r="F3128" s="5">
        <v>761091</v>
      </c>
      <c r="G3128" s="5" t="s">
        <v>9484</v>
      </c>
      <c r="H3128" s="5" t="s">
        <v>9485</v>
      </c>
      <c r="I3128" s="5" t="s">
        <v>313</v>
      </c>
      <c r="N3128" s="5" t="s">
        <v>9486</v>
      </c>
      <c r="O3128" s="5">
        <v>60</v>
      </c>
      <c r="P3128" s="5">
        <v>60</v>
      </c>
      <c r="Q3128" s="5">
        <v>58.5</v>
      </c>
      <c r="R3128" s="5">
        <v>58.85</v>
      </c>
      <c r="S3128" s="5">
        <v>59</v>
      </c>
      <c r="T3128" s="5">
        <v>60</v>
      </c>
      <c r="V3128" s="5">
        <v>58.85</v>
      </c>
      <c r="Y3128" s="5">
        <v>12800</v>
      </c>
      <c r="Z3128" s="5">
        <v>755600</v>
      </c>
      <c r="AA3128" s="5">
        <v>8</v>
      </c>
      <c r="AB3128" s="5" t="s">
        <v>85</v>
      </c>
      <c r="AC3128" s="5">
        <v>1600</v>
      </c>
    </row>
    <row r="3129" spans="1:29" x14ac:dyDescent="0.3">
      <c r="A3129" s="34">
        <v>46274</v>
      </c>
      <c r="B3129" s="34">
        <v>46274</v>
      </c>
      <c r="C3129" s="5" t="s">
        <v>78</v>
      </c>
      <c r="D3129" s="5" t="s">
        <v>79</v>
      </c>
      <c r="E3129" s="5" t="s">
        <v>80</v>
      </c>
      <c r="F3129" s="5">
        <v>7374</v>
      </c>
      <c r="G3129" s="5" t="s">
        <v>9487</v>
      </c>
      <c r="H3129" s="5" t="s">
        <v>9488</v>
      </c>
      <c r="I3129" s="5" t="s">
        <v>212</v>
      </c>
      <c r="N3129" s="5" t="s">
        <v>9489</v>
      </c>
      <c r="O3129" s="5">
        <v>1187.4000000000001</v>
      </c>
      <c r="P3129" s="5">
        <v>1217</v>
      </c>
      <c r="Q3129" s="5">
        <v>1181.3</v>
      </c>
      <c r="R3129" s="5">
        <v>1195.7</v>
      </c>
      <c r="S3129" s="5">
        <v>1190</v>
      </c>
      <c r="T3129" s="5">
        <v>1187.4000000000001</v>
      </c>
      <c r="V3129" s="5">
        <v>1195.81</v>
      </c>
      <c r="Y3129" s="5">
        <v>376096</v>
      </c>
      <c r="Z3129" s="5">
        <v>450651071.80000001</v>
      </c>
      <c r="AA3129" s="5">
        <v>24529</v>
      </c>
      <c r="AB3129" s="5" t="s">
        <v>85</v>
      </c>
      <c r="AC3129" s="5">
        <v>1</v>
      </c>
    </row>
    <row r="3130" spans="1:29" x14ac:dyDescent="0.3">
      <c r="A3130" s="34">
        <v>46274</v>
      </c>
      <c r="B3130" s="34">
        <v>46274</v>
      </c>
      <c r="C3130" s="5" t="s">
        <v>78</v>
      </c>
      <c r="D3130" s="5" t="s">
        <v>79</v>
      </c>
      <c r="E3130" s="5" t="s">
        <v>80</v>
      </c>
      <c r="F3130" s="5">
        <v>12489</v>
      </c>
      <c r="G3130" s="5" t="s">
        <v>9490</v>
      </c>
      <c r="H3130" s="5" t="s">
        <v>9491</v>
      </c>
      <c r="I3130" s="5" t="s">
        <v>212</v>
      </c>
      <c r="N3130" s="5" t="s">
        <v>9492</v>
      </c>
      <c r="O3130" s="5">
        <v>184.94</v>
      </c>
      <c r="P3130" s="5">
        <v>184.94</v>
      </c>
      <c r="Q3130" s="5">
        <v>181.7</v>
      </c>
      <c r="R3130" s="5">
        <v>182.03</v>
      </c>
      <c r="S3130" s="5">
        <v>182.5</v>
      </c>
      <c r="T3130" s="5">
        <v>184.08</v>
      </c>
      <c r="V3130" s="5">
        <v>182.03</v>
      </c>
      <c r="Y3130" s="5">
        <v>570016</v>
      </c>
      <c r="Z3130" s="5">
        <v>104315967.59999999</v>
      </c>
      <c r="AA3130" s="5">
        <v>7722</v>
      </c>
      <c r="AB3130" s="5" t="s">
        <v>85</v>
      </c>
      <c r="AC3130" s="5">
        <v>1</v>
      </c>
    </row>
    <row r="3131" spans="1:29" x14ac:dyDescent="0.3">
      <c r="A3131" s="34">
        <v>46274</v>
      </c>
      <c r="B3131" s="34">
        <v>46274</v>
      </c>
      <c r="C3131" s="5" t="s">
        <v>78</v>
      </c>
      <c r="D3131" s="5" t="s">
        <v>79</v>
      </c>
      <c r="E3131" s="5" t="s">
        <v>80</v>
      </c>
      <c r="F3131" s="5">
        <v>759587</v>
      </c>
      <c r="G3131" s="5" t="s">
        <v>9493</v>
      </c>
      <c r="H3131" s="5" t="s">
        <v>9494</v>
      </c>
      <c r="I3131" s="5" t="s">
        <v>212</v>
      </c>
      <c r="N3131" s="5" t="s">
        <v>9495</v>
      </c>
      <c r="O3131" s="5">
        <v>421.85</v>
      </c>
      <c r="P3131" s="5">
        <v>424</v>
      </c>
      <c r="Q3131" s="5">
        <v>410</v>
      </c>
      <c r="R3131" s="5">
        <v>414.6</v>
      </c>
      <c r="S3131" s="5">
        <v>415</v>
      </c>
      <c r="T3131" s="5">
        <v>421.85</v>
      </c>
      <c r="V3131" s="5">
        <v>414.6</v>
      </c>
      <c r="Y3131" s="5">
        <v>46514</v>
      </c>
      <c r="Z3131" s="5">
        <v>19380567.050000001</v>
      </c>
      <c r="AA3131" s="5">
        <v>2394</v>
      </c>
      <c r="AB3131" s="5" t="s">
        <v>85</v>
      </c>
      <c r="AC3131" s="5">
        <v>1</v>
      </c>
    </row>
    <row r="3132" spans="1:29" x14ac:dyDescent="0.3">
      <c r="A3132" s="34">
        <v>46274</v>
      </c>
      <c r="B3132" s="34">
        <v>46274</v>
      </c>
      <c r="C3132" s="5" t="s">
        <v>78</v>
      </c>
      <c r="D3132" s="5" t="s">
        <v>79</v>
      </c>
      <c r="E3132" s="5" t="s">
        <v>80</v>
      </c>
      <c r="F3132" s="5">
        <v>758527</v>
      </c>
      <c r="G3132" s="5" t="s">
        <v>9496</v>
      </c>
      <c r="H3132" s="5" t="s">
        <v>9497</v>
      </c>
      <c r="I3132" s="5" t="s">
        <v>313</v>
      </c>
      <c r="N3132" s="5" t="s">
        <v>9498</v>
      </c>
      <c r="O3132" s="5">
        <v>9.75</v>
      </c>
      <c r="P3132" s="5">
        <v>9.8000000000000007</v>
      </c>
      <c r="Q3132" s="5">
        <v>9.4499999999999993</v>
      </c>
      <c r="R3132" s="5">
        <v>9.6999999999999993</v>
      </c>
      <c r="S3132" s="5">
        <v>9.6999999999999993</v>
      </c>
      <c r="T3132" s="5">
        <v>9.5500000000000007</v>
      </c>
      <c r="V3132" s="5">
        <v>9.6999999999999993</v>
      </c>
      <c r="Y3132" s="5">
        <v>16000</v>
      </c>
      <c r="Z3132" s="5">
        <v>153800</v>
      </c>
      <c r="AA3132" s="5">
        <v>8</v>
      </c>
      <c r="AB3132" s="5" t="s">
        <v>85</v>
      </c>
      <c r="AC3132" s="5">
        <v>2000</v>
      </c>
    </row>
    <row r="3133" spans="1:29" x14ac:dyDescent="0.3">
      <c r="A3133" s="34">
        <v>46274</v>
      </c>
      <c r="B3133" s="34">
        <v>46274</v>
      </c>
      <c r="C3133" s="5" t="s">
        <v>78</v>
      </c>
      <c r="D3133" s="5" t="s">
        <v>79</v>
      </c>
      <c r="E3133" s="5" t="s">
        <v>80</v>
      </c>
      <c r="F3133" s="5">
        <v>5186</v>
      </c>
      <c r="G3133" s="5" t="s">
        <v>9499</v>
      </c>
      <c r="H3133" s="5" t="s">
        <v>9500</v>
      </c>
      <c r="I3133" s="5" t="s">
        <v>212</v>
      </c>
      <c r="N3133" s="5" t="s">
        <v>9501</v>
      </c>
      <c r="O3133" s="5">
        <v>3348</v>
      </c>
      <c r="P3133" s="5">
        <v>3430</v>
      </c>
      <c r="Q3133" s="5">
        <v>3321</v>
      </c>
      <c r="R3133" s="5">
        <v>3382.3</v>
      </c>
      <c r="S3133" s="5">
        <v>3360</v>
      </c>
      <c r="T3133" s="5">
        <v>3349.9</v>
      </c>
      <c r="V3133" s="5">
        <v>3382.42</v>
      </c>
      <c r="Y3133" s="5">
        <v>26241</v>
      </c>
      <c r="Z3133" s="5">
        <v>88932501.599999994</v>
      </c>
      <c r="AA3133" s="5">
        <v>8198</v>
      </c>
      <c r="AB3133" s="5" t="s">
        <v>85</v>
      </c>
      <c r="AC3133" s="5">
        <v>1</v>
      </c>
    </row>
    <row r="3134" spans="1:29" x14ac:dyDescent="0.3">
      <c r="A3134" s="34">
        <v>46274</v>
      </c>
      <c r="B3134" s="34">
        <v>46274</v>
      </c>
      <c r="C3134" s="5" t="s">
        <v>78</v>
      </c>
      <c r="D3134" s="5" t="s">
        <v>79</v>
      </c>
      <c r="E3134" s="5" t="s">
        <v>80</v>
      </c>
      <c r="F3134" s="5">
        <v>19</v>
      </c>
      <c r="G3134" s="5" t="s">
        <v>9502</v>
      </c>
      <c r="H3134" s="5" t="s">
        <v>9503</v>
      </c>
      <c r="I3134" s="5" t="s">
        <v>212</v>
      </c>
      <c r="N3134" s="5" t="s">
        <v>9504</v>
      </c>
      <c r="O3134" s="5">
        <v>2124.9</v>
      </c>
      <c r="P3134" s="5">
        <v>2155</v>
      </c>
      <c r="Q3134" s="5">
        <v>2102.6999999999998</v>
      </c>
      <c r="R3134" s="5">
        <v>2146.5</v>
      </c>
      <c r="S3134" s="5">
        <v>2154</v>
      </c>
      <c r="T3134" s="5">
        <v>2114.9</v>
      </c>
      <c r="V3134" s="5">
        <v>2146.4</v>
      </c>
      <c r="Y3134" s="5">
        <v>47541</v>
      </c>
      <c r="Z3134" s="5">
        <v>101186228.90000001</v>
      </c>
      <c r="AA3134" s="5">
        <v>4433</v>
      </c>
      <c r="AB3134" s="5" t="s">
        <v>85</v>
      </c>
      <c r="AC3134" s="5">
        <v>1</v>
      </c>
    </row>
    <row r="3135" spans="1:29" x14ac:dyDescent="0.3">
      <c r="A3135" s="34">
        <v>46274</v>
      </c>
      <c r="B3135" s="34">
        <v>46274</v>
      </c>
      <c r="C3135" s="5" t="s">
        <v>78</v>
      </c>
      <c r="D3135" s="5" t="s">
        <v>79</v>
      </c>
      <c r="E3135" s="5" t="s">
        <v>80</v>
      </c>
      <c r="F3135" s="5">
        <v>760112</v>
      </c>
      <c r="G3135" s="5" t="s">
        <v>9505</v>
      </c>
      <c r="H3135" s="5" t="s">
        <v>9506</v>
      </c>
      <c r="I3135" s="5" t="s">
        <v>313</v>
      </c>
      <c r="N3135" s="5" t="s">
        <v>9507</v>
      </c>
      <c r="O3135" s="5">
        <v>103</v>
      </c>
      <c r="P3135" s="5">
        <v>103</v>
      </c>
      <c r="Q3135" s="5">
        <v>99.1</v>
      </c>
      <c r="R3135" s="5">
        <v>101.1</v>
      </c>
      <c r="S3135" s="5">
        <v>101.1</v>
      </c>
      <c r="T3135" s="5">
        <v>103.5</v>
      </c>
      <c r="V3135" s="5">
        <v>101.1</v>
      </c>
      <c r="Y3135" s="5">
        <v>14400</v>
      </c>
      <c r="Z3135" s="5">
        <v>1449240</v>
      </c>
      <c r="AA3135" s="5">
        <v>11</v>
      </c>
      <c r="AB3135" s="5" t="s">
        <v>85</v>
      </c>
      <c r="AC3135" s="5">
        <v>1200</v>
      </c>
    </row>
    <row r="3136" spans="1:29" x14ac:dyDescent="0.3">
      <c r="A3136" s="34">
        <v>46274</v>
      </c>
      <c r="B3136" s="34">
        <v>46274</v>
      </c>
      <c r="C3136" s="5" t="s">
        <v>78</v>
      </c>
      <c r="D3136" s="5" t="s">
        <v>79</v>
      </c>
      <c r="E3136" s="5" t="s">
        <v>80</v>
      </c>
      <c r="F3136" s="5">
        <v>967</v>
      </c>
      <c r="G3136" s="5" t="s">
        <v>9508</v>
      </c>
      <c r="H3136" s="5" t="s">
        <v>9509</v>
      </c>
      <c r="I3136" s="5" t="s">
        <v>212</v>
      </c>
      <c r="N3136" s="5" t="s">
        <v>9510</v>
      </c>
      <c r="O3136" s="5">
        <v>19.3</v>
      </c>
      <c r="P3136" s="5">
        <v>20.28</v>
      </c>
      <c r="Q3136" s="5">
        <v>17.61</v>
      </c>
      <c r="R3136" s="5">
        <v>18.8</v>
      </c>
      <c r="S3136" s="5">
        <v>18.75</v>
      </c>
      <c r="T3136" s="5">
        <v>19.23</v>
      </c>
      <c r="V3136" s="5">
        <v>18.8</v>
      </c>
      <c r="Y3136" s="5">
        <v>23896769</v>
      </c>
      <c r="Z3136" s="5">
        <v>460603121.47000003</v>
      </c>
      <c r="AA3136" s="5">
        <v>41172</v>
      </c>
      <c r="AB3136" s="5" t="s">
        <v>85</v>
      </c>
      <c r="AC3136" s="5">
        <v>1</v>
      </c>
    </row>
    <row r="3137" spans="1:29" x14ac:dyDescent="0.3">
      <c r="A3137" s="34">
        <v>46274</v>
      </c>
      <c r="B3137" s="34">
        <v>46274</v>
      </c>
      <c r="C3137" s="5" t="s">
        <v>78</v>
      </c>
      <c r="D3137" s="5" t="s">
        <v>79</v>
      </c>
      <c r="E3137" s="5" t="s">
        <v>80</v>
      </c>
      <c r="F3137" s="5">
        <v>3324</v>
      </c>
      <c r="G3137" s="5" t="s">
        <v>9511</v>
      </c>
      <c r="H3137" s="5" t="s">
        <v>9512</v>
      </c>
      <c r="I3137" s="5" t="s">
        <v>212</v>
      </c>
      <c r="N3137" s="5" t="s">
        <v>9513</v>
      </c>
      <c r="O3137" s="5">
        <v>696.3</v>
      </c>
      <c r="P3137" s="5">
        <v>738.75</v>
      </c>
      <c r="Q3137" s="5">
        <v>692.6</v>
      </c>
      <c r="R3137" s="5">
        <v>729</v>
      </c>
      <c r="S3137" s="5">
        <v>730.9</v>
      </c>
      <c r="T3137" s="5">
        <v>697.85</v>
      </c>
      <c r="V3137" s="5">
        <v>728.92</v>
      </c>
      <c r="Y3137" s="5">
        <v>96607</v>
      </c>
      <c r="Z3137" s="5">
        <v>69377681.5</v>
      </c>
      <c r="AA3137" s="5">
        <v>5572</v>
      </c>
      <c r="AB3137" s="5" t="s">
        <v>85</v>
      </c>
      <c r="AC3137" s="5">
        <v>1</v>
      </c>
    </row>
    <row r="3138" spans="1:29" x14ac:dyDescent="0.3">
      <c r="A3138" s="34">
        <v>46274</v>
      </c>
      <c r="B3138" s="34">
        <v>46274</v>
      </c>
      <c r="C3138" s="5" t="s">
        <v>78</v>
      </c>
      <c r="D3138" s="5" t="s">
        <v>79</v>
      </c>
      <c r="E3138" s="5" t="s">
        <v>80</v>
      </c>
      <c r="F3138" s="5">
        <v>3327</v>
      </c>
      <c r="G3138" s="5" t="s">
        <v>9514</v>
      </c>
      <c r="H3138" s="5" t="s">
        <v>9515</v>
      </c>
      <c r="I3138" s="5" t="s">
        <v>212</v>
      </c>
      <c r="N3138" s="5" t="s">
        <v>9516</v>
      </c>
      <c r="O3138" s="5">
        <v>1224.5999999999999</v>
      </c>
      <c r="P3138" s="5">
        <v>1278</v>
      </c>
      <c r="Q3138" s="5">
        <v>1218</v>
      </c>
      <c r="R3138" s="5">
        <v>1262.3</v>
      </c>
      <c r="S3138" s="5">
        <v>1259</v>
      </c>
      <c r="T3138" s="5">
        <v>1221.7</v>
      </c>
      <c r="V3138" s="5">
        <v>1262.28</v>
      </c>
      <c r="Y3138" s="5">
        <v>371328</v>
      </c>
      <c r="Z3138" s="5">
        <v>468905492.39999998</v>
      </c>
      <c r="AA3138" s="5">
        <v>27072</v>
      </c>
      <c r="AB3138" s="5" t="s">
        <v>85</v>
      </c>
      <c r="AC3138" s="5">
        <v>1</v>
      </c>
    </row>
    <row r="3139" spans="1:29" x14ac:dyDescent="0.3">
      <c r="A3139" s="34">
        <v>46274</v>
      </c>
      <c r="B3139" s="34">
        <v>46274</v>
      </c>
      <c r="C3139" s="5" t="s">
        <v>78</v>
      </c>
      <c r="D3139" s="5" t="s">
        <v>79</v>
      </c>
      <c r="E3139" s="5" t="s">
        <v>80</v>
      </c>
      <c r="F3139" s="5">
        <v>715</v>
      </c>
      <c r="G3139" s="5" t="s">
        <v>9517</v>
      </c>
      <c r="H3139" s="5" t="s">
        <v>9518</v>
      </c>
      <c r="I3139" s="5" t="s">
        <v>212</v>
      </c>
      <c r="N3139" s="5" t="s">
        <v>9519</v>
      </c>
      <c r="O3139" s="5">
        <v>385.5</v>
      </c>
      <c r="P3139" s="5">
        <v>385.5</v>
      </c>
      <c r="Q3139" s="5">
        <v>380</v>
      </c>
      <c r="R3139" s="5">
        <v>380.55</v>
      </c>
      <c r="S3139" s="5">
        <v>380.05</v>
      </c>
      <c r="T3139" s="5">
        <v>385.35</v>
      </c>
      <c r="V3139" s="5">
        <v>380.55</v>
      </c>
      <c r="Y3139" s="5">
        <v>3623</v>
      </c>
      <c r="Z3139" s="5">
        <v>1382393.85</v>
      </c>
      <c r="AA3139" s="5">
        <v>174</v>
      </c>
      <c r="AB3139" s="5" t="s">
        <v>85</v>
      </c>
      <c r="AC3139" s="5">
        <v>1</v>
      </c>
    </row>
    <row r="3140" spans="1:29" x14ac:dyDescent="0.3">
      <c r="A3140" s="34">
        <v>46274</v>
      </c>
      <c r="B3140" s="34">
        <v>46274</v>
      </c>
      <c r="C3140" s="5" t="s">
        <v>78</v>
      </c>
      <c r="D3140" s="5" t="s">
        <v>79</v>
      </c>
      <c r="E3140" s="5" t="s">
        <v>80</v>
      </c>
      <c r="F3140" s="5">
        <v>760039</v>
      </c>
      <c r="G3140" s="5" t="s">
        <v>9520</v>
      </c>
      <c r="H3140" s="5" t="s">
        <v>9521</v>
      </c>
      <c r="I3140" s="5" t="s">
        <v>212</v>
      </c>
      <c r="N3140" s="5" t="s">
        <v>9522</v>
      </c>
      <c r="O3140" s="5">
        <v>1354.2</v>
      </c>
      <c r="P3140" s="5">
        <v>1363</v>
      </c>
      <c r="Q3140" s="5">
        <v>1277</v>
      </c>
      <c r="R3140" s="5">
        <v>1277.3</v>
      </c>
      <c r="S3140" s="5">
        <v>1277</v>
      </c>
      <c r="T3140" s="5">
        <v>1344.2</v>
      </c>
      <c r="V3140" s="5">
        <v>1276.4000000000001</v>
      </c>
      <c r="Y3140" s="5">
        <v>318567</v>
      </c>
      <c r="Z3140" s="5">
        <v>414343405.5</v>
      </c>
      <c r="AA3140" s="5">
        <v>25321</v>
      </c>
      <c r="AB3140" s="5" t="s">
        <v>85</v>
      </c>
      <c r="AC3140" s="5">
        <v>1</v>
      </c>
    </row>
    <row r="3141" spans="1:29" x14ac:dyDescent="0.3">
      <c r="A3141" s="34">
        <v>46274</v>
      </c>
      <c r="B3141" s="34">
        <v>46274</v>
      </c>
      <c r="C3141" s="5" t="s">
        <v>78</v>
      </c>
      <c r="D3141" s="5" t="s">
        <v>79</v>
      </c>
      <c r="E3141" s="5" t="s">
        <v>80</v>
      </c>
      <c r="F3141" s="5">
        <v>11804</v>
      </c>
      <c r="G3141" s="5" t="s">
        <v>9523</v>
      </c>
      <c r="H3141" s="5" t="s">
        <v>9524</v>
      </c>
      <c r="I3141" s="5" t="s">
        <v>212</v>
      </c>
      <c r="N3141" s="5" t="s">
        <v>9525</v>
      </c>
      <c r="O3141" s="5">
        <v>160.69999999999999</v>
      </c>
      <c r="P3141" s="5">
        <v>164.95</v>
      </c>
      <c r="Q3141" s="5">
        <v>158.30000000000001</v>
      </c>
      <c r="R3141" s="5">
        <v>160.03</v>
      </c>
      <c r="S3141" s="5">
        <v>160.03</v>
      </c>
      <c r="T3141" s="5">
        <v>160.49</v>
      </c>
      <c r="V3141" s="5">
        <v>160.04</v>
      </c>
      <c r="Y3141" s="5">
        <v>91683</v>
      </c>
      <c r="Z3141" s="5">
        <v>14787425.130000001</v>
      </c>
      <c r="AA3141" s="5">
        <v>710</v>
      </c>
      <c r="AB3141" s="5" t="s">
        <v>85</v>
      </c>
      <c r="AC3141" s="5">
        <v>1</v>
      </c>
    </row>
    <row r="3142" spans="1:29" x14ac:dyDescent="0.3">
      <c r="A3142" s="34">
        <v>46274</v>
      </c>
      <c r="B3142" s="34">
        <v>46274</v>
      </c>
      <c r="C3142" s="5" t="s">
        <v>78</v>
      </c>
      <c r="D3142" s="5" t="s">
        <v>79</v>
      </c>
      <c r="E3142" s="5" t="s">
        <v>80</v>
      </c>
      <c r="F3142" s="5">
        <v>13218</v>
      </c>
      <c r="G3142" s="5" t="s">
        <v>9526</v>
      </c>
      <c r="H3142" s="5" t="s">
        <v>9527</v>
      </c>
      <c r="I3142" s="5" t="s">
        <v>212</v>
      </c>
      <c r="N3142" s="5" t="s">
        <v>9528</v>
      </c>
      <c r="O3142" s="5">
        <v>144.1</v>
      </c>
      <c r="P3142" s="5">
        <v>144.1</v>
      </c>
      <c r="Q3142" s="5">
        <v>138.4</v>
      </c>
      <c r="R3142" s="5">
        <v>139.35</v>
      </c>
      <c r="S3142" s="5">
        <v>139.94999999999999</v>
      </c>
      <c r="T3142" s="5">
        <v>146.5</v>
      </c>
      <c r="V3142" s="5">
        <v>139.38999999999999</v>
      </c>
      <c r="Y3142" s="5">
        <v>1328109</v>
      </c>
      <c r="Z3142" s="5">
        <v>185523815.49000001</v>
      </c>
      <c r="AA3142" s="5">
        <v>16958</v>
      </c>
      <c r="AB3142" s="5" t="s">
        <v>85</v>
      </c>
      <c r="AC3142" s="5">
        <v>1</v>
      </c>
    </row>
    <row r="3143" spans="1:29" x14ac:dyDescent="0.3">
      <c r="A3143" s="34">
        <v>46274</v>
      </c>
      <c r="B3143" s="34">
        <v>46274</v>
      </c>
      <c r="C3143" s="5" t="s">
        <v>78</v>
      </c>
      <c r="D3143" s="5" t="s">
        <v>79</v>
      </c>
      <c r="E3143" s="5" t="s">
        <v>80</v>
      </c>
      <c r="F3143" s="5">
        <v>765510</v>
      </c>
      <c r="G3143" s="5" t="s">
        <v>9529</v>
      </c>
      <c r="H3143" s="5" t="s">
        <v>9530</v>
      </c>
      <c r="I3143" s="5" t="s">
        <v>392</v>
      </c>
      <c r="N3143" s="5" t="s">
        <v>9531</v>
      </c>
      <c r="O3143" s="5">
        <v>109.45</v>
      </c>
      <c r="P3143" s="5">
        <v>115.2</v>
      </c>
      <c r="Q3143" s="5">
        <v>106</v>
      </c>
      <c r="R3143" s="5">
        <v>114.75</v>
      </c>
      <c r="S3143" s="5">
        <v>114.85</v>
      </c>
      <c r="T3143" s="5">
        <v>109.75</v>
      </c>
      <c r="V3143" s="5">
        <v>114.75</v>
      </c>
      <c r="Y3143" s="5">
        <v>337200</v>
      </c>
      <c r="Z3143" s="5">
        <v>38134560</v>
      </c>
      <c r="AA3143" s="5">
        <v>201</v>
      </c>
      <c r="AB3143" s="5" t="s">
        <v>85</v>
      </c>
      <c r="AC3143" s="5">
        <v>1200</v>
      </c>
    </row>
    <row r="3144" spans="1:29" x14ac:dyDescent="0.3">
      <c r="A3144" s="34">
        <v>46274</v>
      </c>
      <c r="B3144" s="34">
        <v>46274</v>
      </c>
      <c r="C3144" s="5" t="s">
        <v>78</v>
      </c>
      <c r="D3144" s="5" t="s">
        <v>79</v>
      </c>
      <c r="E3144" s="5" t="s">
        <v>80</v>
      </c>
      <c r="F3144" s="5">
        <v>765175</v>
      </c>
      <c r="G3144" s="5" t="s">
        <v>9532</v>
      </c>
      <c r="H3144" s="5" t="s">
        <v>9533</v>
      </c>
      <c r="I3144" s="5" t="s">
        <v>212</v>
      </c>
      <c r="N3144" s="5" t="s">
        <v>9534</v>
      </c>
      <c r="O3144" s="5">
        <v>41.48</v>
      </c>
      <c r="P3144" s="5">
        <v>41.48</v>
      </c>
      <c r="Q3144" s="5">
        <v>38.049999999999997</v>
      </c>
      <c r="R3144" s="5">
        <v>40.01</v>
      </c>
      <c r="S3144" s="5">
        <v>40.01</v>
      </c>
      <c r="T3144" s="5">
        <v>38.72</v>
      </c>
      <c r="V3144" s="5">
        <v>39.99</v>
      </c>
      <c r="Y3144" s="5">
        <v>1112</v>
      </c>
      <c r="Z3144" s="5">
        <v>43440.33</v>
      </c>
      <c r="AA3144" s="5">
        <v>21</v>
      </c>
      <c r="AB3144" s="5" t="s">
        <v>85</v>
      </c>
      <c r="AC3144" s="5">
        <v>1</v>
      </c>
    </row>
    <row r="3145" spans="1:29" x14ac:dyDescent="0.3">
      <c r="A3145" s="34">
        <v>46274</v>
      </c>
      <c r="B3145" s="34">
        <v>46274</v>
      </c>
      <c r="C3145" s="5" t="s">
        <v>78</v>
      </c>
      <c r="D3145" s="5" t="s">
        <v>79</v>
      </c>
      <c r="E3145" s="5" t="s">
        <v>80</v>
      </c>
      <c r="F3145" s="5">
        <v>20790</v>
      </c>
      <c r="G3145" s="5" t="s">
        <v>9535</v>
      </c>
      <c r="H3145" s="5" t="s">
        <v>9536</v>
      </c>
      <c r="I3145" s="5" t="s">
        <v>212</v>
      </c>
      <c r="N3145" s="5" t="s">
        <v>9537</v>
      </c>
      <c r="O3145" s="5">
        <v>11.41</v>
      </c>
      <c r="P3145" s="5">
        <v>11.5</v>
      </c>
      <c r="Q3145" s="5">
        <v>11.26</v>
      </c>
      <c r="R3145" s="5">
        <v>11.28</v>
      </c>
      <c r="S3145" s="5">
        <v>11.35</v>
      </c>
      <c r="T3145" s="5">
        <v>11.39</v>
      </c>
      <c r="V3145" s="5">
        <v>11.28</v>
      </c>
      <c r="Y3145" s="5">
        <v>957437</v>
      </c>
      <c r="Z3145" s="5">
        <v>10847333.890000001</v>
      </c>
      <c r="AA3145" s="5">
        <v>1103</v>
      </c>
      <c r="AB3145" s="5" t="s">
        <v>85</v>
      </c>
      <c r="AC3145" s="5">
        <v>1</v>
      </c>
    </row>
    <row r="3146" spans="1:29" x14ac:dyDescent="0.3">
      <c r="A3146" s="34">
        <v>46274</v>
      </c>
      <c r="B3146" s="34">
        <v>46274</v>
      </c>
      <c r="C3146" s="5" t="s">
        <v>78</v>
      </c>
      <c r="D3146" s="5" t="s">
        <v>79</v>
      </c>
      <c r="E3146" s="5" t="s">
        <v>80</v>
      </c>
      <c r="F3146" s="5">
        <v>11140</v>
      </c>
      <c r="G3146" s="5" t="s">
        <v>9538</v>
      </c>
      <c r="H3146" s="5" t="s">
        <v>9539</v>
      </c>
      <c r="I3146" s="5" t="s">
        <v>212</v>
      </c>
      <c r="N3146" s="5" t="s">
        <v>9540</v>
      </c>
      <c r="O3146" s="5">
        <v>51.4</v>
      </c>
      <c r="P3146" s="5">
        <v>51.4</v>
      </c>
      <c r="Q3146" s="5">
        <v>48.6</v>
      </c>
      <c r="R3146" s="5">
        <v>49.99</v>
      </c>
      <c r="S3146" s="5">
        <v>49.81</v>
      </c>
      <c r="T3146" s="5">
        <v>49.06</v>
      </c>
      <c r="V3146" s="5">
        <v>49.99</v>
      </c>
      <c r="Y3146" s="5">
        <v>11078</v>
      </c>
      <c r="Z3146" s="5">
        <v>549207.77</v>
      </c>
      <c r="AA3146" s="5">
        <v>94</v>
      </c>
      <c r="AB3146" s="5" t="s">
        <v>85</v>
      </c>
      <c r="AC3146" s="5">
        <v>1</v>
      </c>
    </row>
    <row r="3147" spans="1:29" x14ac:dyDescent="0.3">
      <c r="A3147" s="34">
        <v>46274</v>
      </c>
      <c r="B3147" s="34">
        <v>46274</v>
      </c>
      <c r="C3147" s="5" t="s">
        <v>78</v>
      </c>
      <c r="D3147" s="5" t="s">
        <v>79</v>
      </c>
      <c r="E3147" s="5" t="s">
        <v>80</v>
      </c>
      <c r="F3147" s="5">
        <v>17105</v>
      </c>
      <c r="G3147" s="5" t="s">
        <v>9541</v>
      </c>
      <c r="H3147" s="5" t="s">
        <v>9542</v>
      </c>
      <c r="I3147" s="5" t="s">
        <v>212</v>
      </c>
      <c r="N3147" s="5" t="s">
        <v>9543</v>
      </c>
      <c r="O3147" s="5">
        <v>489.9</v>
      </c>
      <c r="P3147" s="5">
        <v>492</v>
      </c>
      <c r="Q3147" s="5">
        <v>477.8</v>
      </c>
      <c r="R3147" s="5">
        <v>481.75</v>
      </c>
      <c r="S3147" s="5">
        <v>479.1</v>
      </c>
      <c r="T3147" s="5">
        <v>486.7</v>
      </c>
      <c r="V3147" s="5">
        <v>481.74</v>
      </c>
      <c r="Y3147" s="5">
        <v>294934</v>
      </c>
      <c r="Z3147" s="5">
        <v>142615870.55000001</v>
      </c>
      <c r="AA3147" s="5">
        <v>13930</v>
      </c>
      <c r="AB3147" s="5" t="s">
        <v>85</v>
      </c>
      <c r="AC3147" s="5">
        <v>1</v>
      </c>
    </row>
    <row r="3148" spans="1:29" x14ac:dyDescent="0.3">
      <c r="A3148" s="34">
        <v>46274</v>
      </c>
      <c r="B3148" s="34">
        <v>46274</v>
      </c>
      <c r="C3148" s="5" t="s">
        <v>78</v>
      </c>
      <c r="D3148" s="5" t="s">
        <v>79</v>
      </c>
      <c r="E3148" s="5" t="s">
        <v>80</v>
      </c>
      <c r="F3148" s="5">
        <v>21275</v>
      </c>
      <c r="G3148" s="5" t="s">
        <v>9544</v>
      </c>
      <c r="H3148" s="5" t="s">
        <v>9545</v>
      </c>
      <c r="I3148" s="5" t="s">
        <v>212</v>
      </c>
      <c r="N3148" s="5" t="s">
        <v>9546</v>
      </c>
      <c r="O3148" s="5">
        <v>1410.7</v>
      </c>
      <c r="P3148" s="5">
        <v>1460.5</v>
      </c>
      <c r="Q3148" s="5">
        <v>1402.5</v>
      </c>
      <c r="R3148" s="5">
        <v>1411.8</v>
      </c>
      <c r="S3148" s="5">
        <v>1411</v>
      </c>
      <c r="T3148" s="5">
        <v>1404.1</v>
      </c>
      <c r="V3148" s="5">
        <v>1411.56</v>
      </c>
      <c r="Y3148" s="5">
        <v>7674</v>
      </c>
      <c r="Z3148" s="5">
        <v>10943684.9</v>
      </c>
      <c r="AA3148" s="5">
        <v>667</v>
      </c>
      <c r="AB3148" s="5" t="s">
        <v>85</v>
      </c>
      <c r="AC3148" s="5">
        <v>1</v>
      </c>
    </row>
    <row r="3149" spans="1:29" x14ac:dyDescent="0.3">
      <c r="A3149" s="34">
        <v>46274</v>
      </c>
      <c r="B3149" s="34">
        <v>46274</v>
      </c>
      <c r="C3149" s="5" t="s">
        <v>78</v>
      </c>
      <c r="D3149" s="5" t="s">
        <v>79</v>
      </c>
      <c r="E3149" s="5" t="s">
        <v>80</v>
      </c>
      <c r="F3149" s="5">
        <v>14788</v>
      </c>
      <c r="G3149" s="5" t="s">
        <v>9547</v>
      </c>
      <c r="H3149" s="5" t="s">
        <v>9548</v>
      </c>
      <c r="I3149" s="5" t="s">
        <v>212</v>
      </c>
      <c r="N3149" s="5" t="s">
        <v>9549</v>
      </c>
      <c r="O3149" s="5">
        <v>204</v>
      </c>
      <c r="P3149" s="5">
        <v>204</v>
      </c>
      <c r="Q3149" s="5">
        <v>200.07</v>
      </c>
      <c r="R3149" s="5">
        <v>200.58</v>
      </c>
      <c r="S3149" s="5">
        <v>200.6</v>
      </c>
      <c r="T3149" s="5">
        <v>203.27</v>
      </c>
      <c r="V3149" s="5">
        <v>200.59</v>
      </c>
      <c r="Y3149" s="5">
        <v>519851</v>
      </c>
      <c r="Z3149" s="5">
        <v>104546494.68000001</v>
      </c>
      <c r="AA3149" s="5">
        <v>8118</v>
      </c>
      <c r="AB3149" s="5" t="s">
        <v>85</v>
      </c>
      <c r="AC3149" s="5">
        <v>1</v>
      </c>
    </row>
    <row r="3150" spans="1:29" x14ac:dyDescent="0.3">
      <c r="A3150" s="34">
        <v>46274</v>
      </c>
      <c r="B3150" s="34">
        <v>46274</v>
      </c>
      <c r="C3150" s="5" t="s">
        <v>78</v>
      </c>
      <c r="D3150" s="5" t="s">
        <v>79</v>
      </c>
      <c r="E3150" s="5" t="s">
        <v>80</v>
      </c>
      <c r="F3150" s="5">
        <v>3351</v>
      </c>
      <c r="G3150" s="5" t="s">
        <v>9550</v>
      </c>
      <c r="H3150" s="5" t="s">
        <v>9551</v>
      </c>
      <c r="I3150" s="5" t="s">
        <v>212</v>
      </c>
      <c r="N3150" s="5" t="s">
        <v>9552</v>
      </c>
      <c r="O3150" s="5">
        <v>1892.6</v>
      </c>
      <c r="P3150" s="5">
        <v>1898.6</v>
      </c>
      <c r="Q3150" s="5">
        <v>1864.9</v>
      </c>
      <c r="R3150" s="5">
        <v>1864.9</v>
      </c>
      <c r="S3150" s="5">
        <v>1864.9</v>
      </c>
      <c r="T3150" s="5">
        <v>1885.9</v>
      </c>
      <c r="V3150" s="5">
        <v>1864.9</v>
      </c>
      <c r="Y3150" s="5">
        <v>1396896</v>
      </c>
      <c r="Z3150" s="5">
        <v>2616584979.8000002</v>
      </c>
      <c r="AA3150" s="5">
        <v>73693</v>
      </c>
      <c r="AB3150" s="5" t="s">
        <v>85</v>
      </c>
      <c r="AC3150" s="5">
        <v>1</v>
      </c>
    </row>
    <row r="3151" spans="1:29" x14ac:dyDescent="0.3">
      <c r="A3151" s="34">
        <v>46274</v>
      </c>
      <c r="B3151" s="34">
        <v>46274</v>
      </c>
      <c r="C3151" s="5" t="s">
        <v>78</v>
      </c>
      <c r="D3151" s="5" t="s">
        <v>79</v>
      </c>
      <c r="E3151" s="5" t="s">
        <v>80</v>
      </c>
      <c r="F3151" s="5">
        <v>13404</v>
      </c>
      <c r="G3151" s="5" t="s">
        <v>9553</v>
      </c>
      <c r="H3151" s="5" t="s">
        <v>9554</v>
      </c>
      <c r="I3151" s="5" t="s">
        <v>212</v>
      </c>
      <c r="N3151" s="5" t="s">
        <v>9555</v>
      </c>
      <c r="O3151" s="5">
        <v>453.95</v>
      </c>
      <c r="P3151" s="5">
        <v>457.9</v>
      </c>
      <c r="Q3151" s="5">
        <v>447.7</v>
      </c>
      <c r="R3151" s="5">
        <v>449.3</v>
      </c>
      <c r="S3151" s="5">
        <v>449.85</v>
      </c>
      <c r="T3151" s="5">
        <v>453.5</v>
      </c>
      <c r="V3151" s="5">
        <v>449.3</v>
      </c>
      <c r="Y3151" s="5">
        <v>194146</v>
      </c>
      <c r="Z3151" s="5">
        <v>87494670.5</v>
      </c>
      <c r="AA3151" s="5">
        <v>8800</v>
      </c>
      <c r="AB3151" s="5" t="s">
        <v>85</v>
      </c>
      <c r="AC3151" s="5">
        <v>1</v>
      </c>
    </row>
    <row r="3152" spans="1:29" x14ac:dyDescent="0.3">
      <c r="A3152" s="34">
        <v>46274</v>
      </c>
      <c r="B3152" s="34">
        <v>46274</v>
      </c>
      <c r="C3152" s="5" t="s">
        <v>78</v>
      </c>
      <c r="D3152" s="5" t="s">
        <v>79</v>
      </c>
      <c r="E3152" s="5" t="s">
        <v>80</v>
      </c>
      <c r="F3152" s="5">
        <v>20956</v>
      </c>
      <c r="G3152" s="5" t="s">
        <v>9556</v>
      </c>
      <c r="H3152" s="5" t="s">
        <v>9557</v>
      </c>
      <c r="I3152" s="5" t="s">
        <v>212</v>
      </c>
      <c r="N3152" s="5" t="s">
        <v>9558</v>
      </c>
      <c r="O3152" s="5">
        <v>1285.5</v>
      </c>
      <c r="P3152" s="5">
        <v>1305</v>
      </c>
      <c r="Q3152" s="5">
        <v>1285</v>
      </c>
      <c r="R3152" s="5">
        <v>1286</v>
      </c>
      <c r="S3152" s="5">
        <v>1285</v>
      </c>
      <c r="T3152" s="5">
        <v>1293.4000000000001</v>
      </c>
      <c r="V3152" s="5">
        <v>1285.99</v>
      </c>
      <c r="Y3152" s="5">
        <v>3555</v>
      </c>
      <c r="Z3152" s="5">
        <v>4584253.2</v>
      </c>
      <c r="AA3152" s="5">
        <v>364</v>
      </c>
      <c r="AB3152" s="5" t="s">
        <v>85</v>
      </c>
      <c r="AC3152" s="5">
        <v>1</v>
      </c>
    </row>
    <row r="3153" spans="1:29" x14ac:dyDescent="0.3">
      <c r="A3153" s="34">
        <v>46274</v>
      </c>
      <c r="B3153" s="34">
        <v>46274</v>
      </c>
      <c r="C3153" s="5" t="s">
        <v>78</v>
      </c>
      <c r="D3153" s="5" t="s">
        <v>79</v>
      </c>
      <c r="E3153" s="5" t="s">
        <v>80</v>
      </c>
      <c r="F3153" s="5">
        <v>3339</v>
      </c>
      <c r="G3153" s="5" t="s">
        <v>9559</v>
      </c>
      <c r="H3153" s="5" t="s">
        <v>9560</v>
      </c>
      <c r="I3153" s="5" t="s">
        <v>212</v>
      </c>
      <c r="N3153" s="5" t="s">
        <v>9561</v>
      </c>
      <c r="O3153" s="5">
        <v>4689.2</v>
      </c>
      <c r="P3153" s="5">
        <v>4740.6000000000004</v>
      </c>
      <c r="Q3153" s="5">
        <v>4645.1000000000004</v>
      </c>
      <c r="R3153" s="5">
        <v>4728</v>
      </c>
      <c r="S3153" s="5">
        <v>4722.1000000000004</v>
      </c>
      <c r="T3153" s="5">
        <v>4712.7</v>
      </c>
      <c r="V3153" s="5">
        <v>4727.97</v>
      </c>
      <c r="Y3153" s="5">
        <v>24537</v>
      </c>
      <c r="Z3153" s="5">
        <v>115488606.7</v>
      </c>
      <c r="AA3153" s="5">
        <v>7564</v>
      </c>
      <c r="AB3153" s="5" t="s">
        <v>85</v>
      </c>
      <c r="AC3153" s="5">
        <v>1</v>
      </c>
    </row>
    <row r="3154" spans="1:29" x14ac:dyDescent="0.3">
      <c r="A3154" s="34">
        <v>46274</v>
      </c>
      <c r="B3154" s="34">
        <v>46274</v>
      </c>
      <c r="C3154" s="5" t="s">
        <v>78</v>
      </c>
      <c r="D3154" s="5" t="s">
        <v>79</v>
      </c>
      <c r="E3154" s="5" t="s">
        <v>80</v>
      </c>
      <c r="F3154" s="5">
        <v>18931</v>
      </c>
      <c r="G3154" s="5" t="s">
        <v>9562</v>
      </c>
      <c r="H3154" s="5" t="s">
        <v>9563</v>
      </c>
      <c r="I3154" s="5" t="s">
        <v>212</v>
      </c>
      <c r="N3154" s="5" t="s">
        <v>9564</v>
      </c>
      <c r="O3154" s="5">
        <v>1.21</v>
      </c>
      <c r="P3154" s="5">
        <v>1.22</v>
      </c>
      <c r="Q3154" s="5">
        <v>1.19</v>
      </c>
      <c r="R3154" s="5">
        <v>1.2</v>
      </c>
      <c r="S3154" s="5">
        <v>1.22</v>
      </c>
      <c r="T3154" s="5">
        <v>1.21</v>
      </c>
      <c r="V3154" s="5">
        <v>1.2</v>
      </c>
      <c r="Y3154" s="5">
        <v>366921</v>
      </c>
      <c r="Z3154" s="5">
        <v>442016.42</v>
      </c>
      <c r="AA3154" s="5">
        <v>267</v>
      </c>
      <c r="AB3154" s="5" t="s">
        <v>85</v>
      </c>
      <c r="AC3154" s="5">
        <v>1</v>
      </c>
    </row>
    <row r="3155" spans="1:29" x14ac:dyDescent="0.3">
      <c r="A3155" s="34">
        <v>46274</v>
      </c>
      <c r="B3155" s="34">
        <v>46274</v>
      </c>
      <c r="C3155" s="5" t="s">
        <v>78</v>
      </c>
      <c r="D3155" s="5" t="s">
        <v>79</v>
      </c>
      <c r="E3155" s="5" t="s">
        <v>80</v>
      </c>
      <c r="F3155" s="5">
        <v>9848</v>
      </c>
      <c r="G3155" s="5" t="s">
        <v>9565</v>
      </c>
      <c r="H3155" s="5" t="s">
        <v>9566</v>
      </c>
      <c r="I3155" s="5" t="s">
        <v>234</v>
      </c>
      <c r="N3155" s="5" t="s">
        <v>9567</v>
      </c>
      <c r="O3155" s="5">
        <v>731.8</v>
      </c>
      <c r="P3155" s="5">
        <v>741.8</v>
      </c>
      <c r="Q3155" s="5">
        <v>722</v>
      </c>
      <c r="R3155" s="5">
        <v>730.55</v>
      </c>
      <c r="S3155" s="5">
        <v>725</v>
      </c>
      <c r="T3155" s="5">
        <v>731.8</v>
      </c>
      <c r="V3155" s="5">
        <v>730.55</v>
      </c>
      <c r="Y3155" s="5">
        <v>263</v>
      </c>
      <c r="Z3155" s="5">
        <v>193053.45</v>
      </c>
      <c r="AA3155" s="5">
        <v>23</v>
      </c>
      <c r="AB3155" s="5" t="s">
        <v>85</v>
      </c>
      <c r="AC3155" s="5">
        <v>1</v>
      </c>
    </row>
    <row r="3156" spans="1:29" x14ac:dyDescent="0.3">
      <c r="A3156" s="34">
        <v>46274</v>
      </c>
      <c r="B3156" s="34">
        <v>46274</v>
      </c>
      <c r="C3156" s="5" t="s">
        <v>78</v>
      </c>
      <c r="D3156" s="5" t="s">
        <v>79</v>
      </c>
      <c r="E3156" s="5" t="s">
        <v>80</v>
      </c>
      <c r="F3156" s="5">
        <v>3345</v>
      </c>
      <c r="G3156" s="5" t="s">
        <v>9568</v>
      </c>
      <c r="H3156" s="5" t="s">
        <v>9569</v>
      </c>
      <c r="I3156" s="5" t="s">
        <v>212</v>
      </c>
      <c r="N3156" s="5" t="s">
        <v>9570</v>
      </c>
      <c r="O3156" s="5">
        <v>1260</v>
      </c>
      <c r="P3156" s="5">
        <v>1265</v>
      </c>
      <c r="Q3156" s="5">
        <v>1214.8</v>
      </c>
      <c r="R3156" s="5">
        <v>1219.4000000000001</v>
      </c>
      <c r="S3156" s="5">
        <v>1216</v>
      </c>
      <c r="T3156" s="5">
        <v>1255</v>
      </c>
      <c r="V3156" s="5">
        <v>1219.32</v>
      </c>
      <c r="Y3156" s="5">
        <v>99959</v>
      </c>
      <c r="Z3156" s="5">
        <v>123343387.8</v>
      </c>
      <c r="AA3156" s="5">
        <v>11920</v>
      </c>
      <c r="AB3156" s="5" t="s">
        <v>85</v>
      </c>
      <c r="AC3156" s="5">
        <v>1</v>
      </c>
    </row>
    <row r="3157" spans="1:29" x14ac:dyDescent="0.3">
      <c r="A3157" s="34">
        <v>46274</v>
      </c>
      <c r="B3157" s="34">
        <v>46274</v>
      </c>
      <c r="C3157" s="5" t="s">
        <v>78</v>
      </c>
      <c r="D3157" s="5" t="s">
        <v>79</v>
      </c>
      <c r="E3157" s="5" t="s">
        <v>80</v>
      </c>
      <c r="F3157" s="5">
        <v>761202</v>
      </c>
      <c r="G3157" s="5" t="s">
        <v>9571</v>
      </c>
      <c r="H3157" s="5" t="s">
        <v>9572</v>
      </c>
      <c r="I3157" s="5" t="s">
        <v>313</v>
      </c>
      <c r="N3157" s="5" t="s">
        <v>9573</v>
      </c>
      <c r="O3157" s="5">
        <v>29.2</v>
      </c>
      <c r="P3157" s="5">
        <v>29.2</v>
      </c>
      <c r="Q3157" s="5">
        <v>28.5</v>
      </c>
      <c r="R3157" s="5">
        <v>28.5</v>
      </c>
      <c r="S3157" s="5">
        <v>28.5</v>
      </c>
      <c r="T3157" s="5">
        <v>29.2</v>
      </c>
      <c r="V3157" s="5">
        <v>28.5</v>
      </c>
      <c r="Y3157" s="5">
        <v>14400</v>
      </c>
      <c r="Z3157" s="5">
        <v>415840</v>
      </c>
      <c r="AA3157" s="5">
        <v>8</v>
      </c>
      <c r="AB3157" s="5" t="s">
        <v>85</v>
      </c>
      <c r="AC3157" s="5">
        <v>1600</v>
      </c>
    </row>
    <row r="3158" spans="1:29" x14ac:dyDescent="0.3">
      <c r="A3158" s="34">
        <v>46274</v>
      </c>
      <c r="B3158" s="34">
        <v>46274</v>
      </c>
      <c r="C3158" s="5" t="s">
        <v>78</v>
      </c>
      <c r="D3158" s="5" t="s">
        <v>79</v>
      </c>
      <c r="E3158" s="5" t="s">
        <v>80</v>
      </c>
      <c r="F3158" s="5">
        <v>1663</v>
      </c>
      <c r="G3158" s="5" t="s">
        <v>9574</v>
      </c>
      <c r="H3158" s="5" t="s">
        <v>9575</v>
      </c>
      <c r="I3158" s="5" t="s">
        <v>212</v>
      </c>
      <c r="N3158" s="5" t="s">
        <v>9576</v>
      </c>
      <c r="O3158" s="5">
        <v>652.29999999999995</v>
      </c>
      <c r="P3158" s="5">
        <v>674.85</v>
      </c>
      <c r="Q3158" s="5">
        <v>651.5</v>
      </c>
      <c r="R3158" s="5">
        <v>668.1</v>
      </c>
      <c r="S3158" s="5">
        <v>670</v>
      </c>
      <c r="T3158" s="5">
        <v>659.3</v>
      </c>
      <c r="V3158" s="5">
        <v>668.1</v>
      </c>
      <c r="Y3158" s="5">
        <v>50091</v>
      </c>
      <c r="Z3158" s="5">
        <v>33418819.300000001</v>
      </c>
      <c r="AA3158" s="5">
        <v>913</v>
      </c>
      <c r="AB3158" s="5" t="s">
        <v>85</v>
      </c>
      <c r="AC3158" s="5">
        <v>1</v>
      </c>
    </row>
    <row r="3159" spans="1:29" x14ac:dyDescent="0.3">
      <c r="A3159" s="34">
        <v>46274</v>
      </c>
      <c r="B3159" s="34">
        <v>46274</v>
      </c>
      <c r="C3159" s="5" t="s">
        <v>78</v>
      </c>
      <c r="D3159" s="5" t="s">
        <v>79</v>
      </c>
      <c r="E3159" s="5" t="s">
        <v>80</v>
      </c>
      <c r="F3159" s="5">
        <v>3348</v>
      </c>
      <c r="G3159" s="5" t="s">
        <v>9577</v>
      </c>
      <c r="H3159" s="5" t="s">
        <v>9578</v>
      </c>
      <c r="I3159" s="5" t="s">
        <v>212</v>
      </c>
      <c r="N3159" s="5" t="s">
        <v>9579</v>
      </c>
      <c r="O3159" s="5">
        <v>340</v>
      </c>
      <c r="P3159" s="5">
        <v>340</v>
      </c>
      <c r="Q3159" s="5">
        <v>329.35</v>
      </c>
      <c r="R3159" s="5">
        <v>331.35</v>
      </c>
      <c r="S3159" s="5">
        <v>332</v>
      </c>
      <c r="T3159" s="5">
        <v>338.3</v>
      </c>
      <c r="V3159" s="5">
        <v>331.35</v>
      </c>
      <c r="Y3159" s="5">
        <v>129992</v>
      </c>
      <c r="Z3159" s="5">
        <v>43392750</v>
      </c>
      <c r="AA3159" s="5">
        <v>2820</v>
      </c>
      <c r="AB3159" s="5" t="s">
        <v>85</v>
      </c>
      <c r="AC3159" s="5">
        <v>1</v>
      </c>
    </row>
    <row r="3160" spans="1:29" x14ac:dyDescent="0.3">
      <c r="A3160" s="34">
        <v>46274</v>
      </c>
      <c r="B3160" s="34">
        <v>46274</v>
      </c>
      <c r="C3160" s="5" t="s">
        <v>78</v>
      </c>
      <c r="D3160" s="5" t="s">
        <v>79</v>
      </c>
      <c r="E3160" s="5" t="s">
        <v>80</v>
      </c>
      <c r="F3160" s="5">
        <v>18264</v>
      </c>
      <c r="G3160" s="5" t="s">
        <v>9580</v>
      </c>
      <c r="H3160" s="5" t="s">
        <v>9581</v>
      </c>
      <c r="I3160" s="5" t="s">
        <v>313</v>
      </c>
      <c r="N3160" s="5" t="s">
        <v>9582</v>
      </c>
      <c r="O3160" s="5">
        <v>325.64999999999998</v>
      </c>
      <c r="P3160" s="5">
        <v>337</v>
      </c>
      <c r="Q3160" s="5">
        <v>325.64999999999998</v>
      </c>
      <c r="R3160" s="5">
        <v>328.5</v>
      </c>
      <c r="S3160" s="5">
        <v>337</v>
      </c>
      <c r="T3160" s="5">
        <v>325.64999999999998</v>
      </c>
      <c r="V3160" s="5">
        <v>328.5</v>
      </c>
      <c r="Y3160" s="5">
        <v>1800</v>
      </c>
      <c r="Z3160" s="5">
        <v>589980</v>
      </c>
      <c r="AA3160" s="5">
        <v>8</v>
      </c>
      <c r="AB3160" s="5" t="s">
        <v>85</v>
      </c>
      <c r="AC3160" s="5">
        <v>200</v>
      </c>
    </row>
    <row r="3161" spans="1:29" x14ac:dyDescent="0.3">
      <c r="A3161" s="34">
        <v>46274</v>
      </c>
      <c r="B3161" s="34">
        <v>46274</v>
      </c>
      <c r="C3161" s="5" t="s">
        <v>78</v>
      </c>
      <c r="D3161" s="5" t="s">
        <v>79</v>
      </c>
      <c r="E3161" s="5" t="s">
        <v>80</v>
      </c>
      <c r="F3161" s="5">
        <v>765180</v>
      </c>
      <c r="G3161" s="5" t="s">
        <v>9583</v>
      </c>
      <c r="H3161" s="5" t="s">
        <v>9584</v>
      </c>
      <c r="I3161" s="5" t="s">
        <v>212</v>
      </c>
      <c r="N3161" s="5" t="s">
        <v>9585</v>
      </c>
      <c r="O3161" s="5">
        <v>77</v>
      </c>
      <c r="P3161" s="5">
        <v>80.52</v>
      </c>
      <c r="Q3161" s="5">
        <v>77</v>
      </c>
      <c r="R3161" s="5">
        <v>78</v>
      </c>
      <c r="S3161" s="5">
        <v>78</v>
      </c>
      <c r="T3161" s="5">
        <v>79.72</v>
      </c>
      <c r="V3161" s="5">
        <v>78</v>
      </c>
      <c r="Y3161" s="5">
        <v>189</v>
      </c>
      <c r="Z3161" s="5">
        <v>14991.96</v>
      </c>
      <c r="AA3161" s="5">
        <v>13</v>
      </c>
      <c r="AB3161" s="5" t="s">
        <v>85</v>
      </c>
      <c r="AC3161" s="5">
        <v>1</v>
      </c>
    </row>
    <row r="3162" spans="1:29" x14ac:dyDescent="0.3">
      <c r="A3162" s="34">
        <v>46274</v>
      </c>
      <c r="B3162" s="34">
        <v>46274</v>
      </c>
      <c r="C3162" s="5" t="s">
        <v>78</v>
      </c>
      <c r="D3162" s="5" t="s">
        <v>79</v>
      </c>
      <c r="E3162" s="5" t="s">
        <v>80</v>
      </c>
      <c r="F3162" s="5">
        <v>24868</v>
      </c>
      <c r="G3162" s="5" t="s">
        <v>9586</v>
      </c>
      <c r="H3162" s="5" t="s">
        <v>9587</v>
      </c>
      <c r="I3162" s="5" t="s">
        <v>313</v>
      </c>
      <c r="N3162" s="5" t="s">
        <v>9588</v>
      </c>
      <c r="O3162" s="5">
        <v>582</v>
      </c>
      <c r="P3162" s="5">
        <v>665</v>
      </c>
      <c r="Q3162" s="5">
        <v>575</v>
      </c>
      <c r="R3162" s="5">
        <v>655.55</v>
      </c>
      <c r="S3162" s="5">
        <v>663.3</v>
      </c>
      <c r="T3162" s="5">
        <v>562.65</v>
      </c>
      <c r="V3162" s="5">
        <v>655.55</v>
      </c>
      <c r="Y3162" s="5">
        <v>119700</v>
      </c>
      <c r="Z3162" s="5">
        <v>74702745</v>
      </c>
      <c r="AA3162" s="5">
        <v>359</v>
      </c>
      <c r="AB3162" s="5" t="s">
        <v>85</v>
      </c>
      <c r="AC3162" s="5">
        <v>300</v>
      </c>
    </row>
    <row r="3163" spans="1:29" x14ac:dyDescent="0.3">
      <c r="A3163" s="34">
        <v>46274</v>
      </c>
      <c r="B3163" s="34">
        <v>46274</v>
      </c>
      <c r="C3163" s="5" t="s">
        <v>78</v>
      </c>
      <c r="D3163" s="5" t="s">
        <v>79</v>
      </c>
      <c r="E3163" s="5" t="s">
        <v>80</v>
      </c>
      <c r="F3163" s="5">
        <v>764925</v>
      </c>
      <c r="G3163" s="5" t="s">
        <v>9589</v>
      </c>
      <c r="H3163" s="5" t="s">
        <v>9590</v>
      </c>
      <c r="I3163" s="5" t="s">
        <v>212</v>
      </c>
      <c r="N3163" s="5" t="s">
        <v>9591</v>
      </c>
      <c r="O3163" s="5">
        <v>370.5</v>
      </c>
      <c r="P3163" s="5">
        <v>377.5</v>
      </c>
      <c r="Q3163" s="5">
        <v>370.5</v>
      </c>
      <c r="R3163" s="5">
        <v>372.7</v>
      </c>
      <c r="S3163" s="5">
        <v>374</v>
      </c>
      <c r="T3163" s="5">
        <v>373.75</v>
      </c>
      <c r="V3163" s="5">
        <v>372.42</v>
      </c>
      <c r="Y3163" s="5">
        <v>6679</v>
      </c>
      <c r="Z3163" s="5">
        <v>2492435.7999999998</v>
      </c>
      <c r="AA3163" s="5">
        <v>197</v>
      </c>
      <c r="AB3163" s="5" t="s">
        <v>85</v>
      </c>
      <c r="AC3163" s="5">
        <v>1</v>
      </c>
    </row>
    <row r="3164" spans="1:29" x14ac:dyDescent="0.3">
      <c r="A3164" s="34">
        <v>46274</v>
      </c>
      <c r="B3164" s="34">
        <v>46274</v>
      </c>
      <c r="C3164" s="5" t="s">
        <v>78</v>
      </c>
      <c r="D3164" s="5" t="s">
        <v>79</v>
      </c>
      <c r="E3164" s="5" t="s">
        <v>80</v>
      </c>
      <c r="F3164" s="5">
        <v>20213</v>
      </c>
      <c r="G3164" s="5" t="s">
        <v>9592</v>
      </c>
      <c r="H3164" s="5" t="s">
        <v>9593</v>
      </c>
      <c r="I3164" s="5" t="s">
        <v>313</v>
      </c>
      <c r="N3164" s="5" t="s">
        <v>9594</v>
      </c>
      <c r="O3164" s="5">
        <v>39.450000000000003</v>
      </c>
      <c r="P3164" s="5">
        <v>39.450000000000003</v>
      </c>
      <c r="Q3164" s="5">
        <v>39.450000000000003</v>
      </c>
      <c r="R3164" s="5">
        <v>39.450000000000003</v>
      </c>
      <c r="S3164" s="5">
        <v>39.450000000000003</v>
      </c>
      <c r="T3164" s="5">
        <v>39</v>
      </c>
      <c r="V3164" s="5">
        <v>39.450000000000003</v>
      </c>
      <c r="Y3164" s="5">
        <v>1600</v>
      </c>
      <c r="Z3164" s="5">
        <v>63120</v>
      </c>
      <c r="AA3164" s="5">
        <v>1</v>
      </c>
      <c r="AB3164" s="5" t="s">
        <v>85</v>
      </c>
      <c r="AC3164" s="5">
        <v>1600</v>
      </c>
    </row>
    <row r="3165" spans="1:29" x14ac:dyDescent="0.3">
      <c r="A3165" s="34">
        <v>46274</v>
      </c>
      <c r="B3165" s="34">
        <v>46274</v>
      </c>
      <c r="C3165" s="5" t="s">
        <v>78</v>
      </c>
      <c r="D3165" s="5" t="s">
        <v>79</v>
      </c>
      <c r="E3165" s="5" t="s">
        <v>80</v>
      </c>
      <c r="F3165" s="5">
        <v>764930</v>
      </c>
      <c r="G3165" s="5" t="s">
        <v>9595</v>
      </c>
      <c r="H3165" s="5" t="s">
        <v>9596</v>
      </c>
      <c r="I3165" s="5" t="s">
        <v>212</v>
      </c>
      <c r="N3165" s="5" t="s">
        <v>9597</v>
      </c>
      <c r="O3165" s="5">
        <v>1259.9000000000001</v>
      </c>
      <c r="P3165" s="5">
        <v>1259.9000000000001</v>
      </c>
      <c r="Q3165" s="5">
        <v>1180.8</v>
      </c>
      <c r="R3165" s="5">
        <v>1225.3</v>
      </c>
      <c r="S3165" s="5">
        <v>1228</v>
      </c>
      <c r="T3165" s="5">
        <v>1239.4000000000001</v>
      </c>
      <c r="V3165" s="5">
        <v>1226.6500000000001</v>
      </c>
      <c r="Y3165" s="5">
        <v>1041</v>
      </c>
      <c r="Z3165" s="5">
        <v>1278557.1000000001</v>
      </c>
      <c r="AA3165" s="5">
        <v>260</v>
      </c>
      <c r="AB3165" s="5" t="s">
        <v>85</v>
      </c>
      <c r="AC3165" s="5">
        <v>1</v>
      </c>
    </row>
    <row r="3166" spans="1:29" x14ac:dyDescent="0.3">
      <c r="A3166" s="34">
        <v>46274</v>
      </c>
      <c r="B3166" s="34">
        <v>46274</v>
      </c>
      <c r="C3166" s="5" t="s">
        <v>78</v>
      </c>
      <c r="D3166" s="5" t="s">
        <v>79</v>
      </c>
      <c r="E3166" s="5" t="s">
        <v>80</v>
      </c>
      <c r="F3166" s="5">
        <v>765387</v>
      </c>
      <c r="G3166" s="5" t="s">
        <v>9598</v>
      </c>
      <c r="H3166" s="5" t="s">
        <v>9599</v>
      </c>
      <c r="I3166" s="5" t="s">
        <v>212</v>
      </c>
      <c r="N3166" s="5" t="s">
        <v>9600</v>
      </c>
      <c r="O3166" s="5">
        <v>490.05</v>
      </c>
      <c r="P3166" s="5">
        <v>498.6</v>
      </c>
      <c r="Q3166" s="5">
        <v>476.35</v>
      </c>
      <c r="R3166" s="5">
        <v>481.2</v>
      </c>
      <c r="S3166" s="5">
        <v>479</v>
      </c>
      <c r="T3166" s="5">
        <v>489.15</v>
      </c>
      <c r="V3166" s="5">
        <v>481.15</v>
      </c>
      <c r="Y3166" s="5">
        <v>850225</v>
      </c>
      <c r="Z3166" s="5">
        <v>415059569.5</v>
      </c>
      <c r="AA3166" s="5">
        <v>13959</v>
      </c>
      <c r="AB3166" s="5" t="s">
        <v>85</v>
      </c>
      <c r="AC3166" s="5">
        <v>1</v>
      </c>
    </row>
    <row r="3167" spans="1:29" x14ac:dyDescent="0.3">
      <c r="A3167" s="34">
        <v>46274</v>
      </c>
      <c r="B3167" s="34">
        <v>46274</v>
      </c>
      <c r="C3167" s="5" t="s">
        <v>78</v>
      </c>
      <c r="D3167" s="5" t="s">
        <v>79</v>
      </c>
      <c r="E3167" s="5" t="s">
        <v>80</v>
      </c>
      <c r="F3167" s="5">
        <v>757763</v>
      </c>
      <c r="G3167" s="5" t="s">
        <v>9601</v>
      </c>
      <c r="H3167" s="5" t="s">
        <v>9602</v>
      </c>
      <c r="I3167" s="5" t="s">
        <v>313</v>
      </c>
      <c r="N3167" s="5" t="s">
        <v>9603</v>
      </c>
      <c r="O3167" s="5">
        <v>39.15</v>
      </c>
      <c r="P3167" s="5">
        <v>39.15</v>
      </c>
      <c r="Q3167" s="5">
        <v>39.15</v>
      </c>
      <c r="R3167" s="5">
        <v>39.15</v>
      </c>
      <c r="S3167" s="5">
        <v>39.15</v>
      </c>
      <c r="T3167" s="5">
        <v>39.15</v>
      </c>
      <c r="V3167" s="5">
        <v>39.15</v>
      </c>
      <c r="Y3167" s="5">
        <v>1600</v>
      </c>
      <c r="Z3167" s="5">
        <v>62640</v>
      </c>
      <c r="AA3167" s="5">
        <v>1</v>
      </c>
      <c r="AB3167" s="5" t="s">
        <v>85</v>
      </c>
      <c r="AC3167" s="5">
        <v>1600</v>
      </c>
    </row>
    <row r="3168" spans="1:29" x14ac:dyDescent="0.3">
      <c r="A3168" s="34">
        <v>46274</v>
      </c>
      <c r="B3168" s="34">
        <v>46274</v>
      </c>
      <c r="C3168" s="5" t="s">
        <v>78</v>
      </c>
      <c r="D3168" s="5" t="s">
        <v>79</v>
      </c>
      <c r="E3168" s="5" t="s">
        <v>80</v>
      </c>
      <c r="F3168" s="5">
        <v>17641</v>
      </c>
      <c r="G3168" s="5" t="s">
        <v>9604</v>
      </c>
      <c r="H3168" s="5" t="s">
        <v>9605</v>
      </c>
      <c r="I3168" s="5" t="s">
        <v>212</v>
      </c>
      <c r="N3168" s="5" t="s">
        <v>9606</v>
      </c>
      <c r="O3168" s="5">
        <v>295.8</v>
      </c>
      <c r="P3168" s="5">
        <v>296.95</v>
      </c>
      <c r="Q3168" s="5">
        <v>290.45</v>
      </c>
      <c r="R3168" s="5">
        <v>291.7</v>
      </c>
      <c r="S3168" s="5">
        <v>292</v>
      </c>
      <c r="T3168" s="5">
        <v>295.89999999999998</v>
      </c>
      <c r="V3168" s="5">
        <v>291.77999999999997</v>
      </c>
      <c r="Y3168" s="5">
        <v>85230</v>
      </c>
      <c r="Z3168" s="5">
        <v>24935743.25</v>
      </c>
      <c r="AA3168" s="5">
        <v>2456</v>
      </c>
      <c r="AB3168" s="5" t="s">
        <v>85</v>
      </c>
      <c r="AC3168" s="5">
        <v>1</v>
      </c>
    </row>
    <row r="3169" spans="1:29" x14ac:dyDescent="0.3">
      <c r="A3169" s="34">
        <v>46274</v>
      </c>
      <c r="B3169" s="34">
        <v>46274</v>
      </c>
      <c r="C3169" s="5" t="s">
        <v>78</v>
      </c>
      <c r="D3169" s="5" t="s">
        <v>79</v>
      </c>
      <c r="E3169" s="5" t="s">
        <v>80</v>
      </c>
      <c r="F3169" s="5">
        <v>8931</v>
      </c>
      <c r="G3169" s="5" t="s">
        <v>9607</v>
      </c>
      <c r="H3169" s="5" t="s">
        <v>9608</v>
      </c>
      <c r="I3169" s="5" t="s">
        <v>234</v>
      </c>
      <c r="N3169" s="5" t="s">
        <v>9609</v>
      </c>
      <c r="O3169" s="5">
        <v>6.87</v>
      </c>
      <c r="P3169" s="5">
        <v>7.2</v>
      </c>
      <c r="Q3169" s="5">
        <v>6.8</v>
      </c>
      <c r="R3169" s="5">
        <v>7.01</v>
      </c>
      <c r="S3169" s="5">
        <v>7.01</v>
      </c>
      <c r="T3169" s="5">
        <v>6.87</v>
      </c>
      <c r="V3169" s="5">
        <v>6.94</v>
      </c>
      <c r="Y3169" s="5">
        <v>28818</v>
      </c>
      <c r="Z3169" s="5">
        <v>199976.57</v>
      </c>
      <c r="AA3169" s="5">
        <v>52</v>
      </c>
      <c r="AB3169" s="5" t="s">
        <v>85</v>
      </c>
      <c r="AC3169" s="5">
        <v>1</v>
      </c>
    </row>
    <row r="3170" spans="1:29" x14ac:dyDescent="0.3">
      <c r="A3170" s="34">
        <v>46274</v>
      </c>
      <c r="B3170" s="34">
        <v>46274</v>
      </c>
      <c r="C3170" s="5" t="s">
        <v>78</v>
      </c>
      <c r="D3170" s="5" t="s">
        <v>79</v>
      </c>
      <c r="E3170" s="5" t="s">
        <v>80</v>
      </c>
      <c r="F3170" s="5">
        <v>764938</v>
      </c>
      <c r="G3170" s="5" t="s">
        <v>9610</v>
      </c>
      <c r="H3170" s="5" t="s">
        <v>9611</v>
      </c>
      <c r="I3170" s="5" t="s">
        <v>234</v>
      </c>
      <c r="N3170" s="5" t="s">
        <v>9612</v>
      </c>
      <c r="O3170" s="5">
        <v>11.38</v>
      </c>
      <c r="P3170" s="5">
        <v>11.38</v>
      </c>
      <c r="Q3170" s="5">
        <v>11.38</v>
      </c>
      <c r="R3170" s="5">
        <v>11.38</v>
      </c>
      <c r="S3170" s="5">
        <v>11.38</v>
      </c>
      <c r="T3170" s="5">
        <v>11.97</v>
      </c>
      <c r="V3170" s="5">
        <v>11.38</v>
      </c>
      <c r="Y3170" s="5">
        <v>12803</v>
      </c>
      <c r="Z3170" s="5">
        <v>145698.14000000001</v>
      </c>
      <c r="AA3170" s="5">
        <v>168</v>
      </c>
      <c r="AB3170" s="5" t="s">
        <v>85</v>
      </c>
      <c r="AC3170" s="5">
        <v>1</v>
      </c>
    </row>
    <row r="3171" spans="1:29" x14ac:dyDescent="0.3">
      <c r="A3171" s="34">
        <v>46274</v>
      </c>
      <c r="B3171" s="34">
        <v>46274</v>
      </c>
      <c r="C3171" s="5" t="s">
        <v>78</v>
      </c>
      <c r="D3171" s="5" t="s">
        <v>79</v>
      </c>
      <c r="E3171" s="5" t="s">
        <v>80</v>
      </c>
      <c r="F3171" s="5">
        <v>20616</v>
      </c>
      <c r="G3171" s="5" t="s">
        <v>9613</v>
      </c>
      <c r="H3171" s="5" t="s">
        <v>9614</v>
      </c>
      <c r="I3171" s="5" t="s">
        <v>212</v>
      </c>
      <c r="N3171" s="5" t="s">
        <v>9615</v>
      </c>
      <c r="O3171" s="5">
        <v>168.5</v>
      </c>
      <c r="P3171" s="5">
        <v>189</v>
      </c>
      <c r="Q3171" s="5">
        <v>167.04</v>
      </c>
      <c r="R3171" s="5">
        <v>180.05</v>
      </c>
      <c r="S3171" s="5">
        <v>181</v>
      </c>
      <c r="T3171" s="5">
        <v>170.7</v>
      </c>
      <c r="V3171" s="5">
        <v>180.05</v>
      </c>
      <c r="Y3171" s="5">
        <v>73213</v>
      </c>
      <c r="Z3171" s="5">
        <v>13397994.51</v>
      </c>
      <c r="AA3171" s="5">
        <v>1542</v>
      </c>
      <c r="AB3171" s="5" t="s">
        <v>85</v>
      </c>
      <c r="AC3171" s="5">
        <v>1</v>
      </c>
    </row>
    <row r="3172" spans="1:29" x14ac:dyDescent="0.3">
      <c r="A3172" s="34">
        <v>46274</v>
      </c>
      <c r="B3172" s="34">
        <v>46274</v>
      </c>
      <c r="C3172" s="5" t="s">
        <v>78</v>
      </c>
      <c r="D3172" s="5" t="s">
        <v>79</v>
      </c>
      <c r="E3172" s="5" t="s">
        <v>80</v>
      </c>
      <c r="F3172" s="5">
        <v>3147</v>
      </c>
      <c r="G3172" s="5" t="s">
        <v>9616</v>
      </c>
      <c r="H3172" s="5" t="s">
        <v>9617</v>
      </c>
      <c r="I3172" s="5" t="s">
        <v>212</v>
      </c>
      <c r="N3172" s="5" t="s">
        <v>9618</v>
      </c>
      <c r="O3172" s="5">
        <v>29.55</v>
      </c>
      <c r="P3172" s="5">
        <v>29.55</v>
      </c>
      <c r="Q3172" s="5">
        <v>29.34</v>
      </c>
      <c r="R3172" s="5">
        <v>29.35</v>
      </c>
      <c r="S3172" s="5">
        <v>29.35</v>
      </c>
      <c r="T3172" s="5">
        <v>30.2</v>
      </c>
      <c r="V3172" s="5">
        <v>30.54</v>
      </c>
      <c r="Y3172" s="5">
        <v>346</v>
      </c>
      <c r="Z3172" s="5">
        <v>10223.49</v>
      </c>
      <c r="AA3172" s="5">
        <v>24</v>
      </c>
      <c r="AB3172" s="5" t="s">
        <v>85</v>
      </c>
      <c r="AC3172" s="5">
        <v>1</v>
      </c>
    </row>
    <row r="3173" spans="1:29" x14ac:dyDescent="0.3">
      <c r="A3173" s="34">
        <v>46274</v>
      </c>
      <c r="B3173" s="34">
        <v>46274</v>
      </c>
      <c r="C3173" s="5" t="s">
        <v>78</v>
      </c>
      <c r="D3173" s="5" t="s">
        <v>79</v>
      </c>
      <c r="E3173" s="5" t="s">
        <v>80</v>
      </c>
      <c r="F3173" s="5">
        <v>11689</v>
      </c>
      <c r="G3173" s="5" t="s">
        <v>9619</v>
      </c>
      <c r="H3173" s="5" t="s">
        <v>9620</v>
      </c>
      <c r="I3173" s="5" t="s">
        <v>212</v>
      </c>
      <c r="N3173" s="5" t="s">
        <v>9621</v>
      </c>
      <c r="O3173" s="5">
        <v>478.7</v>
      </c>
      <c r="P3173" s="5">
        <v>488.5</v>
      </c>
      <c r="Q3173" s="5">
        <v>465</v>
      </c>
      <c r="R3173" s="5">
        <v>485.45</v>
      </c>
      <c r="S3173" s="5">
        <v>482</v>
      </c>
      <c r="T3173" s="5">
        <v>475.6</v>
      </c>
      <c r="V3173" s="5">
        <v>485.42</v>
      </c>
      <c r="Y3173" s="5">
        <v>99934</v>
      </c>
      <c r="Z3173" s="5">
        <v>48202682.350000001</v>
      </c>
      <c r="AA3173" s="5">
        <v>7233</v>
      </c>
      <c r="AB3173" s="5" t="s">
        <v>85</v>
      </c>
      <c r="AC3173" s="5">
        <v>1</v>
      </c>
    </row>
    <row r="3174" spans="1:29" x14ac:dyDescent="0.3">
      <c r="A3174" s="34">
        <v>46274</v>
      </c>
      <c r="B3174" s="34">
        <v>46274</v>
      </c>
      <c r="C3174" s="5" t="s">
        <v>78</v>
      </c>
      <c r="D3174" s="5" t="s">
        <v>79</v>
      </c>
      <c r="E3174" s="5" t="s">
        <v>80</v>
      </c>
      <c r="F3174" s="5">
        <v>758997</v>
      </c>
      <c r="G3174" s="5" t="s">
        <v>9622</v>
      </c>
      <c r="H3174" s="5" t="s">
        <v>9623</v>
      </c>
      <c r="I3174" s="5" t="s">
        <v>614</v>
      </c>
      <c r="N3174" s="5" t="s">
        <v>9624</v>
      </c>
      <c r="O3174" s="5">
        <v>3.21</v>
      </c>
      <c r="P3174" s="5">
        <v>3.21</v>
      </c>
      <c r="Q3174" s="5">
        <v>3.21</v>
      </c>
      <c r="R3174" s="5">
        <v>3.21</v>
      </c>
      <c r="S3174" s="5">
        <v>3.21</v>
      </c>
      <c r="T3174" s="5">
        <v>3.15</v>
      </c>
      <c r="V3174" s="5">
        <v>3.21</v>
      </c>
      <c r="Y3174" s="5">
        <v>222519</v>
      </c>
      <c r="Z3174" s="5">
        <v>714285.99</v>
      </c>
      <c r="AA3174" s="5">
        <v>104</v>
      </c>
      <c r="AB3174" s="5" t="s">
        <v>85</v>
      </c>
      <c r="AC3174" s="5">
        <v>1</v>
      </c>
    </row>
    <row r="3175" spans="1:29" x14ac:dyDescent="0.3">
      <c r="A3175" s="34">
        <v>46274</v>
      </c>
      <c r="B3175" s="34">
        <v>46274</v>
      </c>
      <c r="C3175" s="5" t="s">
        <v>78</v>
      </c>
      <c r="D3175" s="5" t="s">
        <v>79</v>
      </c>
      <c r="E3175" s="5" t="s">
        <v>80</v>
      </c>
      <c r="F3175" s="5">
        <v>28069</v>
      </c>
      <c r="G3175" s="5" t="s">
        <v>9625</v>
      </c>
      <c r="H3175" s="5" t="s">
        <v>9626</v>
      </c>
      <c r="I3175" s="5" t="s">
        <v>313</v>
      </c>
      <c r="N3175" s="5" t="s">
        <v>9627</v>
      </c>
      <c r="O3175" s="5">
        <v>21.55</v>
      </c>
      <c r="P3175" s="5">
        <v>21.85</v>
      </c>
      <c r="Q3175" s="5">
        <v>21.55</v>
      </c>
      <c r="R3175" s="5">
        <v>21.85</v>
      </c>
      <c r="S3175" s="5">
        <v>21.85</v>
      </c>
      <c r="T3175" s="5">
        <v>21.5</v>
      </c>
      <c r="V3175" s="5">
        <v>21.85</v>
      </c>
      <c r="Y3175" s="5">
        <v>4800</v>
      </c>
      <c r="Z3175" s="5">
        <v>104320</v>
      </c>
      <c r="AA3175" s="5">
        <v>3</v>
      </c>
      <c r="AB3175" s="5" t="s">
        <v>85</v>
      </c>
      <c r="AC3175" s="5">
        <v>1600</v>
      </c>
    </row>
    <row r="3176" spans="1:29" x14ac:dyDescent="0.3">
      <c r="A3176" s="34">
        <v>46274</v>
      </c>
      <c r="B3176" s="34">
        <v>46274</v>
      </c>
      <c r="C3176" s="5" t="s">
        <v>78</v>
      </c>
      <c r="D3176" s="5" t="s">
        <v>79</v>
      </c>
      <c r="E3176" s="5" t="s">
        <v>80</v>
      </c>
      <c r="F3176" s="5">
        <v>29439</v>
      </c>
      <c r="G3176" s="5" t="s">
        <v>9628</v>
      </c>
      <c r="H3176" s="5" t="s">
        <v>9629</v>
      </c>
      <c r="I3176" s="5" t="s">
        <v>212</v>
      </c>
      <c r="N3176" s="5" t="s">
        <v>9630</v>
      </c>
      <c r="O3176" s="5">
        <v>37.950000000000003</v>
      </c>
      <c r="P3176" s="5">
        <v>37.950000000000003</v>
      </c>
      <c r="Q3176" s="5">
        <v>34.799999999999997</v>
      </c>
      <c r="R3176" s="5">
        <v>35.17</v>
      </c>
      <c r="S3176" s="5">
        <v>35.200000000000003</v>
      </c>
      <c r="T3176" s="5">
        <v>37.159999999999997</v>
      </c>
      <c r="V3176" s="5">
        <v>35.17</v>
      </c>
      <c r="Y3176" s="5">
        <v>245015</v>
      </c>
      <c r="Z3176" s="5">
        <v>8782692.3499999996</v>
      </c>
      <c r="AA3176" s="5">
        <v>774</v>
      </c>
      <c r="AB3176" s="5" t="s">
        <v>85</v>
      </c>
      <c r="AC3176" s="5">
        <v>1</v>
      </c>
    </row>
    <row r="3177" spans="1:29" x14ac:dyDescent="0.3">
      <c r="A3177" s="34">
        <v>46274</v>
      </c>
      <c r="B3177" s="34">
        <v>46274</v>
      </c>
      <c r="C3177" s="5" t="s">
        <v>78</v>
      </c>
      <c r="D3177" s="5" t="s">
        <v>79</v>
      </c>
      <c r="E3177" s="5" t="s">
        <v>80</v>
      </c>
      <c r="F3177" s="5">
        <v>3363</v>
      </c>
      <c r="G3177" s="5" t="s">
        <v>9631</v>
      </c>
      <c r="H3177" s="5" t="s">
        <v>9632</v>
      </c>
      <c r="I3177" s="5" t="s">
        <v>212</v>
      </c>
      <c r="N3177" s="5" t="s">
        <v>9633</v>
      </c>
      <c r="O3177" s="5">
        <v>3553</v>
      </c>
      <c r="P3177" s="5">
        <v>3561.4</v>
      </c>
      <c r="Q3177" s="5">
        <v>3493.8</v>
      </c>
      <c r="R3177" s="5">
        <v>3516.9</v>
      </c>
      <c r="S3177" s="5">
        <v>3516.9</v>
      </c>
      <c r="T3177" s="5">
        <v>3553</v>
      </c>
      <c r="V3177" s="5">
        <v>3516.9</v>
      </c>
      <c r="Y3177" s="5">
        <v>99750</v>
      </c>
      <c r="Z3177" s="5">
        <v>350462899.5</v>
      </c>
      <c r="AA3177" s="5">
        <v>16616</v>
      </c>
      <c r="AB3177" s="5" t="s">
        <v>85</v>
      </c>
      <c r="AC3177" s="5">
        <v>1</v>
      </c>
    </row>
    <row r="3178" spans="1:29" x14ac:dyDescent="0.3">
      <c r="A3178" s="34">
        <v>46274</v>
      </c>
      <c r="B3178" s="34">
        <v>46274</v>
      </c>
      <c r="C3178" s="5" t="s">
        <v>78</v>
      </c>
      <c r="D3178" s="5" t="s">
        <v>79</v>
      </c>
      <c r="E3178" s="5" t="s">
        <v>80</v>
      </c>
      <c r="F3178" s="5">
        <v>15002</v>
      </c>
      <c r="G3178" s="5" t="s">
        <v>9634</v>
      </c>
      <c r="H3178" s="5" t="s">
        <v>9635</v>
      </c>
      <c r="I3178" s="5" t="s">
        <v>212</v>
      </c>
      <c r="N3178" s="5" t="s">
        <v>9636</v>
      </c>
      <c r="O3178" s="5">
        <v>85.46</v>
      </c>
      <c r="P3178" s="5">
        <v>86.5</v>
      </c>
      <c r="Q3178" s="5">
        <v>83</v>
      </c>
      <c r="R3178" s="5">
        <v>85.54</v>
      </c>
      <c r="S3178" s="5">
        <v>86.5</v>
      </c>
      <c r="T3178" s="5">
        <v>85.1</v>
      </c>
      <c r="V3178" s="5">
        <v>85.56</v>
      </c>
      <c r="Y3178" s="5">
        <v>42204</v>
      </c>
      <c r="Z3178" s="5">
        <v>3571628.42</v>
      </c>
      <c r="AA3178" s="5">
        <v>1427</v>
      </c>
      <c r="AB3178" s="5" t="s">
        <v>85</v>
      </c>
      <c r="AC3178" s="5">
        <v>1</v>
      </c>
    </row>
    <row r="3179" spans="1:29" x14ac:dyDescent="0.3">
      <c r="A3179" s="34">
        <v>46274</v>
      </c>
      <c r="B3179" s="34">
        <v>46274</v>
      </c>
      <c r="C3179" s="5" t="s">
        <v>78</v>
      </c>
      <c r="D3179" s="5" t="s">
        <v>79</v>
      </c>
      <c r="E3179" s="5" t="s">
        <v>80</v>
      </c>
      <c r="F3179" s="5">
        <v>9617</v>
      </c>
      <c r="G3179" s="5" t="s">
        <v>9637</v>
      </c>
      <c r="H3179" s="5" t="s">
        <v>9638</v>
      </c>
      <c r="I3179" s="5" t="s">
        <v>212</v>
      </c>
      <c r="N3179" s="5" t="s">
        <v>9639</v>
      </c>
      <c r="O3179" s="5">
        <v>828</v>
      </c>
      <c r="P3179" s="5">
        <v>837.6</v>
      </c>
      <c r="Q3179" s="5">
        <v>810</v>
      </c>
      <c r="R3179" s="5">
        <v>813.55</v>
      </c>
      <c r="S3179" s="5">
        <v>816</v>
      </c>
      <c r="T3179" s="5">
        <v>828.4</v>
      </c>
      <c r="V3179" s="5">
        <v>813.54</v>
      </c>
      <c r="Y3179" s="5">
        <v>196496</v>
      </c>
      <c r="Z3179" s="5">
        <v>162275072.94999999</v>
      </c>
      <c r="AA3179" s="5">
        <v>13039</v>
      </c>
      <c r="AB3179" s="5" t="s">
        <v>85</v>
      </c>
      <c r="AC3179" s="5">
        <v>1</v>
      </c>
    </row>
    <row r="3180" spans="1:29" x14ac:dyDescent="0.3">
      <c r="A3180" s="34">
        <v>46274</v>
      </c>
      <c r="B3180" s="34">
        <v>46274</v>
      </c>
      <c r="C3180" s="5" t="s">
        <v>78</v>
      </c>
      <c r="D3180" s="5" t="s">
        <v>79</v>
      </c>
      <c r="E3180" s="5" t="s">
        <v>80</v>
      </c>
      <c r="F3180" s="5">
        <v>21067</v>
      </c>
      <c r="G3180" s="5" t="s">
        <v>9640</v>
      </c>
      <c r="H3180" s="5" t="s">
        <v>9641</v>
      </c>
      <c r="I3180" s="5" t="s">
        <v>313</v>
      </c>
      <c r="N3180" s="5" t="s">
        <v>9642</v>
      </c>
      <c r="O3180" s="5">
        <v>231.5</v>
      </c>
      <c r="P3180" s="5">
        <v>232.4</v>
      </c>
      <c r="Q3180" s="5">
        <v>223.15</v>
      </c>
      <c r="R3180" s="5">
        <v>226.75</v>
      </c>
      <c r="S3180" s="5">
        <v>225.95</v>
      </c>
      <c r="T3180" s="5">
        <v>233.35</v>
      </c>
      <c r="V3180" s="5">
        <v>226.75</v>
      </c>
      <c r="Y3180" s="5">
        <v>54500</v>
      </c>
      <c r="Z3180" s="5">
        <v>12458800</v>
      </c>
      <c r="AA3180" s="5">
        <v>91</v>
      </c>
      <c r="AB3180" s="5" t="s">
        <v>85</v>
      </c>
      <c r="AC3180" s="5">
        <v>500</v>
      </c>
    </row>
    <row r="3181" spans="1:29" x14ac:dyDescent="0.3">
      <c r="A3181" s="34">
        <v>46274</v>
      </c>
      <c r="B3181" s="34">
        <v>46274</v>
      </c>
      <c r="C3181" s="5" t="s">
        <v>78</v>
      </c>
      <c r="D3181" s="5" t="s">
        <v>79</v>
      </c>
      <c r="E3181" s="5" t="s">
        <v>80</v>
      </c>
      <c r="F3181" s="5">
        <v>7390</v>
      </c>
      <c r="G3181" s="5" t="s">
        <v>9643</v>
      </c>
      <c r="H3181" s="5" t="s">
        <v>9644</v>
      </c>
      <c r="I3181" s="5" t="s">
        <v>212</v>
      </c>
      <c r="N3181" s="5" t="s">
        <v>9645</v>
      </c>
      <c r="O3181" s="5">
        <v>911.3</v>
      </c>
      <c r="P3181" s="5">
        <v>925</v>
      </c>
      <c r="Q3181" s="5">
        <v>899.1</v>
      </c>
      <c r="R3181" s="5">
        <v>911.4</v>
      </c>
      <c r="S3181" s="5">
        <v>909</v>
      </c>
      <c r="T3181" s="5">
        <v>915.65</v>
      </c>
      <c r="V3181" s="5">
        <v>911.39</v>
      </c>
      <c r="Y3181" s="5">
        <v>196499</v>
      </c>
      <c r="Z3181" s="5">
        <v>178951816.5</v>
      </c>
      <c r="AA3181" s="5">
        <v>13816</v>
      </c>
      <c r="AB3181" s="5" t="s">
        <v>85</v>
      </c>
      <c r="AC3181" s="5">
        <v>1</v>
      </c>
    </row>
    <row r="3182" spans="1:29" x14ac:dyDescent="0.3">
      <c r="A3182" s="34">
        <v>46274</v>
      </c>
      <c r="B3182" s="34">
        <v>46274</v>
      </c>
      <c r="C3182" s="5" t="s">
        <v>78</v>
      </c>
      <c r="D3182" s="5" t="s">
        <v>79</v>
      </c>
      <c r="E3182" s="5" t="s">
        <v>80</v>
      </c>
      <c r="F3182" s="5">
        <v>20822</v>
      </c>
      <c r="G3182" s="5" t="s">
        <v>9646</v>
      </c>
      <c r="H3182" s="5" t="s">
        <v>9647</v>
      </c>
      <c r="I3182" s="5" t="s">
        <v>212</v>
      </c>
      <c r="N3182" s="5" t="s">
        <v>9648</v>
      </c>
      <c r="O3182" s="5">
        <v>174.25</v>
      </c>
      <c r="P3182" s="5">
        <v>179.99</v>
      </c>
      <c r="Q3182" s="5">
        <v>166.25</v>
      </c>
      <c r="R3182" s="5">
        <v>169.91</v>
      </c>
      <c r="S3182" s="5">
        <v>175</v>
      </c>
      <c r="T3182" s="5">
        <v>173.92</v>
      </c>
      <c r="V3182" s="5">
        <v>170</v>
      </c>
      <c r="Y3182" s="5">
        <v>385372</v>
      </c>
      <c r="Z3182" s="5">
        <v>65600453.409999996</v>
      </c>
      <c r="AA3182" s="5">
        <v>3530</v>
      </c>
      <c r="AB3182" s="5" t="s">
        <v>85</v>
      </c>
      <c r="AC3182" s="5">
        <v>1</v>
      </c>
    </row>
    <row r="3183" spans="1:29" x14ac:dyDescent="0.3">
      <c r="A3183" s="34">
        <v>46274</v>
      </c>
      <c r="B3183" s="34">
        <v>46274</v>
      </c>
      <c r="C3183" s="5" t="s">
        <v>78</v>
      </c>
      <c r="D3183" s="5" t="s">
        <v>79</v>
      </c>
      <c r="E3183" s="5" t="s">
        <v>80</v>
      </c>
      <c r="F3183" s="5">
        <v>24966</v>
      </c>
      <c r="G3183" s="5" t="s">
        <v>9649</v>
      </c>
      <c r="H3183" s="5" t="s">
        <v>9650</v>
      </c>
      <c r="I3183" s="5" t="s">
        <v>212</v>
      </c>
      <c r="N3183" s="5" t="s">
        <v>9651</v>
      </c>
      <c r="O3183" s="5">
        <v>200</v>
      </c>
      <c r="P3183" s="5">
        <v>205.5</v>
      </c>
      <c r="Q3183" s="5">
        <v>192.01</v>
      </c>
      <c r="R3183" s="5">
        <v>204.06</v>
      </c>
      <c r="S3183" s="5">
        <v>205.5</v>
      </c>
      <c r="T3183" s="5">
        <v>200.2</v>
      </c>
      <c r="V3183" s="5">
        <v>204.06</v>
      </c>
      <c r="Y3183" s="5">
        <v>1117</v>
      </c>
      <c r="Z3183" s="5">
        <v>227549.36</v>
      </c>
      <c r="AA3183" s="5">
        <v>29</v>
      </c>
      <c r="AB3183" s="5" t="s">
        <v>85</v>
      </c>
      <c r="AC3183" s="5">
        <v>1</v>
      </c>
    </row>
    <row r="3184" spans="1:29" x14ac:dyDescent="0.3">
      <c r="A3184" s="34">
        <v>46274</v>
      </c>
      <c r="B3184" s="34">
        <v>46274</v>
      </c>
      <c r="C3184" s="5" t="s">
        <v>78</v>
      </c>
      <c r="D3184" s="5" t="s">
        <v>79</v>
      </c>
      <c r="E3184" s="5" t="s">
        <v>80</v>
      </c>
      <c r="F3184" s="5">
        <v>27334</v>
      </c>
      <c r="G3184" s="5" t="s">
        <v>9652</v>
      </c>
      <c r="H3184" s="5" t="s">
        <v>9653</v>
      </c>
      <c r="I3184" s="5" t="s">
        <v>212</v>
      </c>
      <c r="N3184" s="5" t="s">
        <v>9654</v>
      </c>
      <c r="O3184" s="5">
        <v>335.05</v>
      </c>
      <c r="P3184" s="5">
        <v>349</v>
      </c>
      <c r="Q3184" s="5">
        <v>333.6</v>
      </c>
      <c r="R3184" s="5">
        <v>335.65</v>
      </c>
      <c r="S3184" s="5">
        <v>335</v>
      </c>
      <c r="T3184" s="5">
        <v>340.1</v>
      </c>
      <c r="V3184" s="5">
        <v>335.66</v>
      </c>
      <c r="Y3184" s="5">
        <v>117233</v>
      </c>
      <c r="Z3184" s="5">
        <v>40118601.549999997</v>
      </c>
      <c r="AA3184" s="5">
        <v>5212</v>
      </c>
      <c r="AB3184" s="5" t="s">
        <v>85</v>
      </c>
      <c r="AC3184" s="5">
        <v>1</v>
      </c>
    </row>
    <row r="3185" spans="1:29" x14ac:dyDescent="0.3">
      <c r="A3185" s="34">
        <v>46274</v>
      </c>
      <c r="B3185" s="34">
        <v>46274</v>
      </c>
      <c r="C3185" s="5" t="s">
        <v>78</v>
      </c>
      <c r="D3185" s="5" t="s">
        <v>79</v>
      </c>
      <c r="E3185" s="5" t="s">
        <v>80</v>
      </c>
      <c r="F3185" s="5">
        <v>21077</v>
      </c>
      <c r="G3185" s="5" t="s">
        <v>9655</v>
      </c>
      <c r="H3185" s="5" t="s">
        <v>9656</v>
      </c>
      <c r="I3185" s="5" t="s">
        <v>212</v>
      </c>
      <c r="N3185" s="5" t="s">
        <v>9657</v>
      </c>
      <c r="O3185" s="5">
        <v>26.26</v>
      </c>
      <c r="P3185" s="5">
        <v>26.27</v>
      </c>
      <c r="Q3185" s="5">
        <v>25.72</v>
      </c>
      <c r="R3185" s="5">
        <v>25.78</v>
      </c>
      <c r="S3185" s="5">
        <v>25.72</v>
      </c>
      <c r="T3185" s="5">
        <v>26.03</v>
      </c>
      <c r="V3185" s="5">
        <v>25.78</v>
      </c>
      <c r="Y3185" s="5">
        <v>27564</v>
      </c>
      <c r="Z3185" s="5">
        <v>713330.46</v>
      </c>
      <c r="AA3185" s="5">
        <v>339</v>
      </c>
      <c r="AB3185" s="5" t="s">
        <v>85</v>
      </c>
      <c r="AC3185" s="5">
        <v>1</v>
      </c>
    </row>
    <row r="3186" spans="1:29" x14ac:dyDescent="0.3">
      <c r="A3186" s="34">
        <v>46274</v>
      </c>
      <c r="B3186" s="34">
        <v>46274</v>
      </c>
      <c r="C3186" s="5" t="s">
        <v>78</v>
      </c>
      <c r="D3186" s="5" t="s">
        <v>79</v>
      </c>
      <c r="E3186" s="5" t="s">
        <v>80</v>
      </c>
      <c r="F3186" s="5">
        <v>10700</v>
      </c>
      <c r="G3186" s="5" t="s">
        <v>9658</v>
      </c>
      <c r="H3186" s="5" t="s">
        <v>9659</v>
      </c>
      <c r="I3186" s="5" t="s">
        <v>212</v>
      </c>
      <c r="N3186" s="5" t="s">
        <v>9660</v>
      </c>
      <c r="O3186" s="5">
        <v>16.29</v>
      </c>
      <c r="P3186" s="5">
        <v>16.71</v>
      </c>
      <c r="Q3186" s="5">
        <v>16</v>
      </c>
      <c r="R3186" s="5">
        <v>16.239999999999998</v>
      </c>
      <c r="S3186" s="5">
        <v>16.239999999999998</v>
      </c>
      <c r="T3186" s="5">
        <v>16.420000000000002</v>
      </c>
      <c r="V3186" s="5">
        <v>16.239999999999998</v>
      </c>
      <c r="Y3186" s="5">
        <v>49078</v>
      </c>
      <c r="Z3186" s="5">
        <v>793465.09</v>
      </c>
      <c r="AA3186" s="5">
        <v>401</v>
      </c>
      <c r="AB3186" s="5" t="s">
        <v>85</v>
      </c>
      <c r="AC3186" s="5">
        <v>1</v>
      </c>
    </row>
    <row r="3187" spans="1:29" x14ac:dyDescent="0.3">
      <c r="A3187" s="34">
        <v>46274</v>
      </c>
      <c r="B3187" s="34">
        <v>46274</v>
      </c>
      <c r="C3187" s="5" t="s">
        <v>78</v>
      </c>
      <c r="D3187" s="5" t="s">
        <v>79</v>
      </c>
      <c r="E3187" s="5" t="s">
        <v>80</v>
      </c>
      <c r="F3187" s="5">
        <v>14139</v>
      </c>
      <c r="G3187" s="5" t="s">
        <v>9661</v>
      </c>
      <c r="H3187" s="5" t="s">
        <v>9662</v>
      </c>
      <c r="I3187" s="5" t="s">
        <v>212</v>
      </c>
      <c r="N3187" s="5" t="s">
        <v>9663</v>
      </c>
      <c r="O3187" s="5">
        <v>24.52</v>
      </c>
      <c r="P3187" s="5">
        <v>24.7</v>
      </c>
      <c r="Q3187" s="5">
        <v>23.67</v>
      </c>
      <c r="R3187" s="5">
        <v>23.99</v>
      </c>
      <c r="S3187" s="5">
        <v>24.01</v>
      </c>
      <c r="T3187" s="5">
        <v>23.81</v>
      </c>
      <c r="V3187" s="5">
        <v>23.99</v>
      </c>
      <c r="Y3187" s="5">
        <v>30066</v>
      </c>
      <c r="Z3187" s="5">
        <v>723816.14</v>
      </c>
      <c r="AA3187" s="5">
        <v>193</v>
      </c>
      <c r="AB3187" s="5" t="s">
        <v>85</v>
      </c>
      <c r="AC3187" s="5">
        <v>1</v>
      </c>
    </row>
    <row r="3188" spans="1:29" x14ac:dyDescent="0.3">
      <c r="A3188" s="34">
        <v>46274</v>
      </c>
      <c r="B3188" s="34">
        <v>46274</v>
      </c>
      <c r="C3188" s="5" t="s">
        <v>78</v>
      </c>
      <c r="D3188" s="5" t="s">
        <v>79</v>
      </c>
      <c r="E3188" s="5" t="s">
        <v>80</v>
      </c>
      <c r="F3188" s="5">
        <v>3375</v>
      </c>
      <c r="G3188" s="5" t="s">
        <v>9664</v>
      </c>
      <c r="H3188" s="5" t="s">
        <v>29</v>
      </c>
      <c r="I3188" s="5" t="s">
        <v>212</v>
      </c>
      <c r="N3188" s="5" t="s">
        <v>9665</v>
      </c>
      <c r="O3188" s="5">
        <v>217.1</v>
      </c>
      <c r="P3188" s="5">
        <v>222.28</v>
      </c>
      <c r="Q3188" s="5">
        <v>215.49</v>
      </c>
      <c r="R3188" s="5">
        <v>219.57</v>
      </c>
      <c r="S3188" s="5">
        <v>220</v>
      </c>
      <c r="T3188" s="5">
        <v>216.02</v>
      </c>
      <c r="V3188" s="5">
        <v>219.61</v>
      </c>
      <c r="Y3188" s="5">
        <v>831791</v>
      </c>
      <c r="Z3188" s="5">
        <v>181563870.99000001</v>
      </c>
      <c r="AA3188" s="5">
        <v>15258</v>
      </c>
      <c r="AB3188" s="5" t="s">
        <v>85</v>
      </c>
      <c r="AC3188" s="5">
        <v>1</v>
      </c>
    </row>
    <row r="3189" spans="1:29" x14ac:dyDescent="0.3">
      <c r="A3189" s="34">
        <v>46274</v>
      </c>
      <c r="B3189" s="34">
        <v>46274</v>
      </c>
      <c r="C3189" s="5" t="s">
        <v>78</v>
      </c>
      <c r="D3189" s="5" t="s">
        <v>79</v>
      </c>
      <c r="E3189" s="5" t="s">
        <v>80</v>
      </c>
      <c r="F3189" s="5">
        <v>11852</v>
      </c>
      <c r="G3189" s="5" t="s">
        <v>9666</v>
      </c>
      <c r="H3189" s="5" t="s">
        <v>9667</v>
      </c>
      <c r="I3189" s="5" t="s">
        <v>212</v>
      </c>
      <c r="N3189" s="5" t="s">
        <v>9668</v>
      </c>
      <c r="O3189" s="5">
        <v>58.98</v>
      </c>
      <c r="P3189" s="5">
        <v>59.74</v>
      </c>
      <c r="Q3189" s="5">
        <v>57.55</v>
      </c>
      <c r="R3189" s="5">
        <v>58.21</v>
      </c>
      <c r="S3189" s="5">
        <v>57.74</v>
      </c>
      <c r="T3189" s="5">
        <v>58.32</v>
      </c>
      <c r="V3189" s="5">
        <v>58.21</v>
      </c>
      <c r="Y3189" s="5">
        <v>957</v>
      </c>
      <c r="Z3189" s="5">
        <v>55686.39</v>
      </c>
      <c r="AA3189" s="5">
        <v>33</v>
      </c>
      <c r="AB3189" s="5" t="s">
        <v>85</v>
      </c>
      <c r="AC3189" s="5">
        <v>1</v>
      </c>
    </row>
    <row r="3190" spans="1:29" x14ac:dyDescent="0.3">
      <c r="A3190" s="34">
        <v>46274</v>
      </c>
      <c r="B3190" s="34">
        <v>46274</v>
      </c>
      <c r="C3190" s="5" t="s">
        <v>78</v>
      </c>
      <c r="D3190" s="5" t="s">
        <v>79</v>
      </c>
      <c r="E3190" s="5" t="s">
        <v>80</v>
      </c>
      <c r="F3190" s="5">
        <v>762924</v>
      </c>
      <c r="G3190" s="5" t="s">
        <v>9669</v>
      </c>
      <c r="H3190" s="5" t="s">
        <v>9670</v>
      </c>
      <c r="I3190" s="5" t="s">
        <v>212</v>
      </c>
      <c r="N3190" s="5" t="s">
        <v>9671</v>
      </c>
      <c r="O3190" s="5">
        <v>419</v>
      </c>
      <c r="P3190" s="5">
        <v>419</v>
      </c>
      <c r="Q3190" s="5">
        <v>400.5</v>
      </c>
      <c r="R3190" s="5">
        <v>401.05</v>
      </c>
      <c r="S3190" s="5">
        <v>401.05</v>
      </c>
      <c r="T3190" s="5">
        <v>410</v>
      </c>
      <c r="V3190" s="5">
        <v>401.05</v>
      </c>
      <c r="Y3190" s="5">
        <v>126</v>
      </c>
      <c r="Z3190" s="5">
        <v>50627.05</v>
      </c>
      <c r="AA3190" s="5">
        <v>12</v>
      </c>
      <c r="AB3190" s="5" t="s">
        <v>85</v>
      </c>
      <c r="AC3190" s="5">
        <v>1</v>
      </c>
    </row>
    <row r="3191" spans="1:29" x14ac:dyDescent="0.3">
      <c r="A3191" s="34">
        <v>46274</v>
      </c>
      <c r="B3191" s="34">
        <v>46274</v>
      </c>
      <c r="C3191" s="5" t="s">
        <v>78</v>
      </c>
      <c r="D3191" s="5" t="s">
        <v>79</v>
      </c>
      <c r="E3191" s="5" t="s">
        <v>80</v>
      </c>
      <c r="F3191" s="5">
        <v>2970</v>
      </c>
      <c r="G3191" s="5" t="s">
        <v>9672</v>
      </c>
      <c r="H3191" s="5" t="s">
        <v>9673</v>
      </c>
      <c r="I3191" s="5" t="s">
        <v>212</v>
      </c>
      <c r="N3191" s="5" t="s">
        <v>9674</v>
      </c>
      <c r="O3191" s="5">
        <v>155</v>
      </c>
      <c r="P3191" s="5">
        <v>155.5</v>
      </c>
      <c r="Q3191" s="5">
        <v>152.1</v>
      </c>
      <c r="R3191" s="5">
        <v>153.41999999999999</v>
      </c>
      <c r="S3191" s="5">
        <v>153.05000000000001</v>
      </c>
      <c r="T3191" s="5">
        <v>154.86000000000001</v>
      </c>
      <c r="V3191" s="5">
        <v>153.4</v>
      </c>
      <c r="Y3191" s="5">
        <v>151992</v>
      </c>
      <c r="Z3191" s="5">
        <v>23292683.920000002</v>
      </c>
      <c r="AA3191" s="5">
        <v>3116</v>
      </c>
      <c r="AB3191" s="5" t="s">
        <v>85</v>
      </c>
      <c r="AC3191" s="5">
        <v>1</v>
      </c>
    </row>
    <row r="3192" spans="1:29" x14ac:dyDescent="0.3">
      <c r="A3192" s="34">
        <v>46274</v>
      </c>
      <c r="B3192" s="34">
        <v>46274</v>
      </c>
      <c r="C3192" s="5" t="s">
        <v>78</v>
      </c>
      <c r="D3192" s="5" t="s">
        <v>79</v>
      </c>
      <c r="E3192" s="5" t="s">
        <v>80</v>
      </c>
      <c r="F3192" s="5">
        <v>13804</v>
      </c>
      <c r="G3192" s="5" t="s">
        <v>9675</v>
      </c>
      <c r="H3192" s="5" t="s">
        <v>9676</v>
      </c>
      <c r="I3192" s="5" t="s">
        <v>234</v>
      </c>
      <c r="N3192" s="5" t="s">
        <v>9677</v>
      </c>
      <c r="O3192" s="5">
        <v>40.4</v>
      </c>
      <c r="P3192" s="5">
        <v>41.6</v>
      </c>
      <c r="Q3192" s="5">
        <v>39.25</v>
      </c>
      <c r="R3192" s="5">
        <v>39.950000000000003</v>
      </c>
      <c r="S3192" s="5">
        <v>39.950000000000003</v>
      </c>
      <c r="T3192" s="5">
        <v>40.6</v>
      </c>
      <c r="V3192" s="5">
        <v>39.950000000000003</v>
      </c>
      <c r="Y3192" s="5">
        <v>18727</v>
      </c>
      <c r="Z3192" s="5">
        <v>749967.15</v>
      </c>
      <c r="AA3192" s="5">
        <v>82</v>
      </c>
      <c r="AB3192" s="5" t="s">
        <v>85</v>
      </c>
      <c r="AC3192" s="5">
        <v>1</v>
      </c>
    </row>
    <row r="3193" spans="1:29" x14ac:dyDescent="0.3">
      <c r="A3193" s="34">
        <v>46274</v>
      </c>
      <c r="B3193" s="34">
        <v>46274</v>
      </c>
      <c r="C3193" s="5" t="s">
        <v>78</v>
      </c>
      <c r="D3193" s="5" t="s">
        <v>79</v>
      </c>
      <c r="E3193" s="5" t="s">
        <v>80</v>
      </c>
      <c r="F3193" s="5">
        <v>11233</v>
      </c>
      <c r="G3193" s="5" t="s">
        <v>9678</v>
      </c>
      <c r="H3193" s="5" t="s">
        <v>9679</v>
      </c>
      <c r="I3193" s="5" t="s">
        <v>212</v>
      </c>
      <c r="N3193" s="5" t="s">
        <v>9680</v>
      </c>
      <c r="O3193" s="5">
        <v>369.9</v>
      </c>
      <c r="P3193" s="5">
        <v>376.75</v>
      </c>
      <c r="Q3193" s="5">
        <v>355.05</v>
      </c>
      <c r="R3193" s="5">
        <v>357.5</v>
      </c>
      <c r="S3193" s="5">
        <v>357.95</v>
      </c>
      <c r="T3193" s="5">
        <v>369.9</v>
      </c>
      <c r="V3193" s="5">
        <v>357.52</v>
      </c>
      <c r="Y3193" s="5">
        <v>780037</v>
      </c>
      <c r="Z3193" s="5">
        <v>281909184.80000001</v>
      </c>
      <c r="AA3193" s="5">
        <v>26652</v>
      </c>
      <c r="AB3193" s="5" t="s">
        <v>85</v>
      </c>
      <c r="AC3193" s="5">
        <v>1</v>
      </c>
    </row>
    <row r="3194" spans="1:29" x14ac:dyDescent="0.3">
      <c r="A3194" s="34">
        <v>46274</v>
      </c>
      <c r="B3194" s="34">
        <v>46274</v>
      </c>
      <c r="C3194" s="5" t="s">
        <v>78</v>
      </c>
      <c r="D3194" s="5" t="s">
        <v>79</v>
      </c>
      <c r="E3194" s="5" t="s">
        <v>80</v>
      </c>
      <c r="F3194" s="5">
        <v>2998</v>
      </c>
      <c r="G3194" s="5" t="s">
        <v>9681</v>
      </c>
      <c r="H3194" s="5" t="s">
        <v>9682</v>
      </c>
      <c r="I3194" s="5" t="s">
        <v>212</v>
      </c>
      <c r="N3194" s="5" t="s">
        <v>9683</v>
      </c>
      <c r="O3194" s="5">
        <v>2.29</v>
      </c>
      <c r="P3194" s="5">
        <v>2.4900000000000002</v>
      </c>
      <c r="Q3194" s="5">
        <v>2.2000000000000002</v>
      </c>
      <c r="R3194" s="5">
        <v>2.41</v>
      </c>
      <c r="S3194" s="5">
        <v>2.41</v>
      </c>
      <c r="T3194" s="5">
        <v>2.31</v>
      </c>
      <c r="V3194" s="5">
        <v>2.41</v>
      </c>
      <c r="Y3194" s="5">
        <v>363122</v>
      </c>
      <c r="Z3194" s="5">
        <v>878620.35</v>
      </c>
      <c r="AA3194" s="5">
        <v>547</v>
      </c>
      <c r="AB3194" s="5" t="s">
        <v>85</v>
      </c>
      <c r="AC3194" s="5">
        <v>1</v>
      </c>
    </row>
    <row r="3195" spans="1:29" x14ac:dyDescent="0.3">
      <c r="A3195" s="34">
        <v>46274</v>
      </c>
      <c r="B3195" s="34">
        <v>46274</v>
      </c>
      <c r="C3195" s="5" t="s">
        <v>78</v>
      </c>
      <c r="D3195" s="5" t="s">
        <v>79</v>
      </c>
      <c r="E3195" s="5" t="s">
        <v>80</v>
      </c>
      <c r="F3195" s="5">
        <v>24851</v>
      </c>
      <c r="G3195" s="5" t="s">
        <v>9684</v>
      </c>
      <c r="H3195" s="5" t="s">
        <v>9685</v>
      </c>
      <c r="I3195" s="5" t="s">
        <v>212</v>
      </c>
      <c r="N3195" s="5" t="s">
        <v>9686</v>
      </c>
      <c r="O3195" s="5">
        <v>717.5</v>
      </c>
      <c r="P3195" s="5">
        <v>739.8</v>
      </c>
      <c r="Q3195" s="5">
        <v>680.4</v>
      </c>
      <c r="R3195" s="5">
        <v>689.35</v>
      </c>
      <c r="S3195" s="5">
        <v>684.05</v>
      </c>
      <c r="T3195" s="5">
        <v>713.65</v>
      </c>
      <c r="V3195" s="5">
        <v>689.38</v>
      </c>
      <c r="Y3195" s="5">
        <v>77111</v>
      </c>
      <c r="Z3195" s="5">
        <v>55061813</v>
      </c>
      <c r="AA3195" s="5">
        <v>5668</v>
      </c>
      <c r="AB3195" s="5" t="s">
        <v>85</v>
      </c>
      <c r="AC3195" s="5">
        <v>1</v>
      </c>
    </row>
    <row r="3196" spans="1:29" x14ac:dyDescent="0.3">
      <c r="A3196" s="34">
        <v>46274</v>
      </c>
      <c r="B3196" s="34">
        <v>46274</v>
      </c>
      <c r="C3196" s="5" t="s">
        <v>78</v>
      </c>
      <c r="D3196" s="5" t="s">
        <v>79</v>
      </c>
      <c r="E3196" s="5" t="s">
        <v>80</v>
      </c>
      <c r="F3196" s="5">
        <v>12018</v>
      </c>
      <c r="G3196" s="5" t="s">
        <v>9687</v>
      </c>
      <c r="H3196" s="5" t="s">
        <v>9688</v>
      </c>
      <c r="I3196" s="5" t="s">
        <v>212</v>
      </c>
      <c r="N3196" s="5" t="s">
        <v>9689</v>
      </c>
      <c r="O3196" s="5">
        <v>45.65</v>
      </c>
      <c r="P3196" s="5">
        <v>46.4</v>
      </c>
      <c r="Q3196" s="5">
        <v>45.3</v>
      </c>
      <c r="R3196" s="5">
        <v>45.45</v>
      </c>
      <c r="S3196" s="5">
        <v>45.45</v>
      </c>
      <c r="T3196" s="5">
        <v>45.5</v>
      </c>
      <c r="V3196" s="5">
        <v>45.45</v>
      </c>
      <c r="Y3196" s="5">
        <v>52512738</v>
      </c>
      <c r="Z3196" s="5">
        <v>2406231810.2199998</v>
      </c>
      <c r="AA3196" s="5">
        <v>86981</v>
      </c>
      <c r="AB3196" s="5" t="s">
        <v>85</v>
      </c>
      <c r="AC3196" s="5">
        <v>1</v>
      </c>
    </row>
    <row r="3197" spans="1:29" x14ac:dyDescent="0.3">
      <c r="A3197" s="34">
        <v>46274</v>
      </c>
      <c r="B3197" s="34">
        <v>46274</v>
      </c>
      <c r="C3197" s="5" t="s">
        <v>78</v>
      </c>
      <c r="D3197" s="5" t="s">
        <v>79</v>
      </c>
      <c r="E3197" s="5" t="s">
        <v>80</v>
      </c>
      <c r="F3197" s="5">
        <v>5020</v>
      </c>
      <c r="G3197" s="5" t="s">
        <v>9690</v>
      </c>
      <c r="H3197" s="5" t="s">
        <v>9691</v>
      </c>
      <c r="I3197" s="5" t="s">
        <v>212</v>
      </c>
      <c r="N3197" s="5" t="s">
        <v>9692</v>
      </c>
      <c r="O3197" s="5">
        <v>3.51</v>
      </c>
      <c r="P3197" s="5">
        <v>3.65</v>
      </c>
      <c r="Q3197" s="5">
        <v>3.5</v>
      </c>
      <c r="R3197" s="5">
        <v>3.5</v>
      </c>
      <c r="S3197" s="5">
        <v>3.5</v>
      </c>
      <c r="T3197" s="5">
        <v>3.51</v>
      </c>
      <c r="V3197" s="5">
        <v>3.5</v>
      </c>
      <c r="Y3197" s="5">
        <v>35835</v>
      </c>
      <c r="Z3197" s="5">
        <v>126108.88</v>
      </c>
      <c r="AA3197" s="5">
        <v>80</v>
      </c>
      <c r="AB3197" s="5" t="s">
        <v>85</v>
      </c>
      <c r="AC3197" s="5">
        <v>1</v>
      </c>
    </row>
    <row r="3198" spans="1:29" x14ac:dyDescent="0.3">
      <c r="A3198" s="34">
        <v>46274</v>
      </c>
      <c r="B3198" s="34">
        <v>46274</v>
      </c>
      <c r="C3198" s="5" t="s">
        <v>78</v>
      </c>
      <c r="D3198" s="5" t="s">
        <v>79</v>
      </c>
      <c r="E3198" s="5" t="s">
        <v>80</v>
      </c>
      <c r="F3198" s="5">
        <v>27095</v>
      </c>
      <c r="G3198" s="5" t="s">
        <v>9693</v>
      </c>
      <c r="H3198" s="5" t="s">
        <v>9694</v>
      </c>
      <c r="I3198" s="5" t="s">
        <v>212</v>
      </c>
      <c r="N3198" s="5" t="s">
        <v>9695</v>
      </c>
      <c r="O3198" s="5">
        <v>276.3</v>
      </c>
      <c r="P3198" s="5">
        <v>279.89999999999998</v>
      </c>
      <c r="Q3198" s="5">
        <v>273.64999999999998</v>
      </c>
      <c r="R3198" s="5">
        <v>277.64999999999998</v>
      </c>
      <c r="S3198" s="5">
        <v>277.5</v>
      </c>
      <c r="T3198" s="5">
        <v>276.8</v>
      </c>
      <c r="V3198" s="5">
        <v>277.64999999999998</v>
      </c>
      <c r="Y3198" s="5">
        <v>830009</v>
      </c>
      <c r="Z3198" s="5">
        <v>229428771.19999999</v>
      </c>
      <c r="AA3198" s="5">
        <v>12619</v>
      </c>
      <c r="AB3198" s="5" t="s">
        <v>85</v>
      </c>
      <c r="AC3198" s="5">
        <v>1</v>
      </c>
    </row>
    <row r="3199" spans="1:29" x14ac:dyDescent="0.3">
      <c r="A3199" s="34">
        <v>46274</v>
      </c>
      <c r="B3199" s="34">
        <v>46274</v>
      </c>
      <c r="C3199" s="5" t="s">
        <v>78</v>
      </c>
      <c r="D3199" s="5" t="s">
        <v>79</v>
      </c>
      <c r="E3199" s="5" t="s">
        <v>80</v>
      </c>
      <c r="F3199" s="5">
        <v>29164</v>
      </c>
      <c r="G3199" s="5" t="s">
        <v>9696</v>
      </c>
      <c r="H3199" s="5" t="s">
        <v>9697</v>
      </c>
      <c r="I3199" s="5" t="s">
        <v>234</v>
      </c>
      <c r="N3199" s="5" t="s">
        <v>9698</v>
      </c>
      <c r="O3199" s="5">
        <v>2490</v>
      </c>
      <c r="P3199" s="5">
        <v>2592</v>
      </c>
      <c r="Q3199" s="5">
        <v>2458</v>
      </c>
      <c r="R3199" s="5">
        <v>2584.5</v>
      </c>
      <c r="S3199" s="5">
        <v>2590</v>
      </c>
      <c r="T3199" s="5">
        <v>2484</v>
      </c>
      <c r="V3199" s="5">
        <v>2585.11</v>
      </c>
      <c r="Y3199" s="5">
        <v>24701</v>
      </c>
      <c r="Z3199" s="5">
        <v>62308942.899999999</v>
      </c>
      <c r="AA3199" s="5">
        <v>1594</v>
      </c>
      <c r="AB3199" s="5" t="s">
        <v>85</v>
      </c>
      <c r="AC3199" s="5">
        <v>1</v>
      </c>
    </row>
    <row r="3200" spans="1:29" x14ac:dyDescent="0.3">
      <c r="A3200" s="34">
        <v>46274</v>
      </c>
      <c r="B3200" s="34">
        <v>46274</v>
      </c>
      <c r="C3200" s="5" t="s">
        <v>78</v>
      </c>
      <c r="D3200" s="5" t="s">
        <v>79</v>
      </c>
      <c r="E3200" s="5" t="s">
        <v>80</v>
      </c>
      <c r="F3200" s="5">
        <v>3384</v>
      </c>
      <c r="G3200" s="5" t="s">
        <v>9699</v>
      </c>
      <c r="H3200" s="5" t="s">
        <v>9700</v>
      </c>
      <c r="I3200" s="5" t="s">
        <v>212</v>
      </c>
      <c r="N3200" s="5" t="s">
        <v>9701</v>
      </c>
      <c r="O3200" s="5">
        <v>3639</v>
      </c>
      <c r="P3200" s="5">
        <v>3639</v>
      </c>
      <c r="Q3200" s="5">
        <v>3572</v>
      </c>
      <c r="R3200" s="5">
        <v>3594.3</v>
      </c>
      <c r="S3200" s="5">
        <v>3580</v>
      </c>
      <c r="T3200" s="5">
        <v>3632.6</v>
      </c>
      <c r="V3200" s="5">
        <v>3594.36</v>
      </c>
      <c r="Y3200" s="5">
        <v>9033</v>
      </c>
      <c r="Z3200" s="5">
        <v>32557009.600000001</v>
      </c>
      <c r="AA3200" s="5">
        <v>2316</v>
      </c>
      <c r="AB3200" s="5" t="s">
        <v>85</v>
      </c>
      <c r="AC3200" s="5">
        <v>1</v>
      </c>
    </row>
    <row r="3201" spans="1:29" x14ac:dyDescent="0.3">
      <c r="A3201" s="34">
        <v>46274</v>
      </c>
      <c r="B3201" s="34">
        <v>46274</v>
      </c>
      <c r="C3201" s="5" t="s">
        <v>78</v>
      </c>
      <c r="D3201" s="5" t="s">
        <v>79</v>
      </c>
      <c r="E3201" s="5" t="s">
        <v>80</v>
      </c>
      <c r="F3201" s="5">
        <v>764496</v>
      </c>
      <c r="G3201" s="5" t="s">
        <v>9702</v>
      </c>
      <c r="H3201" s="5" t="s">
        <v>9703</v>
      </c>
      <c r="I3201" s="5" t="s">
        <v>234</v>
      </c>
      <c r="N3201" s="5" t="s">
        <v>9704</v>
      </c>
      <c r="O3201" s="5">
        <v>356.25</v>
      </c>
      <c r="P3201" s="5">
        <v>356.25</v>
      </c>
      <c r="Q3201" s="5">
        <v>352.15</v>
      </c>
      <c r="R3201" s="5">
        <v>353.15</v>
      </c>
      <c r="S3201" s="5">
        <v>354</v>
      </c>
      <c r="T3201" s="5">
        <v>354.8</v>
      </c>
      <c r="V3201" s="5">
        <v>353.15</v>
      </c>
      <c r="Y3201" s="5">
        <v>57362</v>
      </c>
      <c r="Z3201" s="5">
        <v>20276771.800000001</v>
      </c>
      <c r="AA3201" s="5">
        <v>764</v>
      </c>
      <c r="AB3201" s="5" t="s">
        <v>85</v>
      </c>
      <c r="AC3201" s="5">
        <v>1</v>
      </c>
    </row>
    <row r="3202" spans="1:29" x14ac:dyDescent="0.3">
      <c r="A3202" s="34">
        <v>46274</v>
      </c>
      <c r="B3202" s="34">
        <v>46274</v>
      </c>
      <c r="C3202" s="5" t="s">
        <v>78</v>
      </c>
      <c r="D3202" s="5" t="s">
        <v>79</v>
      </c>
      <c r="E3202" s="5" t="s">
        <v>80</v>
      </c>
      <c r="F3202" s="5">
        <v>765185</v>
      </c>
      <c r="G3202" s="5" t="s">
        <v>9705</v>
      </c>
      <c r="H3202" s="5" t="s">
        <v>9706</v>
      </c>
      <c r="I3202" s="5" t="s">
        <v>212</v>
      </c>
      <c r="N3202" s="5" t="s">
        <v>9707</v>
      </c>
      <c r="O3202" s="5">
        <v>43.5</v>
      </c>
      <c r="P3202" s="5">
        <v>45.7</v>
      </c>
      <c r="Q3202" s="5">
        <v>39.21</v>
      </c>
      <c r="R3202" s="5">
        <v>40.78</v>
      </c>
      <c r="S3202" s="5">
        <v>40.99</v>
      </c>
      <c r="T3202" s="5">
        <v>41.62</v>
      </c>
      <c r="V3202" s="5">
        <v>40.75</v>
      </c>
      <c r="Y3202" s="5">
        <v>123602</v>
      </c>
      <c r="Z3202" s="5">
        <v>5290034.57</v>
      </c>
      <c r="AA3202" s="5">
        <v>1640</v>
      </c>
      <c r="AB3202" s="5" t="s">
        <v>85</v>
      </c>
      <c r="AC3202" s="5">
        <v>1</v>
      </c>
    </row>
    <row r="3203" spans="1:29" x14ac:dyDescent="0.3">
      <c r="A3203" s="34">
        <v>46274</v>
      </c>
      <c r="B3203" s="34">
        <v>46274</v>
      </c>
      <c r="C3203" s="5" t="s">
        <v>78</v>
      </c>
      <c r="D3203" s="5" t="s">
        <v>79</v>
      </c>
      <c r="E3203" s="5" t="s">
        <v>80</v>
      </c>
      <c r="F3203" s="5">
        <v>11497</v>
      </c>
      <c r="G3203" s="5" t="s">
        <v>9708</v>
      </c>
      <c r="H3203" s="5" t="s">
        <v>9709</v>
      </c>
      <c r="I3203" s="5" t="s">
        <v>392</v>
      </c>
      <c r="N3203" s="5" t="s">
        <v>9710</v>
      </c>
      <c r="O3203" s="5">
        <v>18.2</v>
      </c>
      <c r="P3203" s="5">
        <v>18.2</v>
      </c>
      <c r="Q3203" s="5">
        <v>18.05</v>
      </c>
      <c r="R3203" s="5">
        <v>18.05</v>
      </c>
      <c r="S3203" s="5">
        <v>18.05</v>
      </c>
      <c r="T3203" s="5">
        <v>19</v>
      </c>
      <c r="V3203" s="5">
        <v>18.05</v>
      </c>
      <c r="Y3203" s="5">
        <v>4800</v>
      </c>
      <c r="Z3203" s="5">
        <v>86940</v>
      </c>
      <c r="AA3203" s="5">
        <v>4</v>
      </c>
      <c r="AB3203" s="5" t="s">
        <v>85</v>
      </c>
      <c r="AC3203" s="5">
        <v>1200</v>
      </c>
    </row>
    <row r="3204" spans="1:29" x14ac:dyDescent="0.3">
      <c r="A3204" s="34">
        <v>46274</v>
      </c>
      <c r="B3204" s="34">
        <v>46274</v>
      </c>
      <c r="C3204" s="5" t="s">
        <v>78</v>
      </c>
      <c r="D3204" s="5" t="s">
        <v>79</v>
      </c>
      <c r="E3204" s="5" t="s">
        <v>80</v>
      </c>
      <c r="F3204" s="5">
        <v>11909</v>
      </c>
      <c r="G3204" s="5" t="s">
        <v>9711</v>
      </c>
      <c r="H3204" s="5" t="s">
        <v>9712</v>
      </c>
      <c r="I3204" s="5" t="s">
        <v>212</v>
      </c>
      <c r="N3204" s="5" t="s">
        <v>9713</v>
      </c>
      <c r="O3204" s="5">
        <v>582.54999999999995</v>
      </c>
      <c r="P3204" s="5">
        <v>594.79999999999995</v>
      </c>
      <c r="Q3204" s="5">
        <v>571</v>
      </c>
      <c r="R3204" s="5">
        <v>576.6</v>
      </c>
      <c r="S3204" s="5">
        <v>575</v>
      </c>
      <c r="T3204" s="5">
        <v>583.79999999999995</v>
      </c>
      <c r="V3204" s="5">
        <v>575.83000000000004</v>
      </c>
      <c r="Y3204" s="5">
        <v>15629</v>
      </c>
      <c r="Z3204" s="5">
        <v>9108094.25</v>
      </c>
      <c r="AA3204" s="5">
        <v>1522</v>
      </c>
      <c r="AB3204" s="5" t="s">
        <v>85</v>
      </c>
      <c r="AC3204" s="5">
        <v>1</v>
      </c>
    </row>
    <row r="3205" spans="1:29" x14ac:dyDescent="0.3">
      <c r="A3205" s="34">
        <v>46274</v>
      </c>
      <c r="B3205" s="34">
        <v>46274</v>
      </c>
      <c r="C3205" s="5" t="s">
        <v>78</v>
      </c>
      <c r="D3205" s="5" t="s">
        <v>79</v>
      </c>
      <c r="E3205" s="5" t="s">
        <v>80</v>
      </c>
      <c r="F3205" s="5">
        <v>27066</v>
      </c>
      <c r="G3205" s="5" t="s">
        <v>9714</v>
      </c>
      <c r="H3205" s="5" t="s">
        <v>9715</v>
      </c>
      <c r="I3205" s="5" t="s">
        <v>212</v>
      </c>
      <c r="N3205" s="5" t="s">
        <v>9716</v>
      </c>
      <c r="O3205" s="5">
        <v>274</v>
      </c>
      <c r="P3205" s="5">
        <v>285.55</v>
      </c>
      <c r="Q3205" s="5">
        <v>271.8</v>
      </c>
      <c r="R3205" s="5">
        <v>282.75</v>
      </c>
      <c r="S3205" s="5">
        <v>282.75</v>
      </c>
      <c r="T3205" s="5">
        <v>275.7</v>
      </c>
      <c r="V3205" s="5">
        <v>282.76</v>
      </c>
      <c r="Y3205" s="5">
        <v>23545618</v>
      </c>
      <c r="Z3205" s="5">
        <v>6580602677.1000004</v>
      </c>
      <c r="AA3205" s="5">
        <v>108345</v>
      </c>
      <c r="AB3205" s="5" t="s">
        <v>85</v>
      </c>
      <c r="AC3205" s="5">
        <v>1</v>
      </c>
    </row>
    <row r="3206" spans="1:29" x14ac:dyDescent="0.3">
      <c r="A3206" s="34">
        <v>46274</v>
      </c>
      <c r="B3206" s="34">
        <v>46274</v>
      </c>
      <c r="C3206" s="5" t="s">
        <v>78</v>
      </c>
      <c r="D3206" s="5" t="s">
        <v>79</v>
      </c>
      <c r="E3206" s="5" t="s">
        <v>80</v>
      </c>
      <c r="F3206" s="5">
        <v>765193</v>
      </c>
      <c r="G3206" s="5" t="s">
        <v>9717</v>
      </c>
      <c r="H3206" s="5" t="s">
        <v>9718</v>
      </c>
      <c r="I3206" s="5" t="s">
        <v>234</v>
      </c>
      <c r="N3206" s="5" t="s">
        <v>9719</v>
      </c>
      <c r="O3206" s="5">
        <v>15.59</v>
      </c>
      <c r="P3206" s="5">
        <v>15.59</v>
      </c>
      <c r="Q3206" s="5">
        <v>15.03</v>
      </c>
      <c r="R3206" s="5">
        <v>15.13</v>
      </c>
      <c r="S3206" s="5">
        <v>15.19</v>
      </c>
      <c r="T3206" s="5">
        <v>15.26</v>
      </c>
      <c r="V3206" s="5">
        <v>15.15</v>
      </c>
      <c r="Y3206" s="5">
        <v>60883</v>
      </c>
      <c r="Z3206" s="5">
        <v>925621.01</v>
      </c>
      <c r="AA3206" s="5">
        <v>174</v>
      </c>
      <c r="AB3206" s="5" t="s">
        <v>85</v>
      </c>
      <c r="AC3206" s="5">
        <v>1</v>
      </c>
    </row>
    <row r="3207" spans="1:29" x14ac:dyDescent="0.3">
      <c r="A3207" s="34">
        <v>46274</v>
      </c>
      <c r="B3207" s="34">
        <v>46274</v>
      </c>
      <c r="C3207" s="5" t="s">
        <v>78</v>
      </c>
      <c r="D3207" s="5" t="s">
        <v>79</v>
      </c>
      <c r="E3207" s="5" t="s">
        <v>80</v>
      </c>
      <c r="F3207" s="5">
        <v>765485</v>
      </c>
      <c r="G3207" s="5" t="s">
        <v>9720</v>
      </c>
      <c r="H3207" s="5" t="s">
        <v>9721</v>
      </c>
      <c r="I3207" s="5" t="s">
        <v>212</v>
      </c>
      <c r="N3207" s="5" t="s">
        <v>9722</v>
      </c>
      <c r="O3207" s="5">
        <v>1095</v>
      </c>
      <c r="P3207" s="5">
        <v>1161.6500000000001</v>
      </c>
      <c r="Q3207" s="5">
        <v>1076.2</v>
      </c>
      <c r="R3207" s="5">
        <v>1133.7</v>
      </c>
      <c r="S3207" s="5">
        <v>1130.25</v>
      </c>
      <c r="T3207" s="5">
        <v>1094.0999999999999</v>
      </c>
      <c r="V3207" s="5">
        <v>1133.74</v>
      </c>
      <c r="Y3207" s="5">
        <v>3521358</v>
      </c>
      <c r="Z3207" s="5">
        <v>3979193263.0500002</v>
      </c>
      <c r="AA3207" s="5">
        <v>154342</v>
      </c>
      <c r="AB3207" s="5" t="s">
        <v>85</v>
      </c>
      <c r="AC3207" s="5">
        <v>1</v>
      </c>
    </row>
    <row r="3208" spans="1:29" x14ac:dyDescent="0.3">
      <c r="A3208" s="34">
        <v>46274</v>
      </c>
      <c r="B3208" s="34">
        <v>46274</v>
      </c>
      <c r="C3208" s="5" t="s">
        <v>78</v>
      </c>
      <c r="D3208" s="5" t="s">
        <v>79</v>
      </c>
      <c r="E3208" s="5" t="s">
        <v>80</v>
      </c>
      <c r="F3208" s="5">
        <v>24190</v>
      </c>
      <c r="G3208" s="5" t="s">
        <v>9723</v>
      </c>
      <c r="H3208" s="5" t="s">
        <v>9724</v>
      </c>
      <c r="I3208" s="5" t="s">
        <v>212</v>
      </c>
      <c r="N3208" s="5" t="s">
        <v>9725</v>
      </c>
      <c r="O3208" s="5">
        <v>605</v>
      </c>
      <c r="P3208" s="5">
        <v>627</v>
      </c>
      <c r="Q3208" s="5">
        <v>603</v>
      </c>
      <c r="R3208" s="5">
        <v>618.6</v>
      </c>
      <c r="S3208" s="5">
        <v>618.04999999999995</v>
      </c>
      <c r="T3208" s="5">
        <v>613.04999999999995</v>
      </c>
      <c r="V3208" s="5">
        <v>618.61</v>
      </c>
      <c r="Y3208" s="5">
        <v>331925</v>
      </c>
      <c r="Z3208" s="5">
        <v>204926770.59999999</v>
      </c>
      <c r="AA3208" s="5">
        <v>12487</v>
      </c>
      <c r="AB3208" s="5" t="s">
        <v>85</v>
      </c>
      <c r="AC3208" s="5">
        <v>1</v>
      </c>
    </row>
    <row r="3209" spans="1:29" x14ac:dyDescent="0.3">
      <c r="A3209" s="34">
        <v>46274</v>
      </c>
      <c r="B3209" s="34">
        <v>46274</v>
      </c>
      <c r="C3209" s="5" t="s">
        <v>78</v>
      </c>
      <c r="D3209" s="5" t="s">
        <v>79</v>
      </c>
      <c r="E3209" s="5" t="s">
        <v>80</v>
      </c>
      <c r="F3209" s="5">
        <v>11992</v>
      </c>
      <c r="G3209" s="5" t="s">
        <v>9726</v>
      </c>
      <c r="H3209" s="5" t="s">
        <v>9727</v>
      </c>
      <c r="I3209" s="5" t="s">
        <v>212</v>
      </c>
      <c r="N3209" s="5" t="s">
        <v>9728</v>
      </c>
      <c r="O3209" s="5">
        <v>21.17</v>
      </c>
      <c r="P3209" s="5">
        <v>21.32</v>
      </c>
      <c r="Q3209" s="5">
        <v>20.05</v>
      </c>
      <c r="R3209" s="5">
        <v>20.14</v>
      </c>
      <c r="S3209" s="5">
        <v>20.12</v>
      </c>
      <c r="T3209" s="5">
        <v>20.97</v>
      </c>
      <c r="V3209" s="5">
        <v>20.14</v>
      </c>
      <c r="Y3209" s="5">
        <v>6347357</v>
      </c>
      <c r="Z3209" s="5">
        <v>130687077.40000001</v>
      </c>
      <c r="AA3209" s="5">
        <v>12995</v>
      </c>
      <c r="AB3209" s="5" t="s">
        <v>85</v>
      </c>
      <c r="AC3209" s="5">
        <v>1</v>
      </c>
    </row>
    <row r="3210" spans="1:29" x14ac:dyDescent="0.3">
      <c r="A3210" s="34">
        <v>46274</v>
      </c>
      <c r="B3210" s="34">
        <v>46274</v>
      </c>
      <c r="C3210" s="5" t="s">
        <v>78</v>
      </c>
      <c r="D3210" s="5" t="s">
        <v>79</v>
      </c>
      <c r="E3210" s="5" t="s">
        <v>80</v>
      </c>
      <c r="F3210" s="5">
        <v>5114</v>
      </c>
      <c r="G3210" s="5" t="s">
        <v>9729</v>
      </c>
      <c r="H3210" s="5" t="s">
        <v>9730</v>
      </c>
      <c r="I3210" s="5" t="s">
        <v>212</v>
      </c>
      <c r="N3210" s="5" t="s">
        <v>9731</v>
      </c>
      <c r="O3210" s="5">
        <v>597.9</v>
      </c>
      <c r="P3210" s="5">
        <v>609</v>
      </c>
      <c r="Q3210" s="5">
        <v>578.70000000000005</v>
      </c>
      <c r="R3210" s="5">
        <v>600.54999999999995</v>
      </c>
      <c r="S3210" s="5">
        <v>602.9</v>
      </c>
      <c r="T3210" s="5">
        <v>588.5</v>
      </c>
      <c r="V3210" s="5">
        <v>600.54999999999995</v>
      </c>
      <c r="Y3210" s="5">
        <v>10782</v>
      </c>
      <c r="Z3210" s="5">
        <v>6422787.7999999998</v>
      </c>
      <c r="AA3210" s="5">
        <v>467</v>
      </c>
      <c r="AB3210" s="5" t="s">
        <v>85</v>
      </c>
      <c r="AC3210" s="5">
        <v>1</v>
      </c>
    </row>
    <row r="3211" spans="1:29" x14ac:dyDescent="0.3">
      <c r="A3211" s="34">
        <v>46274</v>
      </c>
      <c r="B3211" s="34">
        <v>46274</v>
      </c>
      <c r="C3211" s="5" t="s">
        <v>78</v>
      </c>
      <c r="D3211" s="5" t="s">
        <v>79</v>
      </c>
      <c r="E3211" s="5" t="s">
        <v>80</v>
      </c>
      <c r="F3211" s="5">
        <v>10243</v>
      </c>
      <c r="G3211" s="5" t="s">
        <v>9732</v>
      </c>
      <c r="H3211" s="5" t="s">
        <v>9733</v>
      </c>
      <c r="I3211" s="5" t="s">
        <v>212</v>
      </c>
      <c r="N3211" s="5" t="s">
        <v>9734</v>
      </c>
      <c r="O3211" s="5">
        <v>386.8</v>
      </c>
      <c r="P3211" s="5">
        <v>388.6</v>
      </c>
      <c r="Q3211" s="5">
        <v>382.6</v>
      </c>
      <c r="R3211" s="5">
        <v>386.8</v>
      </c>
      <c r="S3211" s="5">
        <v>387.2</v>
      </c>
      <c r="T3211" s="5">
        <v>387.55</v>
      </c>
      <c r="V3211" s="5">
        <v>386.79</v>
      </c>
      <c r="Y3211" s="5">
        <v>358624</v>
      </c>
      <c r="Z3211" s="5">
        <v>138438962.30000001</v>
      </c>
      <c r="AA3211" s="5">
        <v>11768</v>
      </c>
      <c r="AB3211" s="5" t="s">
        <v>85</v>
      </c>
      <c r="AC3211" s="5">
        <v>1</v>
      </c>
    </row>
    <row r="3212" spans="1:29" x14ac:dyDescent="0.3">
      <c r="A3212" s="34">
        <v>46274</v>
      </c>
      <c r="B3212" s="34">
        <v>46274</v>
      </c>
      <c r="C3212" s="5" t="s">
        <v>78</v>
      </c>
      <c r="D3212" s="5" t="s">
        <v>79</v>
      </c>
      <c r="E3212" s="5" t="s">
        <v>80</v>
      </c>
      <c r="F3212" s="5">
        <v>10793</v>
      </c>
      <c r="G3212" s="5" t="s">
        <v>9735</v>
      </c>
      <c r="H3212" s="5" t="s">
        <v>9736</v>
      </c>
      <c r="I3212" s="5" t="s">
        <v>212</v>
      </c>
      <c r="N3212" s="5" t="s">
        <v>9737</v>
      </c>
      <c r="O3212" s="5">
        <v>1639</v>
      </c>
      <c r="P3212" s="5">
        <v>1660</v>
      </c>
      <c r="Q3212" s="5">
        <v>1616</v>
      </c>
      <c r="R3212" s="5">
        <v>1622.4</v>
      </c>
      <c r="S3212" s="5">
        <v>1616</v>
      </c>
      <c r="T3212" s="5">
        <v>1639.2</v>
      </c>
      <c r="V3212" s="5">
        <v>1622.39</v>
      </c>
      <c r="Y3212" s="5">
        <v>1096481</v>
      </c>
      <c r="Z3212" s="5">
        <v>1793364208.0999999</v>
      </c>
      <c r="AA3212" s="5">
        <v>42021</v>
      </c>
      <c r="AB3212" s="5" t="s">
        <v>85</v>
      </c>
      <c r="AC3212" s="5">
        <v>1</v>
      </c>
    </row>
    <row r="3213" spans="1:29" x14ac:dyDescent="0.3">
      <c r="A3213" s="34">
        <v>46274</v>
      </c>
      <c r="B3213" s="34">
        <v>46274</v>
      </c>
      <c r="C3213" s="5" t="s">
        <v>78</v>
      </c>
      <c r="D3213" s="5" t="s">
        <v>79</v>
      </c>
      <c r="E3213" s="5" t="s">
        <v>80</v>
      </c>
      <c r="F3213" s="5">
        <v>14506</v>
      </c>
      <c r="G3213" s="5" t="s">
        <v>9738</v>
      </c>
      <c r="H3213" s="5" t="s">
        <v>9739</v>
      </c>
      <c r="I3213" s="5" t="s">
        <v>313</v>
      </c>
      <c r="N3213" s="5" t="s">
        <v>9740</v>
      </c>
      <c r="O3213" s="5">
        <v>224</v>
      </c>
      <c r="P3213" s="5">
        <v>229.25</v>
      </c>
      <c r="Q3213" s="5">
        <v>220</v>
      </c>
      <c r="R3213" s="5">
        <v>222.45</v>
      </c>
      <c r="S3213" s="5">
        <v>222.45</v>
      </c>
      <c r="T3213" s="5">
        <v>227.25</v>
      </c>
      <c r="V3213" s="5">
        <v>222.45</v>
      </c>
      <c r="Y3213" s="5">
        <v>21200</v>
      </c>
      <c r="Z3213" s="5">
        <v>4756240</v>
      </c>
      <c r="AA3213" s="5">
        <v>46</v>
      </c>
      <c r="AB3213" s="5" t="s">
        <v>85</v>
      </c>
      <c r="AC3213" s="5">
        <v>400</v>
      </c>
    </row>
    <row r="3214" spans="1:29" x14ac:dyDescent="0.3">
      <c r="A3214" s="34">
        <v>46274</v>
      </c>
      <c r="B3214" s="34">
        <v>46274</v>
      </c>
      <c r="C3214" s="5" t="s">
        <v>78</v>
      </c>
      <c r="D3214" s="5" t="s">
        <v>79</v>
      </c>
      <c r="E3214" s="5" t="s">
        <v>80</v>
      </c>
      <c r="F3214" s="5">
        <v>759358</v>
      </c>
      <c r="G3214" s="5" t="s">
        <v>9741</v>
      </c>
      <c r="H3214" s="5" t="s">
        <v>9742</v>
      </c>
      <c r="I3214" s="5" t="s">
        <v>234</v>
      </c>
      <c r="N3214" s="5" t="s">
        <v>9743</v>
      </c>
      <c r="O3214" s="5">
        <v>69.72</v>
      </c>
      <c r="P3214" s="5">
        <v>69.72</v>
      </c>
      <c r="Q3214" s="5">
        <v>69.72</v>
      </c>
      <c r="R3214" s="5">
        <v>69.72</v>
      </c>
      <c r="S3214" s="5">
        <v>69.72</v>
      </c>
      <c r="T3214" s="5">
        <v>66.400000000000006</v>
      </c>
      <c r="V3214" s="5">
        <v>70.55</v>
      </c>
      <c r="Y3214" s="5">
        <v>14471</v>
      </c>
      <c r="Z3214" s="5">
        <v>1008918.12</v>
      </c>
      <c r="AA3214" s="5">
        <v>85</v>
      </c>
      <c r="AB3214" s="5" t="s">
        <v>85</v>
      </c>
      <c r="AC3214" s="5">
        <v>1</v>
      </c>
    </row>
    <row r="3215" spans="1:29" x14ac:dyDescent="0.3">
      <c r="A3215" s="34">
        <v>46274</v>
      </c>
      <c r="B3215" s="34">
        <v>46274</v>
      </c>
      <c r="C3215" s="5" t="s">
        <v>78</v>
      </c>
      <c r="D3215" s="5" t="s">
        <v>79</v>
      </c>
      <c r="E3215" s="5" t="s">
        <v>80</v>
      </c>
      <c r="F3215" s="5">
        <v>764955</v>
      </c>
      <c r="G3215" s="5" t="s">
        <v>9744</v>
      </c>
      <c r="H3215" s="5" t="s">
        <v>9745</v>
      </c>
      <c r="I3215" s="5" t="s">
        <v>212</v>
      </c>
      <c r="N3215" s="5" t="s">
        <v>9746</v>
      </c>
      <c r="O3215" s="5">
        <v>109.11</v>
      </c>
      <c r="P3215" s="5">
        <v>109.93</v>
      </c>
      <c r="Q3215" s="5">
        <v>106.1</v>
      </c>
      <c r="R3215" s="5">
        <v>106.92</v>
      </c>
      <c r="S3215" s="5">
        <v>107.69</v>
      </c>
      <c r="T3215" s="5">
        <v>109.47</v>
      </c>
      <c r="V3215" s="5">
        <v>106.9</v>
      </c>
      <c r="Y3215" s="5">
        <v>103034</v>
      </c>
      <c r="Z3215" s="5">
        <v>11071832.039999999</v>
      </c>
      <c r="AA3215" s="5">
        <v>1422</v>
      </c>
      <c r="AB3215" s="5" t="s">
        <v>85</v>
      </c>
      <c r="AC3215" s="5">
        <v>1</v>
      </c>
    </row>
    <row r="3216" spans="1:29" x14ac:dyDescent="0.3">
      <c r="A3216" s="34">
        <v>46274</v>
      </c>
      <c r="B3216" s="34">
        <v>46274</v>
      </c>
      <c r="C3216" s="5" t="s">
        <v>78</v>
      </c>
      <c r="D3216" s="5" t="s">
        <v>79</v>
      </c>
      <c r="E3216" s="5" t="s">
        <v>80</v>
      </c>
      <c r="F3216" s="5">
        <v>14314</v>
      </c>
      <c r="G3216" s="5" t="s">
        <v>9747</v>
      </c>
      <c r="H3216" s="5" t="s">
        <v>9748</v>
      </c>
      <c r="I3216" s="5" t="s">
        <v>212</v>
      </c>
      <c r="N3216" s="5" t="s">
        <v>9749</v>
      </c>
      <c r="O3216" s="5">
        <v>7.05</v>
      </c>
      <c r="P3216" s="5">
        <v>7.25</v>
      </c>
      <c r="Q3216" s="5">
        <v>6.61</v>
      </c>
      <c r="R3216" s="5">
        <v>6.84</v>
      </c>
      <c r="S3216" s="5">
        <v>6.9</v>
      </c>
      <c r="T3216" s="5">
        <v>6.83</v>
      </c>
      <c r="V3216" s="5">
        <v>6.84</v>
      </c>
      <c r="Y3216" s="5">
        <v>296238</v>
      </c>
      <c r="Z3216" s="5">
        <v>2009663.72</v>
      </c>
      <c r="AA3216" s="5">
        <v>529</v>
      </c>
      <c r="AB3216" s="5" t="s">
        <v>85</v>
      </c>
      <c r="AC3216" s="5">
        <v>1</v>
      </c>
    </row>
    <row r="3217" spans="1:29" x14ac:dyDescent="0.3">
      <c r="A3217" s="34">
        <v>46274</v>
      </c>
      <c r="B3217" s="34">
        <v>46274</v>
      </c>
      <c r="C3217" s="5" t="s">
        <v>78</v>
      </c>
      <c r="D3217" s="5" t="s">
        <v>79</v>
      </c>
      <c r="E3217" s="5" t="s">
        <v>80</v>
      </c>
      <c r="F3217" s="5">
        <v>762929</v>
      </c>
      <c r="G3217" s="5" t="s">
        <v>9750</v>
      </c>
      <c r="H3217" s="5" t="s">
        <v>9751</v>
      </c>
      <c r="I3217" s="5" t="s">
        <v>212</v>
      </c>
      <c r="N3217" s="5" t="s">
        <v>9752</v>
      </c>
      <c r="O3217" s="5">
        <v>4550</v>
      </c>
      <c r="P3217" s="5">
        <v>4949</v>
      </c>
      <c r="Q3217" s="5">
        <v>4534</v>
      </c>
      <c r="R3217" s="5">
        <v>4886.6000000000004</v>
      </c>
      <c r="S3217" s="5">
        <v>4870</v>
      </c>
      <c r="T3217" s="5">
        <v>4532.2</v>
      </c>
      <c r="V3217" s="5">
        <v>4886.6899999999996</v>
      </c>
      <c r="Y3217" s="5">
        <v>45586</v>
      </c>
      <c r="Z3217" s="5">
        <v>219830698.30000001</v>
      </c>
      <c r="AA3217" s="5">
        <v>9502</v>
      </c>
      <c r="AB3217" s="5" t="s">
        <v>85</v>
      </c>
      <c r="AC3217" s="5">
        <v>1</v>
      </c>
    </row>
    <row r="3218" spans="1:29" x14ac:dyDescent="0.3">
      <c r="A3218" s="34">
        <v>46274</v>
      </c>
      <c r="B3218" s="34">
        <v>46274</v>
      </c>
      <c r="C3218" s="5" t="s">
        <v>78</v>
      </c>
      <c r="D3218" s="5" t="s">
        <v>79</v>
      </c>
      <c r="E3218" s="5" t="s">
        <v>80</v>
      </c>
      <c r="F3218" s="5">
        <v>23441</v>
      </c>
      <c r="G3218" s="5" t="s">
        <v>9753</v>
      </c>
      <c r="H3218" s="5" t="s">
        <v>9754</v>
      </c>
      <c r="I3218" s="5" t="s">
        <v>392</v>
      </c>
      <c r="N3218" s="5" t="s">
        <v>9755</v>
      </c>
      <c r="O3218" s="5">
        <v>439.85</v>
      </c>
      <c r="P3218" s="5">
        <v>457.1</v>
      </c>
      <c r="Q3218" s="5">
        <v>434.6</v>
      </c>
      <c r="R3218" s="5">
        <v>457.1</v>
      </c>
      <c r="S3218" s="5">
        <v>457.1</v>
      </c>
      <c r="T3218" s="5">
        <v>435.35</v>
      </c>
      <c r="V3218" s="5">
        <v>457.1</v>
      </c>
      <c r="Y3218" s="5">
        <v>74200</v>
      </c>
      <c r="Z3218" s="5">
        <v>33406320</v>
      </c>
      <c r="AA3218" s="5">
        <v>232</v>
      </c>
      <c r="AB3218" s="5" t="s">
        <v>85</v>
      </c>
      <c r="AC3218" s="5">
        <v>200</v>
      </c>
    </row>
    <row r="3219" spans="1:29" x14ac:dyDescent="0.3">
      <c r="A3219" s="34">
        <v>46274</v>
      </c>
      <c r="B3219" s="34">
        <v>46274</v>
      </c>
      <c r="C3219" s="5" t="s">
        <v>78</v>
      </c>
      <c r="D3219" s="5" t="s">
        <v>79</v>
      </c>
      <c r="E3219" s="5" t="s">
        <v>80</v>
      </c>
      <c r="F3219" s="5">
        <v>3396</v>
      </c>
      <c r="G3219" s="5" t="s">
        <v>9756</v>
      </c>
      <c r="H3219" s="5" t="s">
        <v>9757</v>
      </c>
      <c r="I3219" s="5" t="s">
        <v>212</v>
      </c>
      <c r="N3219" s="5" t="s">
        <v>9758</v>
      </c>
      <c r="O3219" s="5">
        <v>212.34</v>
      </c>
      <c r="P3219" s="5">
        <v>216</v>
      </c>
      <c r="Q3219" s="5">
        <v>209</v>
      </c>
      <c r="R3219" s="5">
        <v>209.11</v>
      </c>
      <c r="S3219" s="5">
        <v>209</v>
      </c>
      <c r="T3219" s="5">
        <v>212.34</v>
      </c>
      <c r="V3219" s="5">
        <v>209.11</v>
      </c>
      <c r="Y3219" s="5">
        <v>2674</v>
      </c>
      <c r="Z3219" s="5">
        <v>565738.23999999999</v>
      </c>
      <c r="AA3219" s="5">
        <v>117</v>
      </c>
      <c r="AB3219" s="5" t="s">
        <v>85</v>
      </c>
      <c r="AC3219" s="5">
        <v>1</v>
      </c>
    </row>
    <row r="3220" spans="1:29" x14ac:dyDescent="0.3">
      <c r="A3220" s="34">
        <v>46274</v>
      </c>
      <c r="B3220" s="34">
        <v>46274</v>
      </c>
      <c r="C3220" s="5" t="s">
        <v>78</v>
      </c>
      <c r="D3220" s="5" t="s">
        <v>79</v>
      </c>
      <c r="E3220" s="5" t="s">
        <v>80</v>
      </c>
      <c r="F3220" s="5">
        <v>9354</v>
      </c>
      <c r="G3220" s="5" t="s">
        <v>9759</v>
      </c>
      <c r="H3220" s="5" t="s">
        <v>9760</v>
      </c>
      <c r="I3220" s="5" t="s">
        <v>212</v>
      </c>
      <c r="N3220" s="5" t="s">
        <v>9761</v>
      </c>
      <c r="O3220" s="5">
        <v>332.05</v>
      </c>
      <c r="P3220" s="5">
        <v>335.7</v>
      </c>
      <c r="Q3220" s="5">
        <v>329.4</v>
      </c>
      <c r="R3220" s="5">
        <v>332.15</v>
      </c>
      <c r="S3220" s="5">
        <v>332.6</v>
      </c>
      <c r="T3220" s="5">
        <v>332.75</v>
      </c>
      <c r="V3220" s="5">
        <v>332.15</v>
      </c>
      <c r="Y3220" s="5">
        <v>57365</v>
      </c>
      <c r="Z3220" s="5">
        <v>19056648.899999999</v>
      </c>
      <c r="AA3220" s="5">
        <v>1901</v>
      </c>
      <c r="AB3220" s="5" t="s">
        <v>85</v>
      </c>
      <c r="AC3220" s="5">
        <v>1</v>
      </c>
    </row>
    <row r="3221" spans="1:29" x14ac:dyDescent="0.3">
      <c r="A3221" s="34">
        <v>46274</v>
      </c>
      <c r="B3221" s="34">
        <v>46274</v>
      </c>
      <c r="C3221" s="5" t="s">
        <v>78</v>
      </c>
      <c r="D3221" s="5" t="s">
        <v>79</v>
      </c>
      <c r="E3221" s="5" t="s">
        <v>80</v>
      </c>
      <c r="F3221" s="5">
        <v>14917</v>
      </c>
      <c r="G3221" s="5" t="s">
        <v>9762</v>
      </c>
      <c r="H3221" s="5" t="s">
        <v>9763</v>
      </c>
      <c r="I3221" s="5" t="s">
        <v>212</v>
      </c>
      <c r="N3221" s="5" t="s">
        <v>9764</v>
      </c>
      <c r="O3221" s="5">
        <v>15.84</v>
      </c>
      <c r="P3221" s="5">
        <v>15.99</v>
      </c>
      <c r="Q3221" s="5">
        <v>15.5</v>
      </c>
      <c r="R3221" s="5">
        <v>15.99</v>
      </c>
      <c r="S3221" s="5">
        <v>15.99</v>
      </c>
      <c r="T3221" s="5">
        <v>15.23</v>
      </c>
      <c r="V3221" s="5">
        <v>16</v>
      </c>
      <c r="Y3221" s="5">
        <v>796799</v>
      </c>
      <c r="Z3221" s="5">
        <v>12692540.49</v>
      </c>
      <c r="AA3221" s="5">
        <v>1406</v>
      </c>
      <c r="AB3221" s="5" t="s">
        <v>85</v>
      </c>
      <c r="AC3221" s="5">
        <v>1</v>
      </c>
    </row>
    <row r="3222" spans="1:29" x14ac:dyDescent="0.3">
      <c r="A3222" s="34">
        <v>46274</v>
      </c>
      <c r="B3222" s="34">
        <v>46274</v>
      </c>
      <c r="C3222" s="5" t="s">
        <v>78</v>
      </c>
      <c r="D3222" s="5" t="s">
        <v>79</v>
      </c>
      <c r="E3222" s="5" t="s">
        <v>80</v>
      </c>
      <c r="F3222" s="5">
        <v>13648</v>
      </c>
      <c r="G3222" s="5" t="s">
        <v>9765</v>
      </c>
      <c r="H3222" s="5" t="s">
        <v>9766</v>
      </c>
      <c r="I3222" s="5" t="s">
        <v>212</v>
      </c>
      <c r="N3222" s="5" t="s">
        <v>9767</v>
      </c>
      <c r="O3222" s="5">
        <v>420.1</v>
      </c>
      <c r="P3222" s="5">
        <v>426.9</v>
      </c>
      <c r="Q3222" s="5">
        <v>417.05</v>
      </c>
      <c r="R3222" s="5">
        <v>420.45</v>
      </c>
      <c r="S3222" s="5">
        <v>420</v>
      </c>
      <c r="T3222" s="5">
        <v>424</v>
      </c>
      <c r="V3222" s="5">
        <v>420.44</v>
      </c>
      <c r="Y3222" s="5">
        <v>106061</v>
      </c>
      <c r="Z3222" s="5">
        <v>44600646.649999999</v>
      </c>
      <c r="AA3222" s="5">
        <v>3634</v>
      </c>
      <c r="AB3222" s="5" t="s">
        <v>85</v>
      </c>
      <c r="AC3222" s="5">
        <v>1</v>
      </c>
    </row>
    <row r="3223" spans="1:29" x14ac:dyDescent="0.3">
      <c r="A3223" s="34">
        <v>46274</v>
      </c>
      <c r="B3223" s="34">
        <v>46274</v>
      </c>
      <c r="C3223" s="5" t="s">
        <v>78</v>
      </c>
      <c r="D3223" s="5" t="s">
        <v>79</v>
      </c>
      <c r="E3223" s="5" t="s">
        <v>80</v>
      </c>
      <c r="F3223" s="5">
        <v>762937</v>
      </c>
      <c r="G3223" s="5" t="s">
        <v>9768</v>
      </c>
      <c r="H3223" s="5" t="s">
        <v>9769</v>
      </c>
      <c r="I3223" s="5" t="s">
        <v>234</v>
      </c>
      <c r="N3223" s="5" t="s">
        <v>9770</v>
      </c>
      <c r="O3223" s="5">
        <v>284</v>
      </c>
      <c r="P3223" s="5">
        <v>285.7</v>
      </c>
      <c r="Q3223" s="5">
        <v>271.60000000000002</v>
      </c>
      <c r="R3223" s="5">
        <v>285.7</v>
      </c>
      <c r="S3223" s="5">
        <v>285.7</v>
      </c>
      <c r="T3223" s="5">
        <v>272.10000000000002</v>
      </c>
      <c r="V3223" s="5">
        <v>286.39999999999998</v>
      </c>
      <c r="Y3223" s="5">
        <v>10355</v>
      </c>
      <c r="Z3223" s="5">
        <v>2932657.9</v>
      </c>
      <c r="AA3223" s="5">
        <v>105</v>
      </c>
      <c r="AB3223" s="5" t="s">
        <v>85</v>
      </c>
      <c r="AC3223" s="5">
        <v>1</v>
      </c>
    </row>
    <row r="3224" spans="1:29" x14ac:dyDescent="0.3">
      <c r="A3224" s="34">
        <v>46274</v>
      </c>
      <c r="B3224" s="34">
        <v>46274</v>
      </c>
      <c r="C3224" s="5" t="s">
        <v>78</v>
      </c>
      <c r="D3224" s="5" t="s">
        <v>79</v>
      </c>
      <c r="E3224" s="5" t="s">
        <v>80</v>
      </c>
      <c r="F3224" s="5">
        <v>10945</v>
      </c>
      <c r="G3224" s="5" t="s">
        <v>9771</v>
      </c>
      <c r="H3224" s="5" t="s">
        <v>9772</v>
      </c>
      <c r="I3224" s="5" t="s">
        <v>212</v>
      </c>
      <c r="N3224" s="5" t="s">
        <v>9773</v>
      </c>
      <c r="O3224" s="5">
        <v>920</v>
      </c>
      <c r="P3224" s="5">
        <v>929.6</v>
      </c>
      <c r="Q3224" s="5">
        <v>916.1</v>
      </c>
      <c r="R3224" s="5">
        <v>922.25</v>
      </c>
      <c r="S3224" s="5">
        <v>920</v>
      </c>
      <c r="T3224" s="5">
        <v>926.8</v>
      </c>
      <c r="V3224" s="5">
        <v>922.25</v>
      </c>
      <c r="Y3224" s="5">
        <v>68604</v>
      </c>
      <c r="Z3224" s="5">
        <v>63297537.850000001</v>
      </c>
      <c r="AA3224" s="5">
        <v>5825</v>
      </c>
      <c r="AB3224" s="5" t="s">
        <v>85</v>
      </c>
      <c r="AC3224" s="5">
        <v>1</v>
      </c>
    </row>
    <row r="3225" spans="1:29" x14ac:dyDescent="0.3">
      <c r="A3225" s="34">
        <v>46274</v>
      </c>
      <c r="B3225" s="34">
        <v>46274</v>
      </c>
      <c r="C3225" s="5" t="s">
        <v>78</v>
      </c>
      <c r="D3225" s="5" t="s">
        <v>79</v>
      </c>
      <c r="E3225" s="5" t="s">
        <v>80</v>
      </c>
      <c r="F3225" s="5">
        <v>3980</v>
      </c>
      <c r="G3225" s="5" t="s">
        <v>9774</v>
      </c>
      <c r="H3225" s="5" t="s">
        <v>9775</v>
      </c>
      <c r="I3225" s="5" t="s">
        <v>212</v>
      </c>
      <c r="N3225" s="5" t="s">
        <v>9776</v>
      </c>
      <c r="O3225" s="5">
        <v>161.99</v>
      </c>
      <c r="P3225" s="5">
        <v>162.19</v>
      </c>
      <c r="Q3225" s="5">
        <v>155</v>
      </c>
      <c r="R3225" s="5">
        <v>155.34</v>
      </c>
      <c r="S3225" s="5">
        <v>155.35</v>
      </c>
      <c r="T3225" s="5">
        <v>161.41</v>
      </c>
      <c r="V3225" s="5">
        <v>155.34</v>
      </c>
      <c r="Y3225" s="5">
        <v>188419</v>
      </c>
      <c r="Z3225" s="5">
        <v>29616201.84</v>
      </c>
      <c r="AA3225" s="5">
        <v>3736</v>
      </c>
      <c r="AB3225" s="5" t="s">
        <v>85</v>
      </c>
      <c r="AC3225" s="5">
        <v>1</v>
      </c>
    </row>
    <row r="3226" spans="1:29" x14ac:dyDescent="0.3">
      <c r="A3226" s="34">
        <v>46274</v>
      </c>
      <c r="B3226" s="34">
        <v>46274</v>
      </c>
      <c r="C3226" s="5" t="s">
        <v>78</v>
      </c>
      <c r="D3226" s="5" t="s">
        <v>79</v>
      </c>
      <c r="E3226" s="5" t="s">
        <v>80</v>
      </c>
      <c r="F3226" s="5">
        <v>3509</v>
      </c>
      <c r="G3226" s="5" t="s">
        <v>9777</v>
      </c>
      <c r="H3226" s="5" t="s">
        <v>9778</v>
      </c>
      <c r="I3226" s="5" t="s">
        <v>212</v>
      </c>
      <c r="N3226" s="5" t="s">
        <v>9779</v>
      </c>
      <c r="O3226" s="5">
        <v>141.27000000000001</v>
      </c>
      <c r="P3226" s="5">
        <v>144.75</v>
      </c>
      <c r="Q3226" s="5">
        <v>136.44999999999999</v>
      </c>
      <c r="R3226" s="5">
        <v>137.6</v>
      </c>
      <c r="S3226" s="5">
        <v>137.9</v>
      </c>
      <c r="T3226" s="5">
        <v>139.18</v>
      </c>
      <c r="V3226" s="5">
        <v>137.61000000000001</v>
      </c>
      <c r="Y3226" s="5">
        <v>1993687</v>
      </c>
      <c r="Z3226" s="5">
        <v>280257844.04000002</v>
      </c>
      <c r="AA3226" s="5">
        <v>20527</v>
      </c>
      <c r="AB3226" s="5" t="s">
        <v>85</v>
      </c>
      <c r="AC3226" s="5">
        <v>1</v>
      </c>
    </row>
    <row r="3227" spans="1:29" x14ac:dyDescent="0.3">
      <c r="A3227" s="34">
        <v>46274</v>
      </c>
      <c r="B3227" s="34">
        <v>46274</v>
      </c>
      <c r="C3227" s="5" t="s">
        <v>78</v>
      </c>
      <c r="D3227" s="5" t="s">
        <v>79</v>
      </c>
      <c r="E3227" s="5" t="s">
        <v>80</v>
      </c>
      <c r="F3227" s="5">
        <v>3512</v>
      </c>
      <c r="G3227" s="5" t="s">
        <v>9780</v>
      </c>
      <c r="H3227" s="5" t="s">
        <v>9781</v>
      </c>
      <c r="I3227" s="5" t="s">
        <v>212</v>
      </c>
      <c r="N3227" s="5" t="s">
        <v>9782</v>
      </c>
      <c r="O3227" s="5">
        <v>8.81</v>
      </c>
      <c r="P3227" s="5">
        <v>9</v>
      </c>
      <c r="Q3227" s="5">
        <v>8.8000000000000007</v>
      </c>
      <c r="R3227" s="5">
        <v>8.89</v>
      </c>
      <c r="S3227" s="5">
        <v>8.89</v>
      </c>
      <c r="T3227" s="5">
        <v>8.99</v>
      </c>
      <c r="V3227" s="5">
        <v>8.89</v>
      </c>
      <c r="Y3227" s="5">
        <v>9038</v>
      </c>
      <c r="Z3227" s="5">
        <v>80579.17</v>
      </c>
      <c r="AA3227" s="5">
        <v>64</v>
      </c>
      <c r="AB3227" s="5" t="s">
        <v>85</v>
      </c>
      <c r="AC3227" s="5">
        <v>1</v>
      </c>
    </row>
    <row r="3228" spans="1:29" x14ac:dyDescent="0.3">
      <c r="A3228" s="34">
        <v>46274</v>
      </c>
      <c r="B3228" s="34">
        <v>46274</v>
      </c>
      <c r="C3228" s="5" t="s">
        <v>78</v>
      </c>
      <c r="D3228" s="5" t="s">
        <v>79</v>
      </c>
      <c r="E3228" s="5" t="s">
        <v>80</v>
      </c>
      <c r="F3228" s="5">
        <v>764945</v>
      </c>
      <c r="G3228" s="5" t="s">
        <v>9783</v>
      </c>
      <c r="H3228" s="5" t="s">
        <v>9784</v>
      </c>
      <c r="I3228" s="5" t="s">
        <v>212</v>
      </c>
      <c r="N3228" s="5" t="s">
        <v>9785</v>
      </c>
      <c r="O3228" s="5">
        <v>276</v>
      </c>
      <c r="P3228" s="5">
        <v>277.35000000000002</v>
      </c>
      <c r="Q3228" s="5">
        <v>270</v>
      </c>
      <c r="R3228" s="5">
        <v>272.75</v>
      </c>
      <c r="S3228" s="5">
        <v>274</v>
      </c>
      <c r="T3228" s="5">
        <v>276.95</v>
      </c>
      <c r="V3228" s="5">
        <v>272.61</v>
      </c>
      <c r="Y3228" s="5">
        <v>19162</v>
      </c>
      <c r="Z3228" s="5">
        <v>5245571.3499999996</v>
      </c>
      <c r="AA3228" s="5">
        <v>1084</v>
      </c>
      <c r="AB3228" s="5" t="s">
        <v>85</v>
      </c>
      <c r="AC3228" s="5">
        <v>1</v>
      </c>
    </row>
    <row r="3229" spans="1:29" x14ac:dyDescent="0.3">
      <c r="A3229" s="34">
        <v>46274</v>
      </c>
      <c r="B3229" s="34">
        <v>46274</v>
      </c>
      <c r="C3229" s="5" t="s">
        <v>78</v>
      </c>
      <c r="D3229" s="5" t="s">
        <v>79</v>
      </c>
      <c r="E3229" s="5" t="s">
        <v>80</v>
      </c>
      <c r="F3229" s="5">
        <v>756338</v>
      </c>
      <c r="G3229" s="5" t="s">
        <v>9786</v>
      </c>
      <c r="H3229" s="5" t="s">
        <v>9787</v>
      </c>
      <c r="I3229" s="5" t="s">
        <v>392</v>
      </c>
      <c r="N3229" s="5" t="s">
        <v>9788</v>
      </c>
      <c r="O3229" s="5">
        <v>1590</v>
      </c>
      <c r="P3229" s="5">
        <v>1590</v>
      </c>
      <c r="Q3229" s="5">
        <v>1589.95</v>
      </c>
      <c r="R3229" s="5">
        <v>1589.95</v>
      </c>
      <c r="S3229" s="5">
        <v>1589.95</v>
      </c>
      <c r="T3229" s="5">
        <v>1560</v>
      </c>
      <c r="V3229" s="5">
        <v>1589.95</v>
      </c>
      <c r="Y3229" s="5">
        <v>1750</v>
      </c>
      <c r="Z3229" s="5">
        <v>2782437.5</v>
      </c>
      <c r="AA3229" s="5">
        <v>7</v>
      </c>
      <c r="AB3229" s="5" t="s">
        <v>85</v>
      </c>
      <c r="AC3229" s="5">
        <v>250</v>
      </c>
    </row>
    <row r="3230" spans="1:29" x14ac:dyDescent="0.3">
      <c r="A3230" s="34">
        <v>46274</v>
      </c>
      <c r="B3230" s="34">
        <v>46274</v>
      </c>
      <c r="C3230" s="5" t="s">
        <v>78</v>
      </c>
      <c r="D3230" s="5" t="s">
        <v>79</v>
      </c>
      <c r="E3230" s="5" t="s">
        <v>80</v>
      </c>
      <c r="F3230" s="5">
        <v>13976</v>
      </c>
      <c r="G3230" s="5" t="s">
        <v>9789</v>
      </c>
      <c r="H3230" s="5" t="s">
        <v>9790</v>
      </c>
      <c r="I3230" s="5" t="s">
        <v>212</v>
      </c>
      <c r="N3230" s="5" t="s">
        <v>9791</v>
      </c>
      <c r="O3230" s="5">
        <v>509</v>
      </c>
      <c r="P3230" s="5">
        <v>520.45000000000005</v>
      </c>
      <c r="Q3230" s="5">
        <v>504.8</v>
      </c>
      <c r="R3230" s="5">
        <v>509.3</v>
      </c>
      <c r="S3230" s="5">
        <v>507.5</v>
      </c>
      <c r="T3230" s="5">
        <v>512.95000000000005</v>
      </c>
      <c r="V3230" s="5">
        <v>509.31</v>
      </c>
      <c r="Y3230" s="5">
        <v>500496</v>
      </c>
      <c r="Z3230" s="5">
        <v>255752605.84999999</v>
      </c>
      <c r="AA3230" s="5">
        <v>19017</v>
      </c>
      <c r="AB3230" s="5" t="s">
        <v>85</v>
      </c>
      <c r="AC3230" s="5">
        <v>1</v>
      </c>
    </row>
    <row r="3231" spans="1:29" x14ac:dyDescent="0.3">
      <c r="A3231" s="34">
        <v>46274</v>
      </c>
      <c r="B3231" s="34">
        <v>46274</v>
      </c>
      <c r="C3231" s="5" t="s">
        <v>78</v>
      </c>
      <c r="D3231" s="5" t="s">
        <v>79</v>
      </c>
      <c r="E3231" s="5" t="s">
        <v>80</v>
      </c>
      <c r="F3231" s="5">
        <v>10986</v>
      </c>
      <c r="G3231" s="5" t="s">
        <v>9792</v>
      </c>
      <c r="H3231" s="5" t="s">
        <v>9793</v>
      </c>
      <c r="I3231" s="5" t="s">
        <v>313</v>
      </c>
      <c r="N3231" s="5" t="s">
        <v>9794</v>
      </c>
      <c r="O3231" s="5">
        <v>49</v>
      </c>
      <c r="P3231" s="5">
        <v>49</v>
      </c>
      <c r="Q3231" s="5">
        <v>49</v>
      </c>
      <c r="R3231" s="5">
        <v>49</v>
      </c>
      <c r="S3231" s="5">
        <v>49</v>
      </c>
      <c r="T3231" s="5">
        <v>49</v>
      </c>
      <c r="V3231" s="5">
        <v>49</v>
      </c>
      <c r="Y3231" s="5">
        <v>1500</v>
      </c>
      <c r="Z3231" s="5">
        <v>73500</v>
      </c>
      <c r="AA3231" s="5">
        <v>1</v>
      </c>
      <c r="AB3231" s="5" t="s">
        <v>85</v>
      </c>
      <c r="AC3231" s="5">
        <v>750</v>
      </c>
    </row>
    <row r="3232" spans="1:29" x14ac:dyDescent="0.3">
      <c r="A3232" s="34">
        <v>46274</v>
      </c>
      <c r="B3232" s="34">
        <v>46274</v>
      </c>
      <c r="C3232" s="5" t="s">
        <v>78</v>
      </c>
      <c r="D3232" s="5" t="s">
        <v>79</v>
      </c>
      <c r="E3232" s="5" t="s">
        <v>80</v>
      </c>
      <c r="F3232" s="5">
        <v>23512</v>
      </c>
      <c r="G3232" s="5" t="s">
        <v>9795</v>
      </c>
      <c r="H3232" s="5" t="s">
        <v>9796</v>
      </c>
      <c r="I3232" s="5" t="s">
        <v>212</v>
      </c>
      <c r="N3232" s="5" t="s">
        <v>9797</v>
      </c>
      <c r="O3232" s="5">
        <v>47.68</v>
      </c>
      <c r="P3232" s="5">
        <v>48.63</v>
      </c>
      <c r="Q3232" s="5">
        <v>46.32</v>
      </c>
      <c r="R3232" s="5">
        <v>47.05</v>
      </c>
      <c r="S3232" s="5">
        <v>47.14</v>
      </c>
      <c r="T3232" s="5">
        <v>47.68</v>
      </c>
      <c r="V3232" s="5">
        <v>47.05</v>
      </c>
      <c r="Y3232" s="5">
        <v>66478</v>
      </c>
      <c r="Z3232" s="5">
        <v>3137159.75</v>
      </c>
      <c r="AA3232" s="5">
        <v>1657</v>
      </c>
      <c r="AB3232" s="5" t="s">
        <v>85</v>
      </c>
      <c r="AC3232" s="5">
        <v>1</v>
      </c>
    </row>
    <row r="3233" spans="1:29" x14ac:dyDescent="0.3">
      <c r="A3233" s="34">
        <v>46274</v>
      </c>
      <c r="B3233" s="34">
        <v>46274</v>
      </c>
      <c r="C3233" s="5" t="s">
        <v>78</v>
      </c>
      <c r="D3233" s="5" t="s">
        <v>79</v>
      </c>
      <c r="E3233" s="5" t="s">
        <v>80</v>
      </c>
      <c r="F3233" s="5">
        <v>18827</v>
      </c>
      <c r="G3233" s="5" t="s">
        <v>9798</v>
      </c>
      <c r="H3233" s="5" t="s">
        <v>9799</v>
      </c>
      <c r="I3233" s="5" t="s">
        <v>212</v>
      </c>
      <c r="N3233" s="5" t="s">
        <v>9800</v>
      </c>
      <c r="O3233" s="5">
        <v>12.81</v>
      </c>
      <c r="P3233" s="5">
        <v>13.34</v>
      </c>
      <c r="Q3233" s="5">
        <v>12.8</v>
      </c>
      <c r="R3233" s="5">
        <v>12.95</v>
      </c>
      <c r="S3233" s="5">
        <v>12.95</v>
      </c>
      <c r="T3233" s="5">
        <v>12.83</v>
      </c>
      <c r="V3233" s="5">
        <v>12.95</v>
      </c>
      <c r="Y3233" s="5">
        <v>24086</v>
      </c>
      <c r="Z3233" s="5">
        <v>311733.11</v>
      </c>
      <c r="AA3233" s="5">
        <v>137</v>
      </c>
      <c r="AB3233" s="5" t="s">
        <v>85</v>
      </c>
      <c r="AC3233" s="5">
        <v>1</v>
      </c>
    </row>
    <row r="3234" spans="1:29" x14ac:dyDescent="0.3">
      <c r="A3234" s="34">
        <v>46274</v>
      </c>
      <c r="B3234" s="34">
        <v>46274</v>
      </c>
      <c r="C3234" s="5" t="s">
        <v>78</v>
      </c>
      <c r="D3234" s="5" t="s">
        <v>79</v>
      </c>
      <c r="E3234" s="5" t="s">
        <v>80</v>
      </c>
      <c r="F3234" s="5">
        <v>1581</v>
      </c>
      <c r="G3234" s="5" t="s">
        <v>9801</v>
      </c>
      <c r="H3234" s="5" t="s">
        <v>9802</v>
      </c>
      <c r="I3234" s="5" t="s">
        <v>212</v>
      </c>
      <c r="N3234" s="5" t="s">
        <v>9803</v>
      </c>
      <c r="O3234" s="5">
        <v>132.9</v>
      </c>
      <c r="P3234" s="5">
        <v>133.9</v>
      </c>
      <c r="Q3234" s="5">
        <v>127.11</v>
      </c>
      <c r="R3234" s="5">
        <v>129.78</v>
      </c>
      <c r="S3234" s="5">
        <v>129.53</v>
      </c>
      <c r="T3234" s="5">
        <v>131.53</v>
      </c>
      <c r="V3234" s="5">
        <v>129.78</v>
      </c>
      <c r="Y3234" s="5">
        <v>519332</v>
      </c>
      <c r="Z3234" s="5">
        <v>67177515.829999998</v>
      </c>
      <c r="AA3234" s="5">
        <v>5295</v>
      </c>
      <c r="AB3234" s="5" t="s">
        <v>85</v>
      </c>
      <c r="AC3234" s="5">
        <v>1</v>
      </c>
    </row>
    <row r="3235" spans="1:29" x14ac:dyDescent="0.3">
      <c r="A3235" s="34">
        <v>46274</v>
      </c>
      <c r="B3235" s="34">
        <v>46274</v>
      </c>
      <c r="C3235" s="5" t="s">
        <v>78</v>
      </c>
      <c r="D3235" s="5" t="s">
        <v>79</v>
      </c>
      <c r="E3235" s="5" t="s">
        <v>80</v>
      </c>
      <c r="F3235" s="5">
        <v>14771</v>
      </c>
      <c r="G3235" s="5" t="s">
        <v>9804</v>
      </c>
      <c r="H3235" s="5" t="s">
        <v>9805</v>
      </c>
      <c r="I3235" s="5" t="s">
        <v>212</v>
      </c>
      <c r="N3235" s="5" t="s">
        <v>9806</v>
      </c>
      <c r="O3235" s="5">
        <v>61.51</v>
      </c>
      <c r="P3235" s="5">
        <v>63.57</v>
      </c>
      <c r="Q3235" s="5">
        <v>59.1</v>
      </c>
      <c r="R3235" s="5">
        <v>59.71</v>
      </c>
      <c r="S3235" s="5">
        <v>59.9</v>
      </c>
      <c r="T3235" s="5">
        <v>62.25</v>
      </c>
      <c r="V3235" s="5">
        <v>59.72</v>
      </c>
      <c r="Y3235" s="5">
        <v>27947</v>
      </c>
      <c r="Z3235" s="5">
        <v>1705692.87</v>
      </c>
      <c r="AA3235" s="5">
        <v>1016</v>
      </c>
      <c r="AB3235" s="5" t="s">
        <v>85</v>
      </c>
      <c r="AC3235" s="5">
        <v>1</v>
      </c>
    </row>
    <row r="3236" spans="1:29" x14ac:dyDescent="0.3">
      <c r="A3236" s="34">
        <v>46274</v>
      </c>
      <c r="B3236" s="34">
        <v>46274</v>
      </c>
      <c r="C3236" s="5" t="s">
        <v>78</v>
      </c>
      <c r="D3236" s="5" t="s">
        <v>79</v>
      </c>
      <c r="E3236" s="5" t="s">
        <v>80</v>
      </c>
      <c r="F3236" s="5">
        <v>6943</v>
      </c>
      <c r="G3236" s="5" t="s">
        <v>9807</v>
      </c>
      <c r="H3236" s="5" t="s">
        <v>9808</v>
      </c>
      <c r="I3236" s="5" t="s">
        <v>212</v>
      </c>
      <c r="N3236" s="5" t="s">
        <v>9809</v>
      </c>
      <c r="O3236" s="5">
        <v>327.3</v>
      </c>
      <c r="P3236" s="5">
        <v>329.05</v>
      </c>
      <c r="Q3236" s="5">
        <v>315.05</v>
      </c>
      <c r="R3236" s="5">
        <v>321.35000000000002</v>
      </c>
      <c r="S3236" s="5">
        <v>320</v>
      </c>
      <c r="T3236" s="5">
        <v>325.14999999999998</v>
      </c>
      <c r="V3236" s="5">
        <v>321.5</v>
      </c>
      <c r="Y3236" s="5">
        <v>113511</v>
      </c>
      <c r="Z3236" s="5">
        <v>36369919.700000003</v>
      </c>
      <c r="AA3236" s="5">
        <v>2856</v>
      </c>
      <c r="AB3236" s="5" t="s">
        <v>85</v>
      </c>
      <c r="AC3236" s="5">
        <v>1</v>
      </c>
    </row>
    <row r="3237" spans="1:29" x14ac:dyDescent="0.3">
      <c r="A3237" s="34">
        <v>46274</v>
      </c>
      <c r="B3237" s="34">
        <v>46274</v>
      </c>
      <c r="C3237" s="5" t="s">
        <v>78</v>
      </c>
      <c r="D3237" s="5" t="s">
        <v>79</v>
      </c>
      <c r="E3237" s="5" t="s">
        <v>80</v>
      </c>
      <c r="F3237" s="5">
        <v>20092</v>
      </c>
      <c r="G3237" s="5" t="s">
        <v>9810</v>
      </c>
      <c r="H3237" s="5" t="s">
        <v>9811</v>
      </c>
      <c r="I3237" s="5" t="s">
        <v>212</v>
      </c>
      <c r="N3237" s="5" t="s">
        <v>9812</v>
      </c>
      <c r="O3237" s="5">
        <v>9806</v>
      </c>
      <c r="P3237" s="5">
        <v>9948</v>
      </c>
      <c r="Q3237" s="5">
        <v>9801</v>
      </c>
      <c r="R3237" s="5">
        <v>9824</v>
      </c>
      <c r="S3237" s="5">
        <v>9841</v>
      </c>
      <c r="T3237" s="5">
        <v>9853</v>
      </c>
      <c r="V3237" s="5">
        <v>9822.82</v>
      </c>
      <c r="Y3237" s="5">
        <v>1538</v>
      </c>
      <c r="Z3237" s="5">
        <v>15140181</v>
      </c>
      <c r="AA3237" s="5">
        <v>540</v>
      </c>
      <c r="AB3237" s="5" t="s">
        <v>85</v>
      </c>
      <c r="AC3237" s="5">
        <v>1</v>
      </c>
    </row>
    <row r="3238" spans="1:29" x14ac:dyDescent="0.3">
      <c r="A3238" s="34">
        <v>46274</v>
      </c>
      <c r="B3238" s="34">
        <v>46274</v>
      </c>
      <c r="C3238" s="5" t="s">
        <v>78</v>
      </c>
      <c r="D3238" s="5" t="s">
        <v>79</v>
      </c>
      <c r="E3238" s="5" t="s">
        <v>80</v>
      </c>
      <c r="F3238" s="5">
        <v>759265</v>
      </c>
      <c r="G3238" s="5" t="s">
        <v>9813</v>
      </c>
      <c r="H3238" s="5" t="s">
        <v>9814</v>
      </c>
      <c r="I3238" s="5" t="s">
        <v>212</v>
      </c>
      <c r="N3238" s="5" t="s">
        <v>9815</v>
      </c>
      <c r="O3238" s="5">
        <v>365.15</v>
      </c>
      <c r="P3238" s="5">
        <v>366.55</v>
      </c>
      <c r="Q3238" s="5">
        <v>360.55</v>
      </c>
      <c r="R3238" s="5">
        <v>363</v>
      </c>
      <c r="S3238" s="5">
        <v>363</v>
      </c>
      <c r="T3238" s="5">
        <v>368.05</v>
      </c>
      <c r="V3238" s="5">
        <v>363</v>
      </c>
      <c r="Y3238" s="5">
        <v>617731</v>
      </c>
      <c r="Z3238" s="5">
        <v>224173291.40000001</v>
      </c>
      <c r="AA3238" s="5">
        <v>19611</v>
      </c>
      <c r="AB3238" s="5" t="s">
        <v>85</v>
      </c>
      <c r="AC3238" s="5">
        <v>1</v>
      </c>
    </row>
    <row r="3239" spans="1:29" x14ac:dyDescent="0.3">
      <c r="A3239" s="34">
        <v>46274</v>
      </c>
      <c r="B3239" s="34">
        <v>46274</v>
      </c>
      <c r="C3239" s="5" t="s">
        <v>78</v>
      </c>
      <c r="D3239" s="5" t="s">
        <v>79</v>
      </c>
      <c r="E3239" s="5" t="s">
        <v>80</v>
      </c>
      <c r="F3239" s="5">
        <v>3405</v>
      </c>
      <c r="G3239" s="5" t="s">
        <v>9816</v>
      </c>
      <c r="H3239" s="5" t="s">
        <v>9817</v>
      </c>
      <c r="I3239" s="5" t="s">
        <v>212</v>
      </c>
      <c r="N3239" s="5" t="s">
        <v>9818</v>
      </c>
      <c r="O3239" s="5">
        <v>604.70000000000005</v>
      </c>
      <c r="P3239" s="5">
        <v>607.95000000000005</v>
      </c>
      <c r="Q3239" s="5">
        <v>600.54999999999995</v>
      </c>
      <c r="R3239" s="5">
        <v>603.04999999999995</v>
      </c>
      <c r="S3239" s="5">
        <v>604</v>
      </c>
      <c r="T3239" s="5">
        <v>607.70000000000005</v>
      </c>
      <c r="V3239" s="5">
        <v>603.04999999999995</v>
      </c>
      <c r="Y3239" s="5">
        <v>311583</v>
      </c>
      <c r="Z3239" s="5">
        <v>188093450.09999999</v>
      </c>
      <c r="AA3239" s="5">
        <v>13627</v>
      </c>
      <c r="AB3239" s="5" t="s">
        <v>85</v>
      </c>
      <c r="AC3239" s="5">
        <v>1</v>
      </c>
    </row>
    <row r="3240" spans="1:29" x14ac:dyDescent="0.3">
      <c r="A3240" s="34">
        <v>46274</v>
      </c>
      <c r="B3240" s="34">
        <v>46274</v>
      </c>
      <c r="C3240" s="5" t="s">
        <v>78</v>
      </c>
      <c r="D3240" s="5" t="s">
        <v>79</v>
      </c>
      <c r="E3240" s="5" t="s">
        <v>80</v>
      </c>
      <c r="F3240" s="5">
        <v>3721</v>
      </c>
      <c r="G3240" s="5" t="s">
        <v>9819</v>
      </c>
      <c r="H3240" s="5" t="s">
        <v>9820</v>
      </c>
      <c r="I3240" s="5" t="s">
        <v>212</v>
      </c>
      <c r="N3240" s="5" t="s">
        <v>9821</v>
      </c>
      <c r="O3240" s="5">
        <v>1752</v>
      </c>
      <c r="P3240" s="5">
        <v>1784</v>
      </c>
      <c r="Q3240" s="5">
        <v>1734.9</v>
      </c>
      <c r="R3240" s="5">
        <v>1772.8</v>
      </c>
      <c r="S3240" s="5">
        <v>1766</v>
      </c>
      <c r="T3240" s="5">
        <v>1752.8</v>
      </c>
      <c r="V3240" s="5">
        <v>1772.84</v>
      </c>
      <c r="Y3240" s="5">
        <v>207805</v>
      </c>
      <c r="Z3240" s="5">
        <v>367578950.89999998</v>
      </c>
      <c r="AA3240" s="5">
        <v>23012</v>
      </c>
      <c r="AB3240" s="5" t="s">
        <v>85</v>
      </c>
      <c r="AC3240" s="5">
        <v>1</v>
      </c>
    </row>
    <row r="3241" spans="1:29" x14ac:dyDescent="0.3">
      <c r="A3241" s="34">
        <v>46274</v>
      </c>
      <c r="B3241" s="34">
        <v>46274</v>
      </c>
      <c r="C3241" s="5" t="s">
        <v>78</v>
      </c>
      <c r="D3241" s="5" t="s">
        <v>79</v>
      </c>
      <c r="E3241" s="5" t="s">
        <v>80</v>
      </c>
      <c r="F3241" s="5">
        <v>11536</v>
      </c>
      <c r="G3241" s="5" t="s">
        <v>9822</v>
      </c>
      <c r="H3241" s="5" t="s">
        <v>9823</v>
      </c>
      <c r="I3241" s="5" t="s">
        <v>212</v>
      </c>
      <c r="N3241" s="5" t="s">
        <v>9824</v>
      </c>
      <c r="O3241" s="5">
        <v>2237</v>
      </c>
      <c r="P3241" s="5">
        <v>2237</v>
      </c>
      <c r="Q3241" s="5">
        <v>2193.1999999999998</v>
      </c>
      <c r="R3241" s="5">
        <v>2208</v>
      </c>
      <c r="S3241" s="5">
        <v>2208</v>
      </c>
      <c r="T3241" s="5">
        <v>2255.5</v>
      </c>
      <c r="V3241" s="5">
        <v>2208</v>
      </c>
      <c r="Y3241" s="5">
        <v>3370071</v>
      </c>
      <c r="Z3241" s="5">
        <v>7439143444.6000004</v>
      </c>
      <c r="AA3241" s="5">
        <v>124491</v>
      </c>
      <c r="AB3241" s="5" t="s">
        <v>85</v>
      </c>
      <c r="AC3241" s="5">
        <v>1</v>
      </c>
    </row>
    <row r="3242" spans="1:29" x14ac:dyDescent="0.3">
      <c r="A3242" s="34">
        <v>46274</v>
      </c>
      <c r="B3242" s="34">
        <v>46274</v>
      </c>
      <c r="C3242" s="5" t="s">
        <v>78</v>
      </c>
      <c r="D3242" s="5" t="s">
        <v>79</v>
      </c>
      <c r="E3242" s="5" t="s">
        <v>80</v>
      </c>
      <c r="F3242" s="5">
        <v>3432</v>
      </c>
      <c r="G3242" s="5" t="s">
        <v>9825</v>
      </c>
      <c r="H3242" s="5" t="s">
        <v>9826</v>
      </c>
      <c r="I3242" s="5" t="s">
        <v>212</v>
      </c>
      <c r="N3242" s="5" t="s">
        <v>9827</v>
      </c>
      <c r="O3242" s="5">
        <v>1010.8</v>
      </c>
      <c r="P3242" s="5">
        <v>1013.7</v>
      </c>
      <c r="Q3242" s="5">
        <v>1001</v>
      </c>
      <c r="R3242" s="5">
        <v>1001</v>
      </c>
      <c r="S3242" s="5">
        <v>1001</v>
      </c>
      <c r="T3242" s="5">
        <v>1014.1</v>
      </c>
      <c r="V3242" s="5">
        <v>1001.04</v>
      </c>
      <c r="Y3242" s="5">
        <v>973918</v>
      </c>
      <c r="Z3242" s="5">
        <v>981368783.89999998</v>
      </c>
      <c r="AA3242" s="5">
        <v>54897</v>
      </c>
      <c r="AB3242" s="5" t="s">
        <v>85</v>
      </c>
      <c r="AC3242" s="5">
        <v>1</v>
      </c>
    </row>
    <row r="3243" spans="1:29" x14ac:dyDescent="0.3">
      <c r="A3243" s="34">
        <v>46274</v>
      </c>
      <c r="B3243" s="34">
        <v>46274</v>
      </c>
      <c r="C3243" s="5" t="s">
        <v>78</v>
      </c>
      <c r="D3243" s="5" t="s">
        <v>79</v>
      </c>
      <c r="E3243" s="5" t="s">
        <v>80</v>
      </c>
      <c r="F3243" s="5">
        <v>3411</v>
      </c>
      <c r="G3243" s="5" t="s">
        <v>9828</v>
      </c>
      <c r="H3243" s="5" t="s">
        <v>9829</v>
      </c>
      <c r="I3243" s="5" t="s">
        <v>212</v>
      </c>
      <c r="N3243" s="5" t="s">
        <v>9830</v>
      </c>
      <c r="O3243" s="5">
        <v>3452.5</v>
      </c>
      <c r="P3243" s="5">
        <v>3459.9</v>
      </c>
      <c r="Q3243" s="5">
        <v>3380</v>
      </c>
      <c r="R3243" s="5">
        <v>3383</v>
      </c>
      <c r="S3243" s="5">
        <v>3383</v>
      </c>
      <c r="T3243" s="5">
        <v>3492</v>
      </c>
      <c r="V3243" s="5">
        <v>3383.13</v>
      </c>
      <c r="Y3243" s="5">
        <v>246727</v>
      </c>
      <c r="Z3243" s="5">
        <v>841563860.10000002</v>
      </c>
      <c r="AA3243" s="5">
        <v>29981</v>
      </c>
      <c r="AB3243" s="5" t="s">
        <v>85</v>
      </c>
      <c r="AC3243" s="5">
        <v>1</v>
      </c>
    </row>
    <row r="3244" spans="1:29" x14ac:dyDescent="0.3">
      <c r="A3244" s="34">
        <v>46274</v>
      </c>
      <c r="B3244" s="34">
        <v>46274</v>
      </c>
      <c r="C3244" s="5" t="s">
        <v>78</v>
      </c>
      <c r="D3244" s="5" t="s">
        <v>79</v>
      </c>
      <c r="E3244" s="5" t="s">
        <v>80</v>
      </c>
      <c r="F3244" s="5">
        <v>1621</v>
      </c>
      <c r="G3244" s="5" t="s">
        <v>9831</v>
      </c>
      <c r="H3244" s="5" t="s">
        <v>9832</v>
      </c>
      <c r="I3244" s="5" t="s">
        <v>212</v>
      </c>
      <c r="N3244" s="5" t="s">
        <v>9833</v>
      </c>
      <c r="O3244" s="5">
        <v>622.04999999999995</v>
      </c>
      <c r="P3244" s="5">
        <v>624.79999999999995</v>
      </c>
      <c r="Q3244" s="5">
        <v>616.1</v>
      </c>
      <c r="R3244" s="5">
        <v>618.79999999999995</v>
      </c>
      <c r="S3244" s="5">
        <v>622.75</v>
      </c>
      <c r="T3244" s="5">
        <v>622.04999999999995</v>
      </c>
      <c r="V3244" s="5">
        <v>618.77</v>
      </c>
      <c r="Y3244" s="5">
        <v>129846</v>
      </c>
      <c r="Z3244" s="5">
        <v>80286543.299999997</v>
      </c>
      <c r="AA3244" s="5">
        <v>9803</v>
      </c>
      <c r="AB3244" s="5" t="s">
        <v>85</v>
      </c>
      <c r="AC3244" s="5">
        <v>1</v>
      </c>
    </row>
    <row r="3245" spans="1:29" x14ac:dyDescent="0.3">
      <c r="A3245" s="34">
        <v>46274</v>
      </c>
      <c r="B3245" s="34">
        <v>46274</v>
      </c>
      <c r="C3245" s="5" t="s">
        <v>78</v>
      </c>
      <c r="D3245" s="5" t="s">
        <v>79</v>
      </c>
      <c r="E3245" s="5" t="s">
        <v>80</v>
      </c>
      <c r="F3245" s="5">
        <v>759782</v>
      </c>
      <c r="G3245" s="5" t="s">
        <v>9834</v>
      </c>
      <c r="H3245" s="5" t="s">
        <v>9835</v>
      </c>
      <c r="I3245" s="5" t="s">
        <v>212</v>
      </c>
      <c r="N3245" s="5" t="s">
        <v>9836</v>
      </c>
      <c r="O3245" s="5">
        <v>455.05</v>
      </c>
      <c r="P3245" s="5">
        <v>458.35</v>
      </c>
      <c r="Q3245" s="5">
        <v>443.55</v>
      </c>
      <c r="R3245" s="5">
        <v>444.95</v>
      </c>
      <c r="S3245" s="5">
        <v>444</v>
      </c>
      <c r="T3245" s="5">
        <v>456.05</v>
      </c>
      <c r="V3245" s="5">
        <v>444.94</v>
      </c>
      <c r="Y3245" s="5">
        <v>5681388</v>
      </c>
      <c r="Z3245" s="5">
        <v>2551995857.0500002</v>
      </c>
      <c r="AA3245" s="5">
        <v>88129</v>
      </c>
      <c r="AB3245" s="5" t="s">
        <v>85</v>
      </c>
      <c r="AC3245" s="5">
        <v>1</v>
      </c>
    </row>
    <row r="3246" spans="1:29" x14ac:dyDescent="0.3">
      <c r="A3246" s="34">
        <v>46274</v>
      </c>
      <c r="B3246" s="34">
        <v>46274</v>
      </c>
      <c r="C3246" s="5" t="s">
        <v>78</v>
      </c>
      <c r="D3246" s="5" t="s">
        <v>79</v>
      </c>
      <c r="E3246" s="5" t="s">
        <v>80</v>
      </c>
      <c r="F3246" s="5">
        <v>3456</v>
      </c>
      <c r="G3246" s="5" t="s">
        <v>9837</v>
      </c>
      <c r="H3246" s="5" t="s">
        <v>9838</v>
      </c>
      <c r="I3246" s="5" t="s">
        <v>212</v>
      </c>
      <c r="N3246" s="5" t="s">
        <v>9839</v>
      </c>
      <c r="O3246" s="5">
        <v>306.45</v>
      </c>
      <c r="P3246" s="5">
        <v>306.45</v>
      </c>
      <c r="Q3246" s="5">
        <v>300.8</v>
      </c>
      <c r="R3246" s="5">
        <v>303</v>
      </c>
      <c r="S3246" s="5">
        <v>303</v>
      </c>
      <c r="T3246" s="5">
        <v>306.45</v>
      </c>
      <c r="V3246" s="5">
        <v>303.01</v>
      </c>
      <c r="Y3246" s="5">
        <v>6971556</v>
      </c>
      <c r="Z3246" s="5">
        <v>2114671735.05</v>
      </c>
      <c r="AA3246" s="5">
        <v>81181</v>
      </c>
      <c r="AB3246" s="5" t="s">
        <v>85</v>
      </c>
      <c r="AC3246" s="5">
        <v>1</v>
      </c>
    </row>
    <row r="3247" spans="1:29" x14ac:dyDescent="0.3">
      <c r="A3247" s="34">
        <v>46274</v>
      </c>
      <c r="B3247" s="34">
        <v>46274</v>
      </c>
      <c r="C3247" s="5" t="s">
        <v>78</v>
      </c>
      <c r="D3247" s="5" t="s">
        <v>79</v>
      </c>
      <c r="E3247" s="5" t="s">
        <v>80</v>
      </c>
      <c r="F3247" s="5">
        <v>3426</v>
      </c>
      <c r="G3247" s="5" t="s">
        <v>9840</v>
      </c>
      <c r="H3247" s="5" t="s">
        <v>9841</v>
      </c>
      <c r="I3247" s="5" t="s">
        <v>212</v>
      </c>
      <c r="N3247" s="5" t="s">
        <v>9842</v>
      </c>
      <c r="O3247" s="5">
        <v>364.1</v>
      </c>
      <c r="P3247" s="5">
        <v>373.7</v>
      </c>
      <c r="Q3247" s="5">
        <v>363.15</v>
      </c>
      <c r="R3247" s="5">
        <v>370</v>
      </c>
      <c r="S3247" s="5">
        <v>370</v>
      </c>
      <c r="T3247" s="5">
        <v>365.55</v>
      </c>
      <c r="V3247" s="5">
        <v>369.96</v>
      </c>
      <c r="Y3247" s="5">
        <v>5668226</v>
      </c>
      <c r="Z3247" s="5">
        <v>2096749365.0999999</v>
      </c>
      <c r="AA3247" s="5">
        <v>62272</v>
      </c>
      <c r="AB3247" s="5" t="s">
        <v>85</v>
      </c>
      <c r="AC3247" s="5">
        <v>1</v>
      </c>
    </row>
    <row r="3248" spans="1:29" x14ac:dyDescent="0.3">
      <c r="A3248" s="34">
        <v>46274</v>
      </c>
      <c r="B3248" s="34">
        <v>46274</v>
      </c>
      <c r="C3248" s="5" t="s">
        <v>78</v>
      </c>
      <c r="D3248" s="5" t="s">
        <v>79</v>
      </c>
      <c r="E3248" s="5" t="s">
        <v>80</v>
      </c>
      <c r="F3248" s="5">
        <v>3499</v>
      </c>
      <c r="G3248" s="5" t="s">
        <v>9843</v>
      </c>
      <c r="H3248" s="5" t="s">
        <v>9844</v>
      </c>
      <c r="I3248" s="5" t="s">
        <v>212</v>
      </c>
      <c r="N3248" s="5" t="s">
        <v>9845</v>
      </c>
      <c r="O3248" s="5">
        <v>184.8</v>
      </c>
      <c r="P3248" s="5">
        <v>190.26</v>
      </c>
      <c r="Q3248" s="5">
        <v>183.41</v>
      </c>
      <c r="R3248" s="5">
        <v>188.75</v>
      </c>
      <c r="S3248" s="5">
        <v>188.75</v>
      </c>
      <c r="T3248" s="5">
        <v>184.15</v>
      </c>
      <c r="V3248" s="5">
        <v>188.75</v>
      </c>
      <c r="Y3248" s="5">
        <v>45985325</v>
      </c>
      <c r="Z3248" s="5">
        <v>8627102945.0900002</v>
      </c>
      <c r="AA3248" s="5">
        <v>182377</v>
      </c>
      <c r="AB3248" s="5" t="s">
        <v>85</v>
      </c>
      <c r="AC3248" s="5">
        <v>1</v>
      </c>
    </row>
    <row r="3249" spans="1:29" x14ac:dyDescent="0.3">
      <c r="A3249" s="34">
        <v>46274</v>
      </c>
      <c r="B3249" s="34">
        <v>46274</v>
      </c>
      <c r="C3249" s="5" t="s">
        <v>78</v>
      </c>
      <c r="D3249" s="5" t="s">
        <v>79</v>
      </c>
      <c r="E3249" s="5" t="s">
        <v>80</v>
      </c>
      <c r="F3249" s="5">
        <v>20293</v>
      </c>
      <c r="G3249" s="5" t="s">
        <v>9846</v>
      </c>
      <c r="H3249" s="5" t="s">
        <v>9847</v>
      </c>
      <c r="I3249" s="5" t="s">
        <v>212</v>
      </c>
      <c r="N3249" s="5" t="s">
        <v>9848</v>
      </c>
      <c r="O3249" s="5">
        <v>794</v>
      </c>
      <c r="P3249" s="5">
        <v>794</v>
      </c>
      <c r="Q3249" s="5">
        <v>783</v>
      </c>
      <c r="R3249" s="5">
        <v>787.65</v>
      </c>
      <c r="S3249" s="5">
        <v>787</v>
      </c>
      <c r="T3249" s="5">
        <v>798.5</v>
      </c>
      <c r="V3249" s="5">
        <v>787.66</v>
      </c>
      <c r="Y3249" s="5">
        <v>610440</v>
      </c>
      <c r="Z3249" s="5">
        <v>481980845.25</v>
      </c>
      <c r="AA3249" s="5">
        <v>24707</v>
      </c>
      <c r="AB3249" s="5" t="s">
        <v>85</v>
      </c>
      <c r="AC3249" s="5">
        <v>1</v>
      </c>
    </row>
    <row r="3250" spans="1:29" x14ac:dyDescent="0.3">
      <c r="A3250" s="34">
        <v>46274</v>
      </c>
      <c r="B3250" s="34">
        <v>46274</v>
      </c>
      <c r="C3250" s="5" t="s">
        <v>78</v>
      </c>
      <c r="D3250" s="5" t="s">
        <v>79</v>
      </c>
      <c r="E3250" s="5" t="s">
        <v>80</v>
      </c>
      <c r="F3250" s="5">
        <v>8954</v>
      </c>
      <c r="G3250" s="5" t="s">
        <v>9849</v>
      </c>
      <c r="H3250" s="5" t="s">
        <v>9850</v>
      </c>
      <c r="I3250" s="5" t="s">
        <v>212</v>
      </c>
      <c r="N3250" s="5" t="s">
        <v>9851</v>
      </c>
      <c r="O3250" s="5">
        <v>36.549999999999997</v>
      </c>
      <c r="P3250" s="5">
        <v>36.549999999999997</v>
      </c>
      <c r="Q3250" s="5">
        <v>36</v>
      </c>
      <c r="R3250" s="5">
        <v>36.130000000000003</v>
      </c>
      <c r="S3250" s="5">
        <v>36</v>
      </c>
      <c r="T3250" s="5">
        <v>36.49</v>
      </c>
      <c r="V3250" s="5">
        <v>36.130000000000003</v>
      </c>
      <c r="Y3250" s="5">
        <v>1205146</v>
      </c>
      <c r="Z3250" s="5">
        <v>43701941.740000002</v>
      </c>
      <c r="AA3250" s="5">
        <v>6574</v>
      </c>
      <c r="AB3250" s="5" t="s">
        <v>85</v>
      </c>
      <c r="AC3250" s="5">
        <v>1</v>
      </c>
    </row>
    <row r="3251" spans="1:29" x14ac:dyDescent="0.3">
      <c r="A3251" s="34">
        <v>46274</v>
      </c>
      <c r="B3251" s="34">
        <v>46274</v>
      </c>
      <c r="C3251" s="5" t="s">
        <v>78</v>
      </c>
      <c r="D3251" s="5" t="s">
        <v>79</v>
      </c>
      <c r="E3251" s="5" t="s">
        <v>80</v>
      </c>
      <c r="F3251" s="5">
        <v>7838</v>
      </c>
      <c r="G3251" s="5" t="s">
        <v>9852</v>
      </c>
      <c r="H3251" s="5" t="s">
        <v>9853</v>
      </c>
      <c r="I3251" s="5" t="s">
        <v>212</v>
      </c>
      <c r="N3251" s="5" t="s">
        <v>9854</v>
      </c>
      <c r="O3251" s="5">
        <v>258.89999999999998</v>
      </c>
      <c r="P3251" s="5">
        <v>258.89999999999998</v>
      </c>
      <c r="Q3251" s="5">
        <v>255.15</v>
      </c>
      <c r="R3251" s="5">
        <v>255.83</v>
      </c>
      <c r="S3251" s="5">
        <v>256.52999999999997</v>
      </c>
      <c r="T3251" s="5">
        <v>257.91000000000003</v>
      </c>
      <c r="V3251" s="5">
        <v>257.14</v>
      </c>
      <c r="Y3251" s="5">
        <v>7172</v>
      </c>
      <c r="Z3251" s="5">
        <v>1840017.92</v>
      </c>
      <c r="AA3251" s="5">
        <v>220</v>
      </c>
      <c r="AB3251" s="5" t="s">
        <v>85</v>
      </c>
      <c r="AC3251" s="5">
        <v>1</v>
      </c>
    </row>
    <row r="3252" spans="1:29" x14ac:dyDescent="0.3">
      <c r="A3252" s="34">
        <v>46274</v>
      </c>
      <c r="B3252" s="34">
        <v>46274</v>
      </c>
      <c r="C3252" s="5" t="s">
        <v>78</v>
      </c>
      <c r="D3252" s="5" t="s">
        <v>79</v>
      </c>
      <c r="E3252" s="5" t="s">
        <v>80</v>
      </c>
      <c r="F3252" s="5">
        <v>12978</v>
      </c>
      <c r="G3252" s="5" t="s">
        <v>9855</v>
      </c>
      <c r="H3252" s="5" t="s">
        <v>9856</v>
      </c>
      <c r="I3252" s="5" t="s">
        <v>212</v>
      </c>
      <c r="N3252" s="5" t="s">
        <v>9857</v>
      </c>
      <c r="O3252" s="5">
        <v>284</v>
      </c>
      <c r="P3252" s="5">
        <v>292.39999999999998</v>
      </c>
      <c r="Q3252" s="5">
        <v>282.82</v>
      </c>
      <c r="R3252" s="5">
        <v>292.39999999999998</v>
      </c>
      <c r="S3252" s="5">
        <v>292.39999999999998</v>
      </c>
      <c r="T3252" s="5">
        <v>285.87</v>
      </c>
      <c r="V3252" s="5">
        <v>292.39999999999998</v>
      </c>
      <c r="Y3252" s="5">
        <v>427</v>
      </c>
      <c r="Z3252" s="5">
        <v>121075.14</v>
      </c>
      <c r="AA3252" s="5">
        <v>21</v>
      </c>
      <c r="AB3252" s="5" t="s">
        <v>85</v>
      </c>
      <c r="AC3252" s="5">
        <v>1</v>
      </c>
    </row>
    <row r="3253" spans="1:29" x14ac:dyDescent="0.3">
      <c r="A3253" s="34">
        <v>46274</v>
      </c>
      <c r="B3253" s="34">
        <v>46274</v>
      </c>
      <c r="C3253" s="5" t="s">
        <v>78</v>
      </c>
      <c r="D3253" s="5" t="s">
        <v>79</v>
      </c>
      <c r="E3253" s="5" t="s">
        <v>80</v>
      </c>
      <c r="F3253" s="5">
        <v>8882</v>
      </c>
      <c r="G3253" s="5" t="s">
        <v>9858</v>
      </c>
      <c r="H3253" s="5" t="s">
        <v>9859</v>
      </c>
      <c r="I3253" s="5" t="s">
        <v>212</v>
      </c>
      <c r="N3253" s="5" t="s">
        <v>9860</v>
      </c>
      <c r="O3253" s="5">
        <v>90.12</v>
      </c>
      <c r="P3253" s="5">
        <v>90.29</v>
      </c>
      <c r="Q3253" s="5">
        <v>88.2</v>
      </c>
      <c r="R3253" s="5">
        <v>88.43</v>
      </c>
      <c r="S3253" s="5">
        <v>89.06</v>
      </c>
      <c r="T3253" s="5">
        <v>89.67</v>
      </c>
      <c r="V3253" s="5">
        <v>88.43</v>
      </c>
      <c r="Y3253" s="5">
        <v>75049</v>
      </c>
      <c r="Z3253" s="5">
        <v>6649794.79</v>
      </c>
      <c r="AA3253" s="5">
        <v>712</v>
      </c>
      <c r="AB3253" s="5" t="s">
        <v>85</v>
      </c>
      <c r="AC3253" s="5">
        <v>1</v>
      </c>
    </row>
    <row r="3254" spans="1:29" x14ac:dyDescent="0.3">
      <c r="A3254" s="34">
        <v>46274</v>
      </c>
      <c r="B3254" s="34">
        <v>46274</v>
      </c>
      <c r="C3254" s="5" t="s">
        <v>78</v>
      </c>
      <c r="D3254" s="5" t="s">
        <v>79</v>
      </c>
      <c r="E3254" s="5" t="s">
        <v>80</v>
      </c>
      <c r="F3254" s="5">
        <v>21401</v>
      </c>
      <c r="G3254" s="5" t="s">
        <v>9861</v>
      </c>
      <c r="H3254" s="5" t="s">
        <v>9862</v>
      </c>
      <c r="I3254" s="5" t="s">
        <v>212</v>
      </c>
      <c r="N3254" s="5" t="s">
        <v>9863</v>
      </c>
      <c r="O3254" s="5">
        <v>14.78</v>
      </c>
      <c r="P3254" s="5">
        <v>14.85</v>
      </c>
      <c r="Q3254" s="5">
        <v>14.71</v>
      </c>
      <c r="R3254" s="5">
        <v>14.79</v>
      </c>
      <c r="S3254" s="5">
        <v>14.79</v>
      </c>
      <c r="T3254" s="5">
        <v>14.79</v>
      </c>
      <c r="V3254" s="5">
        <v>14.79</v>
      </c>
      <c r="Y3254" s="5">
        <v>27633939</v>
      </c>
      <c r="Z3254" s="5">
        <v>408367718.07999998</v>
      </c>
      <c r="AA3254" s="5">
        <v>59145</v>
      </c>
      <c r="AB3254" s="5" t="s">
        <v>85</v>
      </c>
      <c r="AC3254" s="5">
        <v>1</v>
      </c>
    </row>
    <row r="3255" spans="1:29" x14ac:dyDescent="0.3">
      <c r="A3255" s="34">
        <v>46274</v>
      </c>
      <c r="B3255" s="34">
        <v>46274</v>
      </c>
      <c r="C3255" s="5" t="s">
        <v>78</v>
      </c>
      <c r="D3255" s="5" t="s">
        <v>79</v>
      </c>
      <c r="E3255" s="5" t="s">
        <v>80</v>
      </c>
      <c r="F3255" s="5">
        <v>21428</v>
      </c>
      <c r="G3255" s="5" t="s">
        <v>9864</v>
      </c>
      <c r="H3255" s="5" t="s">
        <v>9865</v>
      </c>
      <c r="I3255" s="5" t="s">
        <v>212</v>
      </c>
      <c r="N3255" s="5" t="s">
        <v>9866</v>
      </c>
      <c r="O3255" s="5">
        <v>22.44</v>
      </c>
      <c r="P3255" s="5">
        <v>22.72</v>
      </c>
      <c r="Q3255" s="5">
        <v>22.44</v>
      </c>
      <c r="R3255" s="5">
        <v>22.6</v>
      </c>
      <c r="S3255" s="5">
        <v>22.57</v>
      </c>
      <c r="T3255" s="5">
        <v>22.44</v>
      </c>
      <c r="V3255" s="5">
        <v>22.6</v>
      </c>
      <c r="Y3255" s="5">
        <v>30151602</v>
      </c>
      <c r="Z3255" s="5">
        <v>681724040.82000005</v>
      </c>
      <c r="AA3255" s="5">
        <v>34289</v>
      </c>
      <c r="AB3255" s="5" t="s">
        <v>85</v>
      </c>
      <c r="AC3255" s="5">
        <v>1</v>
      </c>
    </row>
    <row r="3256" spans="1:29" x14ac:dyDescent="0.3">
      <c r="A3256" s="34">
        <v>46274</v>
      </c>
      <c r="B3256" s="34">
        <v>46274</v>
      </c>
      <c r="C3256" s="5" t="s">
        <v>78</v>
      </c>
      <c r="D3256" s="5" t="s">
        <v>79</v>
      </c>
      <c r="E3256" s="5" t="s">
        <v>80</v>
      </c>
      <c r="F3256" s="5">
        <v>5162</v>
      </c>
      <c r="G3256" s="5" t="s">
        <v>9867</v>
      </c>
      <c r="H3256" s="5" t="s">
        <v>9868</v>
      </c>
      <c r="I3256" s="5" t="s">
        <v>212</v>
      </c>
      <c r="N3256" s="5" t="s">
        <v>9869</v>
      </c>
      <c r="O3256" s="5">
        <v>1680.2</v>
      </c>
      <c r="P3256" s="5">
        <v>1712.5</v>
      </c>
      <c r="Q3256" s="5">
        <v>1666.6</v>
      </c>
      <c r="R3256" s="5">
        <v>1688.4</v>
      </c>
      <c r="S3256" s="5">
        <v>1690</v>
      </c>
      <c r="T3256" s="5">
        <v>1680.2</v>
      </c>
      <c r="V3256" s="5">
        <v>1688.08</v>
      </c>
      <c r="Y3256" s="5">
        <v>32908</v>
      </c>
      <c r="Z3256" s="5">
        <v>55557444.899999999</v>
      </c>
      <c r="AA3256" s="5">
        <v>4750</v>
      </c>
      <c r="AB3256" s="5" t="s">
        <v>85</v>
      </c>
      <c r="AC3256" s="5">
        <v>1</v>
      </c>
    </row>
    <row r="3257" spans="1:29" x14ac:dyDescent="0.3">
      <c r="A3257" s="34">
        <v>46274</v>
      </c>
      <c r="B3257" s="34">
        <v>46274</v>
      </c>
      <c r="C3257" s="5" t="s">
        <v>78</v>
      </c>
      <c r="D3257" s="5" t="s">
        <v>79</v>
      </c>
      <c r="E3257" s="5" t="s">
        <v>80</v>
      </c>
      <c r="F3257" s="5">
        <v>759759</v>
      </c>
      <c r="G3257" s="5" t="s">
        <v>9870</v>
      </c>
      <c r="H3257" s="5" t="s">
        <v>9871</v>
      </c>
      <c r="I3257" s="5" t="s">
        <v>392</v>
      </c>
      <c r="N3257" s="5" t="s">
        <v>9872</v>
      </c>
      <c r="O3257" s="5">
        <v>471.7</v>
      </c>
      <c r="P3257" s="5">
        <v>475</v>
      </c>
      <c r="Q3257" s="5">
        <v>468</v>
      </c>
      <c r="R3257" s="5">
        <v>468</v>
      </c>
      <c r="S3257" s="5">
        <v>468</v>
      </c>
      <c r="T3257" s="5">
        <v>473.45</v>
      </c>
      <c r="V3257" s="5">
        <v>468</v>
      </c>
      <c r="Y3257" s="5">
        <v>8000</v>
      </c>
      <c r="Z3257" s="5">
        <v>3774080</v>
      </c>
      <c r="AA3257" s="5">
        <v>10</v>
      </c>
      <c r="AB3257" s="5" t="s">
        <v>85</v>
      </c>
      <c r="AC3257" s="5">
        <v>800</v>
      </c>
    </row>
    <row r="3258" spans="1:29" x14ac:dyDescent="0.3">
      <c r="A3258" s="34">
        <v>46274</v>
      </c>
      <c r="B3258" s="34">
        <v>46274</v>
      </c>
      <c r="C3258" s="5" t="s">
        <v>78</v>
      </c>
      <c r="D3258" s="5" t="s">
        <v>79</v>
      </c>
      <c r="E3258" s="5" t="s">
        <v>80</v>
      </c>
      <c r="F3258" s="5">
        <v>11754</v>
      </c>
      <c r="G3258" s="5" t="s">
        <v>9873</v>
      </c>
      <c r="H3258" s="5" t="s">
        <v>9874</v>
      </c>
      <c r="I3258" s="5" t="s">
        <v>8678</v>
      </c>
      <c r="N3258" s="5" t="s">
        <v>9875</v>
      </c>
      <c r="O3258" s="5">
        <v>1140.99</v>
      </c>
      <c r="P3258" s="5">
        <v>1140.99</v>
      </c>
      <c r="Q3258" s="5">
        <v>1140.99</v>
      </c>
      <c r="R3258" s="5">
        <v>1140.99</v>
      </c>
      <c r="S3258" s="5">
        <v>1140.99</v>
      </c>
      <c r="T3258" s="5">
        <v>1135.95</v>
      </c>
      <c r="V3258" s="5">
        <v>1140.99</v>
      </c>
      <c r="Y3258" s="5">
        <v>1</v>
      </c>
      <c r="Z3258" s="5">
        <v>1140.99</v>
      </c>
      <c r="AA3258" s="5">
        <v>1</v>
      </c>
      <c r="AB3258" s="5" t="s">
        <v>85</v>
      </c>
      <c r="AC3258" s="5">
        <v>1</v>
      </c>
    </row>
    <row r="3259" spans="1:29" x14ac:dyDescent="0.3">
      <c r="A3259" s="34">
        <v>46274</v>
      </c>
      <c r="B3259" s="34">
        <v>46274</v>
      </c>
      <c r="C3259" s="5" t="s">
        <v>78</v>
      </c>
      <c r="D3259" s="5" t="s">
        <v>79</v>
      </c>
      <c r="E3259" s="5" t="s">
        <v>80</v>
      </c>
      <c r="F3259" s="5">
        <v>14529</v>
      </c>
      <c r="G3259" s="5" t="s">
        <v>9876</v>
      </c>
      <c r="H3259" s="5" t="s">
        <v>9877</v>
      </c>
      <c r="I3259" s="5" t="s">
        <v>297</v>
      </c>
      <c r="N3259" s="5" t="s">
        <v>9878</v>
      </c>
      <c r="O3259" s="5">
        <v>1157</v>
      </c>
      <c r="P3259" s="5">
        <v>1158.9000000000001</v>
      </c>
      <c r="Q3259" s="5">
        <v>1155.5</v>
      </c>
      <c r="R3259" s="5">
        <v>1158.9000000000001</v>
      </c>
      <c r="S3259" s="5">
        <v>1158.9000000000001</v>
      </c>
      <c r="T3259" s="5">
        <v>1154.5</v>
      </c>
      <c r="V3259" s="5">
        <v>1158.9000000000001</v>
      </c>
      <c r="Y3259" s="5">
        <v>1860</v>
      </c>
      <c r="Z3259" s="5">
        <v>2152417.4</v>
      </c>
      <c r="AA3259" s="5">
        <v>10</v>
      </c>
      <c r="AB3259" s="5" t="s">
        <v>85</v>
      </c>
      <c r="AC3259" s="5">
        <v>1</v>
      </c>
    </row>
    <row r="3260" spans="1:29" x14ac:dyDescent="0.3">
      <c r="A3260" s="34">
        <v>46274</v>
      </c>
      <c r="B3260" s="34">
        <v>46274</v>
      </c>
      <c r="C3260" s="5" t="s">
        <v>78</v>
      </c>
      <c r="D3260" s="5" t="s">
        <v>79</v>
      </c>
      <c r="E3260" s="5" t="s">
        <v>80</v>
      </c>
      <c r="F3260" s="5">
        <v>11954</v>
      </c>
      <c r="G3260" s="5" t="s">
        <v>9879</v>
      </c>
      <c r="H3260" s="5" t="s">
        <v>9880</v>
      </c>
      <c r="I3260" s="5" t="s">
        <v>266</v>
      </c>
      <c r="N3260" s="5" t="s">
        <v>9881</v>
      </c>
      <c r="O3260" s="5">
        <v>1115</v>
      </c>
      <c r="P3260" s="5">
        <v>1115</v>
      </c>
      <c r="Q3260" s="5">
        <v>1110</v>
      </c>
      <c r="R3260" s="5">
        <v>1110</v>
      </c>
      <c r="S3260" s="5">
        <v>1110</v>
      </c>
      <c r="T3260" s="5">
        <v>1114.99</v>
      </c>
      <c r="V3260" s="5">
        <v>1110</v>
      </c>
      <c r="Y3260" s="5">
        <v>750</v>
      </c>
      <c r="Z3260" s="5">
        <v>835000</v>
      </c>
      <c r="AA3260" s="5">
        <v>2</v>
      </c>
      <c r="AB3260" s="5" t="s">
        <v>85</v>
      </c>
      <c r="AC3260" s="5">
        <v>1</v>
      </c>
    </row>
    <row r="3261" spans="1:29" x14ac:dyDescent="0.3">
      <c r="A3261" s="34">
        <v>46274</v>
      </c>
      <c r="B3261" s="34">
        <v>46274</v>
      </c>
      <c r="C3261" s="5" t="s">
        <v>78</v>
      </c>
      <c r="D3261" s="5" t="s">
        <v>79</v>
      </c>
      <c r="E3261" s="5" t="s">
        <v>80</v>
      </c>
      <c r="F3261" s="5">
        <v>11757</v>
      </c>
      <c r="G3261" s="5" t="s">
        <v>9882</v>
      </c>
      <c r="H3261" s="5" t="s">
        <v>9883</v>
      </c>
      <c r="I3261" s="5" t="s">
        <v>8791</v>
      </c>
      <c r="N3261" s="5" t="s">
        <v>9884</v>
      </c>
      <c r="O3261" s="5">
        <v>1213</v>
      </c>
      <c r="P3261" s="5">
        <v>1213</v>
      </c>
      <c r="Q3261" s="5">
        <v>1213</v>
      </c>
      <c r="R3261" s="5">
        <v>1213</v>
      </c>
      <c r="S3261" s="5">
        <v>1213</v>
      </c>
      <c r="T3261" s="5">
        <v>1213</v>
      </c>
      <c r="V3261" s="5">
        <v>1220.5</v>
      </c>
      <c r="Y3261" s="5">
        <v>691</v>
      </c>
      <c r="Z3261" s="5">
        <v>838183</v>
      </c>
      <c r="AA3261" s="5">
        <v>1</v>
      </c>
      <c r="AB3261" s="5" t="s">
        <v>85</v>
      </c>
      <c r="AC3261" s="5">
        <v>1</v>
      </c>
    </row>
    <row r="3262" spans="1:29" x14ac:dyDescent="0.3">
      <c r="A3262" s="34">
        <v>46274</v>
      </c>
      <c r="B3262" s="34">
        <v>46274</v>
      </c>
      <c r="C3262" s="5" t="s">
        <v>78</v>
      </c>
      <c r="D3262" s="5" t="s">
        <v>79</v>
      </c>
      <c r="E3262" s="5" t="s">
        <v>80</v>
      </c>
      <c r="F3262" s="5">
        <v>12003</v>
      </c>
      <c r="G3262" s="5" t="s">
        <v>9885</v>
      </c>
      <c r="H3262" s="5" t="s">
        <v>9886</v>
      </c>
      <c r="I3262" s="5" t="s">
        <v>1824</v>
      </c>
      <c r="N3262" s="5" t="s">
        <v>9887</v>
      </c>
      <c r="O3262" s="5">
        <v>1111</v>
      </c>
      <c r="P3262" s="5">
        <v>1111</v>
      </c>
      <c r="Q3262" s="5">
        <v>1108.8</v>
      </c>
      <c r="R3262" s="5">
        <v>1108.9100000000001</v>
      </c>
      <c r="S3262" s="5">
        <v>1110</v>
      </c>
      <c r="T3262" s="5">
        <v>1108.04</v>
      </c>
      <c r="V3262" s="5">
        <v>1108.9100000000001</v>
      </c>
      <c r="Y3262" s="5">
        <v>599</v>
      </c>
      <c r="Z3262" s="5">
        <v>664497.32999999996</v>
      </c>
      <c r="AA3262" s="5">
        <v>9</v>
      </c>
      <c r="AB3262" s="5" t="s">
        <v>85</v>
      </c>
      <c r="AC3262" s="5">
        <v>1</v>
      </c>
    </row>
    <row r="3263" spans="1:29" x14ac:dyDescent="0.3">
      <c r="A3263" s="34">
        <v>46274</v>
      </c>
      <c r="B3263" s="34">
        <v>46274</v>
      </c>
      <c r="C3263" s="5" t="s">
        <v>78</v>
      </c>
      <c r="D3263" s="5" t="s">
        <v>79</v>
      </c>
      <c r="E3263" s="5" t="s">
        <v>80</v>
      </c>
      <c r="F3263" s="5">
        <v>29111</v>
      </c>
      <c r="G3263" s="5" t="s">
        <v>9888</v>
      </c>
      <c r="H3263" s="5" t="s">
        <v>9889</v>
      </c>
      <c r="I3263" s="5" t="s">
        <v>258</v>
      </c>
      <c r="N3263" s="5" t="s">
        <v>9890</v>
      </c>
      <c r="O3263" s="5">
        <v>1075</v>
      </c>
      <c r="P3263" s="5">
        <v>1075</v>
      </c>
      <c r="Q3263" s="5">
        <v>1075</v>
      </c>
      <c r="R3263" s="5">
        <v>1075</v>
      </c>
      <c r="S3263" s="5">
        <v>1075</v>
      </c>
      <c r="T3263" s="5">
        <v>1075</v>
      </c>
      <c r="V3263" s="5">
        <v>1075</v>
      </c>
      <c r="Y3263" s="5">
        <v>10</v>
      </c>
      <c r="Z3263" s="5">
        <v>10750</v>
      </c>
      <c r="AA3263" s="5">
        <v>1</v>
      </c>
      <c r="AB3263" s="5" t="s">
        <v>85</v>
      </c>
      <c r="AC3263" s="5">
        <v>1</v>
      </c>
    </row>
    <row r="3264" spans="1:29" x14ac:dyDescent="0.3">
      <c r="A3264" s="34">
        <v>46274</v>
      </c>
      <c r="B3264" s="34">
        <v>46274</v>
      </c>
      <c r="C3264" s="5" t="s">
        <v>78</v>
      </c>
      <c r="D3264" s="5" t="s">
        <v>79</v>
      </c>
      <c r="E3264" s="5" t="s">
        <v>80</v>
      </c>
      <c r="F3264" s="5">
        <v>24019</v>
      </c>
      <c r="G3264" s="5" t="s">
        <v>9891</v>
      </c>
      <c r="H3264" s="5" t="s">
        <v>9892</v>
      </c>
      <c r="I3264" s="5" t="s">
        <v>313</v>
      </c>
      <c r="N3264" s="5" t="s">
        <v>9893</v>
      </c>
      <c r="O3264" s="5">
        <v>68.400000000000006</v>
      </c>
      <c r="P3264" s="5">
        <v>72</v>
      </c>
      <c r="Q3264" s="5">
        <v>68.400000000000006</v>
      </c>
      <c r="R3264" s="5">
        <v>71.900000000000006</v>
      </c>
      <c r="S3264" s="5">
        <v>72</v>
      </c>
      <c r="T3264" s="5">
        <v>68.3</v>
      </c>
      <c r="V3264" s="5">
        <v>71.900000000000006</v>
      </c>
      <c r="Y3264" s="5">
        <v>30000</v>
      </c>
      <c r="Z3264" s="5">
        <v>2127390</v>
      </c>
      <c r="AA3264" s="5">
        <v>46</v>
      </c>
      <c r="AB3264" s="5" t="s">
        <v>85</v>
      </c>
      <c r="AC3264" s="5">
        <v>600</v>
      </c>
    </row>
    <row r="3265" spans="1:29" x14ac:dyDescent="0.3">
      <c r="A3265" s="34">
        <v>46274</v>
      </c>
      <c r="B3265" s="34">
        <v>46274</v>
      </c>
      <c r="C3265" s="5" t="s">
        <v>78</v>
      </c>
      <c r="D3265" s="5" t="s">
        <v>79</v>
      </c>
      <c r="E3265" s="5" t="s">
        <v>80</v>
      </c>
      <c r="F3265" s="5">
        <v>23740</v>
      </c>
      <c r="G3265" s="5" t="s">
        <v>9894</v>
      </c>
      <c r="H3265" s="5" t="s">
        <v>9895</v>
      </c>
      <c r="I3265" s="5" t="s">
        <v>212</v>
      </c>
      <c r="N3265" s="5" t="s">
        <v>9896</v>
      </c>
      <c r="O3265" s="5">
        <v>1703</v>
      </c>
      <c r="P3265" s="5">
        <v>1735</v>
      </c>
      <c r="Q3265" s="5">
        <v>1682</v>
      </c>
      <c r="R3265" s="5">
        <v>1721.1</v>
      </c>
      <c r="S3265" s="5">
        <v>1713</v>
      </c>
      <c r="T3265" s="5">
        <v>1694.5</v>
      </c>
      <c r="V3265" s="5">
        <v>1721.08</v>
      </c>
      <c r="Y3265" s="5">
        <v>87150</v>
      </c>
      <c r="Z3265" s="5">
        <v>149342974.40000001</v>
      </c>
      <c r="AA3265" s="5">
        <v>9969</v>
      </c>
      <c r="AB3265" s="5" t="s">
        <v>85</v>
      </c>
      <c r="AC3265" s="5">
        <v>1</v>
      </c>
    </row>
    <row r="3266" spans="1:29" x14ac:dyDescent="0.3">
      <c r="A3266" s="34">
        <v>46274</v>
      </c>
      <c r="B3266" s="34">
        <v>46274</v>
      </c>
      <c r="C3266" s="5" t="s">
        <v>78</v>
      </c>
      <c r="D3266" s="5" t="s">
        <v>79</v>
      </c>
      <c r="E3266" s="5" t="s">
        <v>80</v>
      </c>
      <c r="F3266" s="5">
        <v>761814</v>
      </c>
      <c r="G3266" s="5" t="s">
        <v>9897</v>
      </c>
      <c r="H3266" s="5" t="s">
        <v>9898</v>
      </c>
      <c r="I3266" s="5" t="s">
        <v>212</v>
      </c>
      <c r="N3266" s="5" t="s">
        <v>9899</v>
      </c>
      <c r="O3266" s="5">
        <v>49.1</v>
      </c>
      <c r="P3266" s="5">
        <v>58.88</v>
      </c>
      <c r="Q3266" s="5">
        <v>45.6</v>
      </c>
      <c r="R3266" s="5">
        <v>51.5</v>
      </c>
      <c r="S3266" s="5">
        <v>51.33</v>
      </c>
      <c r="T3266" s="5">
        <v>49.07</v>
      </c>
      <c r="V3266" s="5">
        <v>51.52</v>
      </c>
      <c r="Y3266" s="5">
        <v>32714581</v>
      </c>
      <c r="Z3266" s="5">
        <v>1794655055.74</v>
      </c>
      <c r="AA3266" s="5">
        <v>121608</v>
      </c>
      <c r="AB3266" s="5" t="s">
        <v>85</v>
      </c>
      <c r="AC3266" s="5">
        <v>1</v>
      </c>
    </row>
    <row r="3267" spans="1:29" x14ac:dyDescent="0.3">
      <c r="A3267" s="34">
        <v>46274</v>
      </c>
      <c r="B3267" s="34">
        <v>46274</v>
      </c>
      <c r="C3267" s="5" t="s">
        <v>78</v>
      </c>
      <c r="D3267" s="5" t="s">
        <v>79</v>
      </c>
      <c r="E3267" s="5" t="s">
        <v>80</v>
      </c>
      <c r="F3267" s="5">
        <v>19223</v>
      </c>
      <c r="G3267" s="5" t="s">
        <v>9900</v>
      </c>
      <c r="H3267" s="5" t="s">
        <v>9901</v>
      </c>
      <c r="I3267" s="5" t="s">
        <v>212</v>
      </c>
      <c r="N3267" s="5" t="s">
        <v>9902</v>
      </c>
      <c r="O3267" s="5">
        <v>548.9</v>
      </c>
      <c r="P3267" s="5">
        <v>549.70000000000005</v>
      </c>
      <c r="Q3267" s="5">
        <v>535.6</v>
      </c>
      <c r="R3267" s="5">
        <v>540.04999999999995</v>
      </c>
      <c r="S3267" s="5">
        <v>541.95000000000005</v>
      </c>
      <c r="T3267" s="5">
        <v>550.45000000000005</v>
      </c>
      <c r="V3267" s="5">
        <v>540.04</v>
      </c>
      <c r="Y3267" s="5">
        <v>33793</v>
      </c>
      <c r="Z3267" s="5">
        <v>18284883.149999999</v>
      </c>
      <c r="AA3267" s="5">
        <v>3678</v>
      </c>
      <c r="AB3267" s="5" t="s">
        <v>85</v>
      </c>
      <c r="AC3267" s="5">
        <v>1</v>
      </c>
    </row>
    <row r="3268" spans="1:29" x14ac:dyDescent="0.3">
      <c r="A3268" s="34">
        <v>46274</v>
      </c>
      <c r="B3268" s="34">
        <v>46274</v>
      </c>
      <c r="C3268" s="5" t="s">
        <v>78</v>
      </c>
      <c r="D3268" s="5" t="s">
        <v>79</v>
      </c>
      <c r="E3268" s="5" t="s">
        <v>80</v>
      </c>
      <c r="F3268" s="5">
        <v>8722</v>
      </c>
      <c r="G3268" s="5" t="s">
        <v>9903</v>
      </c>
      <c r="H3268" s="5" t="s">
        <v>9904</v>
      </c>
      <c r="I3268" s="5" t="s">
        <v>234</v>
      </c>
      <c r="N3268" s="5" t="s">
        <v>9905</v>
      </c>
      <c r="O3268" s="5">
        <v>15</v>
      </c>
      <c r="P3268" s="5">
        <v>15.45</v>
      </c>
      <c r="Q3268" s="5">
        <v>14.8</v>
      </c>
      <c r="R3268" s="5">
        <v>15</v>
      </c>
      <c r="S3268" s="5">
        <v>15</v>
      </c>
      <c r="T3268" s="5">
        <v>15</v>
      </c>
      <c r="V3268" s="5">
        <v>15</v>
      </c>
      <c r="Y3268" s="5">
        <v>3573</v>
      </c>
      <c r="Z3268" s="5">
        <v>54357.47</v>
      </c>
      <c r="AA3268" s="5">
        <v>46</v>
      </c>
      <c r="AB3268" s="5" t="s">
        <v>85</v>
      </c>
      <c r="AC3268" s="5">
        <v>1</v>
      </c>
    </row>
    <row r="3269" spans="1:29" x14ac:dyDescent="0.3">
      <c r="A3269" s="34">
        <v>46274</v>
      </c>
      <c r="B3269" s="34">
        <v>46274</v>
      </c>
      <c r="C3269" s="5" t="s">
        <v>78</v>
      </c>
      <c r="D3269" s="5" t="s">
        <v>79</v>
      </c>
      <c r="E3269" s="5" t="s">
        <v>80</v>
      </c>
      <c r="F3269" s="5">
        <v>184</v>
      </c>
      <c r="G3269" s="5" t="s">
        <v>9906</v>
      </c>
      <c r="H3269" s="5" t="s">
        <v>9907</v>
      </c>
      <c r="I3269" s="5" t="s">
        <v>212</v>
      </c>
      <c r="N3269" s="5" t="s">
        <v>9908</v>
      </c>
      <c r="O3269" s="5">
        <v>3874.7</v>
      </c>
      <c r="P3269" s="5">
        <v>3879.9</v>
      </c>
      <c r="Q3269" s="5">
        <v>3802.2</v>
      </c>
      <c r="R3269" s="5">
        <v>3819.7</v>
      </c>
      <c r="S3269" s="5">
        <v>3822.9</v>
      </c>
      <c r="T3269" s="5">
        <v>3874.7</v>
      </c>
      <c r="V3269" s="5">
        <v>3819.61</v>
      </c>
      <c r="Y3269" s="5">
        <v>4307</v>
      </c>
      <c r="Z3269" s="5">
        <v>16540118</v>
      </c>
      <c r="AA3269" s="5">
        <v>912</v>
      </c>
      <c r="AB3269" s="5" t="s">
        <v>85</v>
      </c>
      <c r="AC3269" s="5">
        <v>1</v>
      </c>
    </row>
    <row r="3270" spans="1:29" x14ac:dyDescent="0.3">
      <c r="A3270" s="34">
        <v>46274</v>
      </c>
      <c r="B3270" s="34">
        <v>46274</v>
      </c>
      <c r="C3270" s="5" t="s">
        <v>78</v>
      </c>
      <c r="D3270" s="5" t="s">
        <v>79</v>
      </c>
      <c r="E3270" s="5" t="s">
        <v>80</v>
      </c>
      <c r="F3270" s="5">
        <v>25178</v>
      </c>
      <c r="G3270" s="5" t="s">
        <v>9909</v>
      </c>
      <c r="H3270" s="5" t="s">
        <v>9910</v>
      </c>
      <c r="I3270" s="5" t="s">
        <v>212</v>
      </c>
      <c r="N3270" s="5" t="s">
        <v>9911</v>
      </c>
      <c r="O3270" s="5">
        <v>769.8</v>
      </c>
      <c r="P3270" s="5">
        <v>787.6</v>
      </c>
      <c r="Q3270" s="5">
        <v>752</v>
      </c>
      <c r="R3270" s="5">
        <v>755.1</v>
      </c>
      <c r="S3270" s="5">
        <v>756</v>
      </c>
      <c r="T3270" s="5">
        <v>768.8</v>
      </c>
      <c r="V3270" s="5">
        <v>755.09</v>
      </c>
      <c r="Y3270" s="5">
        <v>1286601</v>
      </c>
      <c r="Z3270" s="5">
        <v>987521662.29999995</v>
      </c>
      <c r="AA3270" s="5">
        <v>50719</v>
      </c>
      <c r="AB3270" s="5" t="s">
        <v>85</v>
      </c>
      <c r="AC3270" s="5">
        <v>1</v>
      </c>
    </row>
    <row r="3271" spans="1:29" x14ac:dyDescent="0.3">
      <c r="A3271" s="34">
        <v>46274</v>
      </c>
      <c r="B3271" s="34">
        <v>46274</v>
      </c>
      <c r="C3271" s="5" t="s">
        <v>78</v>
      </c>
      <c r="D3271" s="5" t="s">
        <v>79</v>
      </c>
      <c r="E3271" s="5" t="s">
        <v>80</v>
      </c>
      <c r="F3271" s="5">
        <v>10717</v>
      </c>
      <c r="G3271" s="5" t="s">
        <v>9912</v>
      </c>
      <c r="H3271" s="5" t="s">
        <v>9913</v>
      </c>
      <c r="I3271" s="5" t="s">
        <v>212</v>
      </c>
      <c r="N3271" s="5" t="s">
        <v>9914</v>
      </c>
      <c r="O3271" s="5">
        <v>240.97</v>
      </c>
      <c r="P3271" s="5">
        <v>240.97</v>
      </c>
      <c r="Q3271" s="5">
        <v>235</v>
      </c>
      <c r="R3271" s="5">
        <v>238.43</v>
      </c>
      <c r="S3271" s="5">
        <v>238.44</v>
      </c>
      <c r="T3271" s="5">
        <v>235.02</v>
      </c>
      <c r="V3271" s="5">
        <v>238.43</v>
      </c>
      <c r="Y3271" s="5">
        <v>248</v>
      </c>
      <c r="Z3271" s="5">
        <v>58429.7</v>
      </c>
      <c r="AA3271" s="5">
        <v>10</v>
      </c>
      <c r="AB3271" s="5" t="s">
        <v>85</v>
      </c>
      <c r="AC3271" s="5">
        <v>1</v>
      </c>
    </row>
    <row r="3272" spans="1:29" x14ac:dyDescent="0.3">
      <c r="A3272" s="34">
        <v>46274</v>
      </c>
      <c r="B3272" s="34">
        <v>46274</v>
      </c>
      <c r="C3272" s="5" t="s">
        <v>78</v>
      </c>
      <c r="D3272" s="5" t="s">
        <v>79</v>
      </c>
      <c r="E3272" s="5" t="s">
        <v>80</v>
      </c>
      <c r="F3272" s="5">
        <v>12716</v>
      </c>
      <c r="G3272" s="5" t="s">
        <v>9915</v>
      </c>
      <c r="H3272" s="5" t="s">
        <v>9916</v>
      </c>
      <c r="I3272" s="5" t="s">
        <v>212</v>
      </c>
      <c r="N3272" s="5" t="s">
        <v>9917</v>
      </c>
      <c r="O3272" s="5">
        <v>1250</v>
      </c>
      <c r="P3272" s="5">
        <v>1295</v>
      </c>
      <c r="Q3272" s="5">
        <v>1240.5</v>
      </c>
      <c r="R3272" s="5">
        <v>1281.5</v>
      </c>
      <c r="S3272" s="5">
        <v>1280</v>
      </c>
      <c r="T3272" s="5">
        <v>1256.5</v>
      </c>
      <c r="V3272" s="5">
        <v>1281.55</v>
      </c>
      <c r="Y3272" s="5">
        <v>20453</v>
      </c>
      <c r="Z3272" s="5">
        <v>25888174.899999999</v>
      </c>
      <c r="AA3272" s="5">
        <v>2973</v>
      </c>
      <c r="AB3272" s="5" t="s">
        <v>85</v>
      </c>
      <c r="AC3272" s="5">
        <v>1</v>
      </c>
    </row>
    <row r="3273" spans="1:29" x14ac:dyDescent="0.3">
      <c r="A3273" s="34">
        <v>46274</v>
      </c>
      <c r="B3273" s="34">
        <v>46274</v>
      </c>
      <c r="C3273" s="5" t="s">
        <v>78</v>
      </c>
      <c r="D3273" s="5" t="s">
        <v>79</v>
      </c>
      <c r="E3273" s="5" t="s">
        <v>80</v>
      </c>
      <c r="F3273" s="5">
        <v>17000</v>
      </c>
      <c r="G3273" s="5" t="s">
        <v>9918</v>
      </c>
      <c r="H3273" s="5" t="s">
        <v>9919</v>
      </c>
      <c r="I3273" s="5" t="s">
        <v>234</v>
      </c>
      <c r="N3273" s="5" t="s">
        <v>9920</v>
      </c>
      <c r="O3273" s="5">
        <v>0.51</v>
      </c>
      <c r="P3273" s="5">
        <v>0.52</v>
      </c>
      <c r="Q3273" s="5">
        <v>0.49</v>
      </c>
      <c r="R3273" s="5">
        <v>0.5</v>
      </c>
      <c r="S3273" s="5">
        <v>0.52</v>
      </c>
      <c r="T3273" s="5">
        <v>0.51</v>
      </c>
      <c r="V3273" s="5">
        <v>0.5</v>
      </c>
      <c r="Y3273" s="5">
        <v>1636776</v>
      </c>
      <c r="Z3273" s="5">
        <v>825351.14</v>
      </c>
      <c r="AA3273" s="5">
        <v>368</v>
      </c>
      <c r="AB3273" s="5" t="s">
        <v>85</v>
      </c>
      <c r="AC3273" s="5">
        <v>1</v>
      </c>
    </row>
    <row r="3274" spans="1:29" x14ac:dyDescent="0.3">
      <c r="A3274" s="34">
        <v>46274</v>
      </c>
      <c r="B3274" s="34">
        <v>46274</v>
      </c>
      <c r="C3274" s="5" t="s">
        <v>78</v>
      </c>
      <c r="D3274" s="5" t="s">
        <v>79</v>
      </c>
      <c r="E3274" s="5" t="s">
        <v>80</v>
      </c>
      <c r="F3274" s="5">
        <v>763571</v>
      </c>
      <c r="G3274" s="5" t="s">
        <v>9921</v>
      </c>
      <c r="H3274" s="5" t="s">
        <v>9922</v>
      </c>
      <c r="I3274" s="5" t="s">
        <v>392</v>
      </c>
      <c r="N3274" s="5" t="s">
        <v>9923</v>
      </c>
      <c r="O3274" s="5">
        <v>134</v>
      </c>
      <c r="P3274" s="5">
        <v>137.9</v>
      </c>
      <c r="Q3274" s="5">
        <v>134</v>
      </c>
      <c r="R3274" s="5">
        <v>137.9</v>
      </c>
      <c r="S3274" s="5">
        <v>137.9</v>
      </c>
      <c r="T3274" s="5">
        <v>137.35</v>
      </c>
      <c r="V3274" s="5">
        <v>137.9</v>
      </c>
      <c r="Y3274" s="5">
        <v>10000</v>
      </c>
      <c r="Z3274" s="5">
        <v>1361800</v>
      </c>
      <c r="AA3274" s="5">
        <v>5</v>
      </c>
      <c r="AB3274" s="5" t="s">
        <v>85</v>
      </c>
      <c r="AC3274" s="5">
        <v>2000</v>
      </c>
    </row>
    <row r="3275" spans="1:29" x14ac:dyDescent="0.3">
      <c r="A3275" s="34">
        <v>46274</v>
      </c>
      <c r="B3275" s="34">
        <v>46274</v>
      </c>
      <c r="C3275" s="5" t="s">
        <v>78</v>
      </c>
      <c r="D3275" s="5" t="s">
        <v>79</v>
      </c>
      <c r="E3275" s="5" t="s">
        <v>80</v>
      </c>
      <c r="F3275" s="5">
        <v>13538</v>
      </c>
      <c r="G3275" s="5" t="s">
        <v>9924</v>
      </c>
      <c r="H3275" s="5" t="s">
        <v>9925</v>
      </c>
      <c r="I3275" s="5" t="s">
        <v>212</v>
      </c>
      <c r="N3275" s="5" t="s">
        <v>9926</v>
      </c>
      <c r="O3275" s="5">
        <v>1531</v>
      </c>
      <c r="P3275" s="5">
        <v>1531</v>
      </c>
      <c r="Q3275" s="5">
        <v>1498</v>
      </c>
      <c r="R3275" s="5">
        <v>1508</v>
      </c>
      <c r="S3275" s="5">
        <v>1508</v>
      </c>
      <c r="T3275" s="5">
        <v>1559</v>
      </c>
      <c r="V3275" s="5">
        <v>1507.99</v>
      </c>
      <c r="Y3275" s="5">
        <v>1329200</v>
      </c>
      <c r="Z3275" s="5">
        <v>2004699140.8</v>
      </c>
      <c r="AA3275" s="5">
        <v>65093</v>
      </c>
      <c r="AB3275" s="5" t="s">
        <v>85</v>
      </c>
      <c r="AC3275" s="5">
        <v>1</v>
      </c>
    </row>
    <row r="3276" spans="1:29" x14ac:dyDescent="0.3">
      <c r="A3276" s="34">
        <v>46274</v>
      </c>
      <c r="B3276" s="34">
        <v>46274</v>
      </c>
      <c r="C3276" s="5" t="s">
        <v>78</v>
      </c>
      <c r="D3276" s="5" t="s">
        <v>79</v>
      </c>
      <c r="E3276" s="5" t="s">
        <v>80</v>
      </c>
      <c r="F3276" s="5">
        <v>759138</v>
      </c>
      <c r="G3276" s="5" t="s">
        <v>9927</v>
      </c>
      <c r="H3276" s="5" t="s">
        <v>9928</v>
      </c>
      <c r="I3276" s="5" t="s">
        <v>313</v>
      </c>
      <c r="N3276" s="5" t="s">
        <v>9929</v>
      </c>
      <c r="O3276" s="5">
        <v>517.29999999999995</v>
      </c>
      <c r="P3276" s="5">
        <v>517.29999999999995</v>
      </c>
      <c r="Q3276" s="5">
        <v>501.1</v>
      </c>
      <c r="R3276" s="5">
        <v>508.65</v>
      </c>
      <c r="S3276" s="5">
        <v>508</v>
      </c>
      <c r="T3276" s="5">
        <v>517.29999999999995</v>
      </c>
      <c r="V3276" s="5">
        <v>508.65</v>
      </c>
      <c r="Y3276" s="5">
        <v>22800</v>
      </c>
      <c r="Z3276" s="5">
        <v>11536065</v>
      </c>
      <c r="AA3276" s="5">
        <v>68</v>
      </c>
      <c r="AB3276" s="5" t="s">
        <v>85</v>
      </c>
      <c r="AC3276" s="5">
        <v>300</v>
      </c>
    </row>
    <row r="3277" spans="1:29" x14ac:dyDescent="0.3">
      <c r="A3277" s="34">
        <v>46274</v>
      </c>
      <c r="B3277" s="34">
        <v>46274</v>
      </c>
      <c r="C3277" s="5" t="s">
        <v>78</v>
      </c>
      <c r="D3277" s="5" t="s">
        <v>79</v>
      </c>
      <c r="E3277" s="5" t="s">
        <v>80</v>
      </c>
      <c r="F3277" s="5">
        <v>25652</v>
      </c>
      <c r="G3277" s="5" t="s">
        <v>9930</v>
      </c>
      <c r="H3277" s="5" t="s">
        <v>9931</v>
      </c>
      <c r="I3277" s="5" t="s">
        <v>313</v>
      </c>
      <c r="N3277" s="5" t="s">
        <v>9932</v>
      </c>
      <c r="O3277" s="5">
        <v>151.65</v>
      </c>
      <c r="P3277" s="5">
        <v>155.1</v>
      </c>
      <c r="Q3277" s="5">
        <v>151.65</v>
      </c>
      <c r="R3277" s="5">
        <v>153.1</v>
      </c>
      <c r="S3277" s="5">
        <v>152.69999999999999</v>
      </c>
      <c r="T3277" s="5">
        <v>154.69999999999999</v>
      </c>
      <c r="V3277" s="5">
        <v>153.1</v>
      </c>
      <c r="Y3277" s="5">
        <v>36800</v>
      </c>
      <c r="Z3277" s="5">
        <v>5636440</v>
      </c>
      <c r="AA3277" s="5">
        <v>46</v>
      </c>
      <c r="AB3277" s="5" t="s">
        <v>85</v>
      </c>
      <c r="AC3277" s="5">
        <v>800</v>
      </c>
    </row>
    <row r="3278" spans="1:29" x14ac:dyDescent="0.3">
      <c r="A3278" s="34">
        <v>46274</v>
      </c>
      <c r="B3278" s="34">
        <v>46274</v>
      </c>
      <c r="C3278" s="5" t="s">
        <v>78</v>
      </c>
      <c r="D3278" s="5" t="s">
        <v>79</v>
      </c>
      <c r="E3278" s="5" t="s">
        <v>80</v>
      </c>
      <c r="F3278" s="5">
        <v>6445</v>
      </c>
      <c r="G3278" s="5" t="s">
        <v>9933</v>
      </c>
      <c r="H3278" s="5" t="s">
        <v>9934</v>
      </c>
      <c r="I3278" s="5" t="s">
        <v>212</v>
      </c>
      <c r="N3278" s="5" t="s">
        <v>9935</v>
      </c>
      <c r="O3278" s="5">
        <v>965</v>
      </c>
      <c r="P3278" s="5">
        <v>989</v>
      </c>
      <c r="Q3278" s="5">
        <v>960</v>
      </c>
      <c r="R3278" s="5">
        <v>985.3</v>
      </c>
      <c r="S3278" s="5">
        <v>986.2</v>
      </c>
      <c r="T3278" s="5">
        <v>964.7</v>
      </c>
      <c r="V3278" s="5">
        <v>985.09</v>
      </c>
      <c r="Y3278" s="5">
        <v>156026</v>
      </c>
      <c r="Z3278" s="5">
        <v>152691979.55000001</v>
      </c>
      <c r="AA3278" s="5">
        <v>11137</v>
      </c>
      <c r="AB3278" s="5" t="s">
        <v>85</v>
      </c>
      <c r="AC3278" s="5">
        <v>1</v>
      </c>
    </row>
    <row r="3279" spans="1:29" x14ac:dyDescent="0.3">
      <c r="A3279" s="34">
        <v>46274</v>
      </c>
      <c r="B3279" s="34">
        <v>46274</v>
      </c>
      <c r="C3279" s="5" t="s">
        <v>78</v>
      </c>
      <c r="D3279" s="5" t="s">
        <v>79</v>
      </c>
      <c r="E3279" s="5" t="s">
        <v>80</v>
      </c>
      <c r="F3279" s="5">
        <v>14223</v>
      </c>
      <c r="G3279" s="5" t="s">
        <v>9936</v>
      </c>
      <c r="H3279" s="5" t="s">
        <v>9937</v>
      </c>
      <c r="I3279" s="5" t="s">
        <v>212</v>
      </c>
      <c r="N3279" s="5" t="s">
        <v>9938</v>
      </c>
      <c r="O3279" s="5">
        <v>3150</v>
      </c>
      <c r="P3279" s="5">
        <v>3240.8</v>
      </c>
      <c r="Q3279" s="5">
        <v>3119.8</v>
      </c>
      <c r="R3279" s="5">
        <v>3170.2</v>
      </c>
      <c r="S3279" s="5">
        <v>3140</v>
      </c>
      <c r="T3279" s="5">
        <v>3141</v>
      </c>
      <c r="V3279" s="5">
        <v>3170.07</v>
      </c>
      <c r="Y3279" s="5">
        <v>63318</v>
      </c>
      <c r="Z3279" s="5">
        <v>201467511.09999999</v>
      </c>
      <c r="AA3279" s="5">
        <v>8358</v>
      </c>
      <c r="AB3279" s="5" t="s">
        <v>85</v>
      </c>
      <c r="AC3279" s="5">
        <v>1</v>
      </c>
    </row>
    <row r="3280" spans="1:29" x14ac:dyDescent="0.3">
      <c r="A3280" s="34">
        <v>46274</v>
      </c>
      <c r="B3280" s="34">
        <v>46274</v>
      </c>
      <c r="C3280" s="5" t="s">
        <v>78</v>
      </c>
      <c r="D3280" s="5" t="s">
        <v>79</v>
      </c>
      <c r="E3280" s="5" t="s">
        <v>80</v>
      </c>
      <c r="F3280" s="5">
        <v>764532</v>
      </c>
      <c r="G3280" s="5" t="s">
        <v>9939</v>
      </c>
      <c r="H3280" s="5" t="s">
        <v>9940</v>
      </c>
      <c r="I3280" s="5" t="s">
        <v>212</v>
      </c>
      <c r="N3280" s="5" t="s">
        <v>9941</v>
      </c>
      <c r="O3280" s="5">
        <v>405.9</v>
      </c>
      <c r="P3280" s="5">
        <v>416.5</v>
      </c>
      <c r="Q3280" s="5">
        <v>401</v>
      </c>
      <c r="R3280" s="5">
        <v>409</v>
      </c>
      <c r="S3280" s="5">
        <v>408.1</v>
      </c>
      <c r="T3280" s="5">
        <v>403.85</v>
      </c>
      <c r="V3280" s="5">
        <v>409.04</v>
      </c>
      <c r="Y3280" s="5">
        <v>1401837</v>
      </c>
      <c r="Z3280" s="5">
        <v>574134980.45000005</v>
      </c>
      <c r="AA3280" s="5">
        <v>20474</v>
      </c>
      <c r="AB3280" s="5" t="s">
        <v>85</v>
      </c>
      <c r="AC3280" s="5">
        <v>1</v>
      </c>
    </row>
    <row r="3281" spans="1:29" x14ac:dyDescent="0.3">
      <c r="A3281" s="34">
        <v>46274</v>
      </c>
      <c r="B3281" s="34">
        <v>46274</v>
      </c>
      <c r="C3281" s="5" t="s">
        <v>78</v>
      </c>
      <c r="D3281" s="5" t="s">
        <v>79</v>
      </c>
      <c r="E3281" s="5" t="s">
        <v>80</v>
      </c>
      <c r="F3281" s="5">
        <v>762939</v>
      </c>
      <c r="G3281" s="5" t="s">
        <v>9942</v>
      </c>
      <c r="H3281" s="5" t="s">
        <v>9943</v>
      </c>
      <c r="I3281" s="5" t="s">
        <v>212</v>
      </c>
      <c r="N3281" s="5" t="s">
        <v>9944</v>
      </c>
      <c r="O3281" s="5">
        <v>4839</v>
      </c>
      <c r="P3281" s="5">
        <v>4950</v>
      </c>
      <c r="Q3281" s="5">
        <v>4636</v>
      </c>
      <c r="R3281" s="5">
        <v>4928.5</v>
      </c>
      <c r="S3281" s="5">
        <v>4950</v>
      </c>
      <c r="T3281" s="5">
        <v>4797.5</v>
      </c>
      <c r="V3281" s="5">
        <v>4925.32</v>
      </c>
      <c r="Y3281" s="5">
        <v>156</v>
      </c>
      <c r="Z3281" s="5">
        <v>757427</v>
      </c>
      <c r="AA3281" s="5">
        <v>74</v>
      </c>
      <c r="AB3281" s="5" t="s">
        <v>85</v>
      </c>
      <c r="AC3281" s="5">
        <v>1</v>
      </c>
    </row>
    <row r="3282" spans="1:29" x14ac:dyDescent="0.3">
      <c r="A3282" s="34">
        <v>46274</v>
      </c>
      <c r="B3282" s="34">
        <v>46274</v>
      </c>
      <c r="C3282" s="5" t="s">
        <v>78</v>
      </c>
      <c r="D3282" s="5" t="s">
        <v>79</v>
      </c>
      <c r="E3282" s="5" t="s">
        <v>80</v>
      </c>
      <c r="F3282" s="5">
        <v>3453</v>
      </c>
      <c r="G3282" s="5" t="s">
        <v>9945</v>
      </c>
      <c r="H3282" s="5" t="s">
        <v>9946</v>
      </c>
      <c r="I3282" s="5" t="s">
        <v>212</v>
      </c>
      <c r="N3282" s="5" t="s">
        <v>9947</v>
      </c>
      <c r="O3282" s="5">
        <v>9.59</v>
      </c>
      <c r="P3282" s="5">
        <v>10.199999999999999</v>
      </c>
      <c r="Q3282" s="5">
        <v>9.5</v>
      </c>
      <c r="R3282" s="5">
        <v>9.52</v>
      </c>
      <c r="S3282" s="5">
        <v>9.67</v>
      </c>
      <c r="T3282" s="5">
        <v>9.26</v>
      </c>
      <c r="V3282" s="5">
        <v>9.5500000000000007</v>
      </c>
      <c r="Y3282" s="5">
        <v>16420</v>
      </c>
      <c r="Z3282" s="5">
        <v>158716.85999999999</v>
      </c>
      <c r="AA3282" s="5">
        <v>92</v>
      </c>
      <c r="AB3282" s="5" t="s">
        <v>85</v>
      </c>
      <c r="AC3282" s="5">
        <v>1</v>
      </c>
    </row>
    <row r="3283" spans="1:29" x14ac:dyDescent="0.3">
      <c r="A3283" s="34">
        <v>46274</v>
      </c>
      <c r="B3283" s="34">
        <v>46274</v>
      </c>
      <c r="C3283" s="5" t="s">
        <v>78</v>
      </c>
      <c r="D3283" s="5" t="s">
        <v>79</v>
      </c>
      <c r="E3283" s="5" t="s">
        <v>80</v>
      </c>
      <c r="F3283" s="5">
        <v>23530</v>
      </c>
      <c r="G3283" s="5" t="s">
        <v>9948</v>
      </c>
      <c r="H3283" s="5" t="s">
        <v>9949</v>
      </c>
      <c r="I3283" s="5" t="s">
        <v>392</v>
      </c>
      <c r="N3283" s="5" t="s">
        <v>9950</v>
      </c>
      <c r="O3283" s="5">
        <v>17.05</v>
      </c>
      <c r="P3283" s="5">
        <v>17.05</v>
      </c>
      <c r="Q3283" s="5">
        <v>17.05</v>
      </c>
      <c r="R3283" s="5">
        <v>17.05</v>
      </c>
      <c r="S3283" s="5">
        <v>17.05</v>
      </c>
      <c r="T3283" s="5">
        <v>17.350000000000001</v>
      </c>
      <c r="V3283" s="5">
        <v>17.05</v>
      </c>
      <c r="Y3283" s="5">
        <v>2400</v>
      </c>
      <c r="Z3283" s="5">
        <v>40920</v>
      </c>
      <c r="AA3283" s="5">
        <v>8</v>
      </c>
      <c r="AB3283" s="5" t="s">
        <v>85</v>
      </c>
      <c r="AC3283" s="5">
        <v>200</v>
      </c>
    </row>
    <row r="3284" spans="1:29" x14ac:dyDescent="0.3">
      <c r="A3284" s="34">
        <v>46274</v>
      </c>
      <c r="B3284" s="34">
        <v>46274</v>
      </c>
      <c r="C3284" s="5" t="s">
        <v>78</v>
      </c>
      <c r="D3284" s="5" t="s">
        <v>79</v>
      </c>
      <c r="E3284" s="5" t="s">
        <v>80</v>
      </c>
      <c r="F3284" s="5">
        <v>7105</v>
      </c>
      <c r="G3284" s="5" t="s">
        <v>9951</v>
      </c>
      <c r="H3284" s="5" t="s">
        <v>9952</v>
      </c>
      <c r="I3284" s="5" t="s">
        <v>212</v>
      </c>
      <c r="N3284" s="5" t="s">
        <v>9953</v>
      </c>
      <c r="O3284" s="5">
        <v>1632.5</v>
      </c>
      <c r="P3284" s="5">
        <v>1743.3</v>
      </c>
      <c r="Q3284" s="5">
        <v>1625.2</v>
      </c>
      <c r="R3284" s="5">
        <v>1678.3</v>
      </c>
      <c r="S3284" s="5">
        <v>1680</v>
      </c>
      <c r="T3284" s="5">
        <v>1632.4</v>
      </c>
      <c r="V3284" s="5">
        <v>1678.35</v>
      </c>
      <c r="Y3284" s="5">
        <v>1152710</v>
      </c>
      <c r="Z3284" s="5">
        <v>1945560715.3</v>
      </c>
      <c r="AA3284" s="5">
        <v>55145</v>
      </c>
      <c r="AB3284" s="5" t="s">
        <v>85</v>
      </c>
      <c r="AC3284" s="5">
        <v>1</v>
      </c>
    </row>
    <row r="3285" spans="1:29" x14ac:dyDescent="0.3">
      <c r="A3285" s="34">
        <v>46274</v>
      </c>
      <c r="B3285" s="34">
        <v>46274</v>
      </c>
      <c r="C3285" s="5" t="s">
        <v>78</v>
      </c>
      <c r="D3285" s="5" t="s">
        <v>79</v>
      </c>
      <c r="E3285" s="5" t="s">
        <v>80</v>
      </c>
      <c r="F3285" s="5">
        <v>763825</v>
      </c>
      <c r="G3285" s="5" t="s">
        <v>9954</v>
      </c>
      <c r="H3285" s="5" t="s">
        <v>9955</v>
      </c>
      <c r="I3285" s="5" t="s">
        <v>313</v>
      </c>
      <c r="N3285" s="5" t="s">
        <v>9956</v>
      </c>
      <c r="O3285" s="5">
        <v>238.9</v>
      </c>
      <c r="P3285" s="5">
        <v>243.95</v>
      </c>
      <c r="Q3285" s="5">
        <v>237</v>
      </c>
      <c r="R3285" s="5">
        <v>237.05</v>
      </c>
      <c r="S3285" s="5">
        <v>237</v>
      </c>
      <c r="T3285" s="5">
        <v>238.65</v>
      </c>
      <c r="V3285" s="5">
        <v>237.05</v>
      </c>
      <c r="Y3285" s="5">
        <v>101400</v>
      </c>
      <c r="Z3285" s="5">
        <v>24341310</v>
      </c>
      <c r="AA3285" s="5">
        <v>41</v>
      </c>
      <c r="AB3285" s="5" t="s">
        <v>85</v>
      </c>
      <c r="AC3285" s="5">
        <v>600</v>
      </c>
    </row>
    <row r="3286" spans="1:29" x14ac:dyDescent="0.3">
      <c r="A3286" s="34">
        <v>46274</v>
      </c>
      <c r="B3286" s="34">
        <v>46274</v>
      </c>
      <c r="C3286" s="5" t="s">
        <v>78</v>
      </c>
      <c r="D3286" s="5" t="s">
        <v>79</v>
      </c>
      <c r="E3286" s="5" t="s">
        <v>80</v>
      </c>
      <c r="F3286" s="5">
        <v>29723</v>
      </c>
      <c r="G3286" s="5" t="s">
        <v>9957</v>
      </c>
      <c r="H3286" s="5" t="s">
        <v>9958</v>
      </c>
      <c r="I3286" s="5" t="s">
        <v>313</v>
      </c>
      <c r="N3286" s="5" t="s">
        <v>9959</v>
      </c>
      <c r="O3286" s="5">
        <v>392</v>
      </c>
      <c r="P3286" s="5">
        <v>410</v>
      </c>
      <c r="Q3286" s="5">
        <v>392</v>
      </c>
      <c r="R3286" s="5">
        <v>400</v>
      </c>
      <c r="S3286" s="5">
        <v>400</v>
      </c>
      <c r="T3286" s="5">
        <v>392</v>
      </c>
      <c r="V3286" s="5">
        <v>400</v>
      </c>
      <c r="Y3286" s="5">
        <v>2000</v>
      </c>
      <c r="Z3286" s="5">
        <v>800000</v>
      </c>
      <c r="AA3286" s="5">
        <v>5</v>
      </c>
      <c r="AB3286" s="5" t="s">
        <v>85</v>
      </c>
      <c r="AC3286" s="5">
        <v>400</v>
      </c>
    </row>
    <row r="3287" spans="1:29" x14ac:dyDescent="0.3">
      <c r="A3287" s="34">
        <v>46274</v>
      </c>
      <c r="B3287" s="34">
        <v>46274</v>
      </c>
      <c r="C3287" s="5" t="s">
        <v>78</v>
      </c>
      <c r="D3287" s="5" t="s">
        <v>79</v>
      </c>
      <c r="E3287" s="5" t="s">
        <v>80</v>
      </c>
      <c r="F3287" s="5">
        <v>21131</v>
      </c>
      <c r="G3287" s="5" t="s">
        <v>9960</v>
      </c>
      <c r="H3287" s="5" t="s">
        <v>9961</v>
      </c>
      <c r="I3287" s="5" t="s">
        <v>212</v>
      </c>
      <c r="N3287" s="5" t="s">
        <v>9962</v>
      </c>
      <c r="O3287" s="5">
        <v>589</v>
      </c>
      <c r="P3287" s="5">
        <v>600</v>
      </c>
      <c r="Q3287" s="5">
        <v>574</v>
      </c>
      <c r="R3287" s="5">
        <v>575.9</v>
      </c>
      <c r="S3287" s="5">
        <v>576.04999999999995</v>
      </c>
      <c r="T3287" s="5">
        <v>590.04999999999995</v>
      </c>
      <c r="V3287" s="5">
        <v>575.9</v>
      </c>
      <c r="Y3287" s="5">
        <v>2049808</v>
      </c>
      <c r="Z3287" s="5">
        <v>1192921276.0999999</v>
      </c>
      <c r="AA3287" s="5">
        <v>38263</v>
      </c>
      <c r="AB3287" s="5" t="s">
        <v>85</v>
      </c>
      <c r="AC3287" s="5">
        <v>1</v>
      </c>
    </row>
    <row r="3288" spans="1:29" x14ac:dyDescent="0.3">
      <c r="A3288" s="34">
        <v>46274</v>
      </c>
      <c r="B3288" s="34">
        <v>46274</v>
      </c>
      <c r="C3288" s="5" t="s">
        <v>78</v>
      </c>
      <c r="D3288" s="5" t="s">
        <v>79</v>
      </c>
      <c r="E3288" s="5" t="s">
        <v>80</v>
      </c>
      <c r="F3288" s="5">
        <v>3275</v>
      </c>
      <c r="G3288" s="5" t="s">
        <v>9963</v>
      </c>
      <c r="H3288" s="5" t="s">
        <v>9964</v>
      </c>
      <c r="I3288" s="5" t="s">
        <v>212</v>
      </c>
      <c r="N3288" s="5" t="s">
        <v>9965</v>
      </c>
      <c r="O3288" s="5">
        <v>58.45</v>
      </c>
      <c r="P3288" s="5">
        <v>58.5</v>
      </c>
      <c r="Q3288" s="5">
        <v>57.36</v>
      </c>
      <c r="R3288" s="5">
        <v>57.45</v>
      </c>
      <c r="S3288" s="5">
        <v>57.53</v>
      </c>
      <c r="T3288" s="5">
        <v>58.17</v>
      </c>
      <c r="V3288" s="5">
        <v>57.45</v>
      </c>
      <c r="Y3288" s="5">
        <v>487518</v>
      </c>
      <c r="Z3288" s="5">
        <v>28129847.300000001</v>
      </c>
      <c r="AA3288" s="5">
        <v>1803</v>
      </c>
      <c r="AB3288" s="5" t="s">
        <v>85</v>
      </c>
      <c r="AC3288" s="5">
        <v>1</v>
      </c>
    </row>
    <row r="3289" spans="1:29" x14ac:dyDescent="0.3">
      <c r="A3289" s="34">
        <v>46274</v>
      </c>
      <c r="B3289" s="34">
        <v>46274</v>
      </c>
      <c r="C3289" s="5" t="s">
        <v>78</v>
      </c>
      <c r="D3289" s="5" t="s">
        <v>79</v>
      </c>
      <c r="E3289" s="5" t="s">
        <v>80</v>
      </c>
      <c r="F3289" s="5">
        <v>765426</v>
      </c>
      <c r="G3289" s="5" t="s">
        <v>9966</v>
      </c>
      <c r="H3289" s="5" t="s">
        <v>9967</v>
      </c>
      <c r="I3289" s="5" t="s">
        <v>212</v>
      </c>
      <c r="N3289" s="5" t="s">
        <v>9968</v>
      </c>
      <c r="O3289" s="5">
        <v>574.70000000000005</v>
      </c>
      <c r="P3289" s="5">
        <v>609.79999999999995</v>
      </c>
      <c r="Q3289" s="5">
        <v>572</v>
      </c>
      <c r="R3289" s="5">
        <v>588.65</v>
      </c>
      <c r="S3289" s="5">
        <v>589</v>
      </c>
      <c r="T3289" s="5">
        <v>571.35</v>
      </c>
      <c r="V3289" s="5">
        <v>588.75</v>
      </c>
      <c r="Y3289" s="5">
        <v>7543324</v>
      </c>
      <c r="Z3289" s="5">
        <v>4478137486.4499998</v>
      </c>
      <c r="AA3289" s="5">
        <v>123864</v>
      </c>
      <c r="AB3289" s="5" t="s">
        <v>85</v>
      </c>
      <c r="AC3289" s="5">
        <v>1</v>
      </c>
    </row>
    <row r="3290" spans="1:29" x14ac:dyDescent="0.3">
      <c r="A3290" s="34">
        <v>46274</v>
      </c>
      <c r="B3290" s="34">
        <v>46274</v>
      </c>
      <c r="C3290" s="5" t="s">
        <v>78</v>
      </c>
      <c r="D3290" s="5" t="s">
        <v>79</v>
      </c>
      <c r="E3290" s="5" t="s">
        <v>80</v>
      </c>
      <c r="F3290" s="5">
        <v>759880</v>
      </c>
      <c r="G3290" s="5" t="s">
        <v>9969</v>
      </c>
      <c r="H3290" s="5" t="s">
        <v>9970</v>
      </c>
      <c r="I3290" s="5" t="s">
        <v>212</v>
      </c>
      <c r="N3290" s="5" t="s">
        <v>9971</v>
      </c>
      <c r="O3290" s="5">
        <v>526.79999999999995</v>
      </c>
      <c r="P3290" s="5">
        <v>528.95000000000005</v>
      </c>
      <c r="Q3290" s="5">
        <v>513.4</v>
      </c>
      <c r="R3290" s="5">
        <v>518.4</v>
      </c>
      <c r="S3290" s="5">
        <v>518.65</v>
      </c>
      <c r="T3290" s="5">
        <v>525.70000000000005</v>
      </c>
      <c r="V3290" s="5">
        <v>518.4</v>
      </c>
      <c r="Y3290" s="5">
        <v>564878</v>
      </c>
      <c r="Z3290" s="5">
        <v>293297652.89999998</v>
      </c>
      <c r="AA3290" s="5">
        <v>20539</v>
      </c>
      <c r="AB3290" s="5" t="s">
        <v>85</v>
      </c>
      <c r="AC3290" s="5">
        <v>1</v>
      </c>
    </row>
    <row r="3291" spans="1:29" x14ac:dyDescent="0.3">
      <c r="A3291" s="34">
        <v>46274</v>
      </c>
      <c r="B3291" s="34">
        <v>46274</v>
      </c>
      <c r="C3291" s="5" t="s">
        <v>78</v>
      </c>
      <c r="D3291" s="5" t="s">
        <v>79</v>
      </c>
      <c r="E3291" s="5" t="s">
        <v>80</v>
      </c>
      <c r="F3291" s="5">
        <v>19292</v>
      </c>
      <c r="G3291" s="5" t="s">
        <v>9972</v>
      </c>
      <c r="H3291" s="5" t="s">
        <v>9973</v>
      </c>
      <c r="I3291" s="5" t="s">
        <v>212</v>
      </c>
      <c r="N3291" s="5" t="s">
        <v>9974</v>
      </c>
      <c r="O3291" s="5">
        <v>272.35000000000002</v>
      </c>
      <c r="P3291" s="5">
        <v>272.35000000000002</v>
      </c>
      <c r="Q3291" s="5">
        <v>251.5</v>
      </c>
      <c r="R3291" s="5">
        <v>255.4</v>
      </c>
      <c r="S3291" s="5">
        <v>258.5</v>
      </c>
      <c r="T3291" s="5">
        <v>272.35000000000002</v>
      </c>
      <c r="V3291" s="5">
        <v>255.4</v>
      </c>
      <c r="Y3291" s="5">
        <v>40624</v>
      </c>
      <c r="Z3291" s="5">
        <v>10575094.1</v>
      </c>
      <c r="AA3291" s="5">
        <v>1573</v>
      </c>
      <c r="AB3291" s="5" t="s">
        <v>85</v>
      </c>
      <c r="AC3291" s="5">
        <v>1</v>
      </c>
    </row>
    <row r="3292" spans="1:29" x14ac:dyDescent="0.3">
      <c r="A3292" s="34">
        <v>46274</v>
      </c>
      <c r="B3292" s="34">
        <v>46274</v>
      </c>
      <c r="C3292" s="5" t="s">
        <v>78</v>
      </c>
      <c r="D3292" s="5" t="s">
        <v>79</v>
      </c>
      <c r="E3292" s="5" t="s">
        <v>80</v>
      </c>
      <c r="F3292" s="5">
        <v>764950</v>
      </c>
      <c r="G3292" s="5" t="s">
        <v>9975</v>
      </c>
      <c r="H3292" s="5" t="s">
        <v>9976</v>
      </c>
      <c r="I3292" s="5" t="s">
        <v>212</v>
      </c>
      <c r="N3292" s="5" t="s">
        <v>9977</v>
      </c>
      <c r="O3292" s="5">
        <v>131.30000000000001</v>
      </c>
      <c r="P3292" s="5">
        <v>131.30000000000001</v>
      </c>
      <c r="Q3292" s="5">
        <v>115</v>
      </c>
      <c r="R3292" s="5">
        <v>123.31</v>
      </c>
      <c r="S3292" s="5">
        <v>129.99</v>
      </c>
      <c r="T3292" s="5">
        <v>130</v>
      </c>
      <c r="V3292" s="5">
        <v>123.13</v>
      </c>
      <c r="Y3292" s="5">
        <v>1258</v>
      </c>
      <c r="Z3292" s="5">
        <v>155089.22</v>
      </c>
      <c r="AA3292" s="5">
        <v>51</v>
      </c>
      <c r="AB3292" s="5" t="s">
        <v>85</v>
      </c>
      <c r="AC3292" s="5">
        <v>1</v>
      </c>
    </row>
    <row r="3293" spans="1:29" x14ac:dyDescent="0.3">
      <c r="A3293" s="34">
        <v>46274</v>
      </c>
      <c r="B3293" s="34">
        <v>46274</v>
      </c>
      <c r="C3293" s="5" t="s">
        <v>78</v>
      </c>
      <c r="D3293" s="5" t="s">
        <v>79</v>
      </c>
      <c r="E3293" s="5" t="s">
        <v>80</v>
      </c>
      <c r="F3293" s="5">
        <v>11549</v>
      </c>
      <c r="G3293" s="5" t="s">
        <v>9978</v>
      </c>
      <c r="H3293" s="5" t="s">
        <v>9979</v>
      </c>
      <c r="I3293" s="5" t="s">
        <v>212</v>
      </c>
      <c r="N3293" s="5" t="s">
        <v>9980</v>
      </c>
      <c r="O3293" s="5">
        <v>120.01</v>
      </c>
      <c r="P3293" s="5">
        <v>121.29</v>
      </c>
      <c r="Q3293" s="5">
        <v>112.52</v>
      </c>
      <c r="R3293" s="5">
        <v>115.23</v>
      </c>
      <c r="S3293" s="5">
        <v>113.2</v>
      </c>
      <c r="T3293" s="5">
        <v>120.03</v>
      </c>
      <c r="V3293" s="5">
        <v>115.28</v>
      </c>
      <c r="Y3293" s="5">
        <v>380617</v>
      </c>
      <c r="Z3293" s="5">
        <v>44235456.770000003</v>
      </c>
      <c r="AA3293" s="5">
        <v>2334</v>
      </c>
      <c r="AB3293" s="5" t="s">
        <v>85</v>
      </c>
      <c r="AC3293" s="5">
        <v>1</v>
      </c>
    </row>
    <row r="3294" spans="1:29" x14ac:dyDescent="0.3">
      <c r="A3294" s="34">
        <v>46274</v>
      </c>
      <c r="B3294" s="34">
        <v>46274</v>
      </c>
      <c r="C3294" s="5" t="s">
        <v>78</v>
      </c>
      <c r="D3294" s="5" t="s">
        <v>79</v>
      </c>
      <c r="E3294" s="5" t="s">
        <v>80</v>
      </c>
      <c r="F3294" s="5">
        <v>21828</v>
      </c>
      <c r="G3294" s="5" t="s">
        <v>9981</v>
      </c>
      <c r="H3294" s="5" t="s">
        <v>9982</v>
      </c>
      <c r="I3294" s="5" t="s">
        <v>212</v>
      </c>
      <c r="N3294" s="5" t="s">
        <v>9983</v>
      </c>
      <c r="O3294" s="5">
        <v>117.98</v>
      </c>
      <c r="P3294" s="5">
        <v>118.6</v>
      </c>
      <c r="Q3294" s="5">
        <v>114.8</v>
      </c>
      <c r="R3294" s="5">
        <v>115.16</v>
      </c>
      <c r="S3294" s="5">
        <v>115.25</v>
      </c>
      <c r="T3294" s="5">
        <v>118.26</v>
      </c>
      <c r="V3294" s="5">
        <v>115.16</v>
      </c>
      <c r="Y3294" s="5">
        <v>1397158</v>
      </c>
      <c r="Z3294" s="5">
        <v>162652769.37</v>
      </c>
      <c r="AA3294" s="5">
        <v>14256</v>
      </c>
      <c r="AB3294" s="5" t="s">
        <v>85</v>
      </c>
      <c r="AC3294" s="5">
        <v>1</v>
      </c>
    </row>
    <row r="3295" spans="1:29" x14ac:dyDescent="0.3">
      <c r="A3295" s="34">
        <v>46274</v>
      </c>
      <c r="B3295" s="34">
        <v>46274</v>
      </c>
      <c r="C3295" s="5" t="s">
        <v>78</v>
      </c>
      <c r="D3295" s="5" t="s">
        <v>79</v>
      </c>
      <c r="E3295" s="5" t="s">
        <v>80</v>
      </c>
      <c r="F3295" s="5">
        <v>18214</v>
      </c>
      <c r="G3295" s="5" t="s">
        <v>9984</v>
      </c>
      <c r="H3295" s="5" t="s">
        <v>9985</v>
      </c>
      <c r="I3295" s="5" t="s">
        <v>212</v>
      </c>
      <c r="N3295" s="5" t="s">
        <v>9986</v>
      </c>
      <c r="O3295" s="5">
        <v>52.3</v>
      </c>
      <c r="P3295" s="5">
        <v>59.2</v>
      </c>
      <c r="Q3295" s="5">
        <v>51.31</v>
      </c>
      <c r="R3295" s="5">
        <v>57.59</v>
      </c>
      <c r="S3295" s="5">
        <v>58.25</v>
      </c>
      <c r="T3295" s="5">
        <v>52.52</v>
      </c>
      <c r="V3295" s="5">
        <v>57.6</v>
      </c>
      <c r="Y3295" s="5">
        <v>998839</v>
      </c>
      <c r="Z3295" s="5">
        <v>56931320.829999998</v>
      </c>
      <c r="AA3295" s="5">
        <v>6325</v>
      </c>
      <c r="AB3295" s="5" t="s">
        <v>85</v>
      </c>
      <c r="AC3295" s="5">
        <v>1</v>
      </c>
    </row>
    <row r="3296" spans="1:29" x14ac:dyDescent="0.3">
      <c r="A3296" s="34">
        <v>46274</v>
      </c>
      <c r="B3296" s="34">
        <v>46274</v>
      </c>
      <c r="C3296" s="5" t="s">
        <v>78</v>
      </c>
      <c r="D3296" s="5" t="s">
        <v>79</v>
      </c>
      <c r="E3296" s="5" t="s">
        <v>80</v>
      </c>
      <c r="F3296" s="5">
        <v>10744</v>
      </c>
      <c r="G3296" s="5" t="s">
        <v>9987</v>
      </c>
      <c r="H3296" s="5" t="s">
        <v>9988</v>
      </c>
      <c r="I3296" s="5" t="s">
        <v>1824</v>
      </c>
      <c r="N3296" s="5" t="s">
        <v>9989</v>
      </c>
      <c r="O3296" s="5">
        <v>1372</v>
      </c>
      <c r="P3296" s="5">
        <v>1372</v>
      </c>
      <c r="Q3296" s="5">
        <v>1372</v>
      </c>
      <c r="R3296" s="5">
        <v>1372</v>
      </c>
      <c r="S3296" s="5">
        <v>1372</v>
      </c>
      <c r="T3296" s="5">
        <v>1207</v>
      </c>
      <c r="V3296" s="5">
        <v>1372</v>
      </c>
      <c r="Y3296" s="5">
        <v>35</v>
      </c>
      <c r="Z3296" s="5">
        <v>48020</v>
      </c>
      <c r="AA3296" s="5">
        <v>1</v>
      </c>
      <c r="AB3296" s="5" t="s">
        <v>85</v>
      </c>
      <c r="AC3296" s="5">
        <v>1</v>
      </c>
    </row>
    <row r="3297" spans="1:29" x14ac:dyDescent="0.3">
      <c r="A3297" s="34">
        <v>46274</v>
      </c>
      <c r="B3297" s="34">
        <v>46274</v>
      </c>
      <c r="C3297" s="5" t="s">
        <v>78</v>
      </c>
      <c r="D3297" s="5" t="s">
        <v>79</v>
      </c>
      <c r="E3297" s="5" t="s">
        <v>80</v>
      </c>
      <c r="F3297" s="5">
        <v>14607</v>
      </c>
      <c r="G3297" s="5" t="s">
        <v>9990</v>
      </c>
      <c r="H3297" s="5" t="s">
        <v>9991</v>
      </c>
      <c r="I3297" s="5" t="s">
        <v>212</v>
      </c>
      <c r="N3297" s="5" t="s">
        <v>9992</v>
      </c>
      <c r="O3297" s="5">
        <v>9.4499999999999993</v>
      </c>
      <c r="P3297" s="5">
        <v>10.49</v>
      </c>
      <c r="Q3297" s="5">
        <v>9.3000000000000007</v>
      </c>
      <c r="R3297" s="5">
        <v>9.82</v>
      </c>
      <c r="S3297" s="5">
        <v>9.9</v>
      </c>
      <c r="T3297" s="5">
        <v>9.2100000000000009</v>
      </c>
      <c r="V3297" s="5">
        <v>9.82</v>
      </c>
      <c r="Y3297" s="5">
        <v>135707</v>
      </c>
      <c r="Z3297" s="5">
        <v>1337184.46</v>
      </c>
      <c r="AA3297" s="5">
        <v>317</v>
      </c>
      <c r="AB3297" s="5" t="s">
        <v>85</v>
      </c>
      <c r="AC3297" s="5">
        <v>1</v>
      </c>
    </row>
    <row r="3298" spans="1:29" x14ac:dyDescent="0.3">
      <c r="A3298" s="34">
        <v>46274</v>
      </c>
      <c r="B3298" s="34">
        <v>46274</v>
      </c>
      <c r="C3298" s="5" t="s">
        <v>78</v>
      </c>
      <c r="D3298" s="5" t="s">
        <v>79</v>
      </c>
      <c r="E3298" s="5" t="s">
        <v>80</v>
      </c>
      <c r="F3298" s="5">
        <v>22777</v>
      </c>
      <c r="G3298" s="5" t="s">
        <v>9993</v>
      </c>
      <c r="H3298" s="5" t="s">
        <v>9994</v>
      </c>
      <c r="I3298" s="5" t="s">
        <v>313</v>
      </c>
      <c r="N3298" s="5" t="s">
        <v>9995</v>
      </c>
      <c r="O3298" s="5">
        <v>113.5</v>
      </c>
      <c r="P3298" s="5">
        <v>118</v>
      </c>
      <c r="Q3298" s="5">
        <v>112.05</v>
      </c>
      <c r="R3298" s="5">
        <v>113.8</v>
      </c>
      <c r="S3298" s="5">
        <v>115</v>
      </c>
      <c r="T3298" s="5">
        <v>111.3</v>
      </c>
      <c r="V3298" s="5">
        <v>113.8</v>
      </c>
      <c r="Y3298" s="5">
        <v>36800</v>
      </c>
      <c r="Z3298" s="5">
        <v>4254280</v>
      </c>
      <c r="AA3298" s="5">
        <v>45</v>
      </c>
      <c r="AB3298" s="5" t="s">
        <v>85</v>
      </c>
      <c r="AC3298" s="5">
        <v>800</v>
      </c>
    </row>
    <row r="3299" spans="1:29" x14ac:dyDescent="0.3">
      <c r="A3299" s="34">
        <v>46274</v>
      </c>
      <c r="B3299" s="34">
        <v>46274</v>
      </c>
      <c r="C3299" s="5" t="s">
        <v>78</v>
      </c>
      <c r="D3299" s="5" t="s">
        <v>79</v>
      </c>
      <c r="E3299" s="5" t="s">
        <v>80</v>
      </c>
      <c r="F3299" s="5">
        <v>762944</v>
      </c>
      <c r="G3299" s="5" t="s">
        <v>9996</v>
      </c>
      <c r="H3299" s="5" t="s">
        <v>9997</v>
      </c>
      <c r="I3299" s="5" t="s">
        <v>212</v>
      </c>
      <c r="N3299" s="5" t="s">
        <v>9998</v>
      </c>
      <c r="O3299" s="5">
        <v>1017</v>
      </c>
      <c r="P3299" s="5">
        <v>1047</v>
      </c>
      <c r="Q3299" s="5">
        <v>1017</v>
      </c>
      <c r="R3299" s="5">
        <v>1045</v>
      </c>
      <c r="S3299" s="5">
        <v>1045</v>
      </c>
      <c r="T3299" s="5">
        <v>1017</v>
      </c>
      <c r="V3299" s="5">
        <v>1045</v>
      </c>
      <c r="Y3299" s="5">
        <v>44</v>
      </c>
      <c r="Z3299" s="5">
        <v>45347</v>
      </c>
      <c r="AA3299" s="5">
        <v>8</v>
      </c>
      <c r="AB3299" s="5" t="s">
        <v>85</v>
      </c>
      <c r="AC3299" s="5">
        <v>1</v>
      </c>
    </row>
    <row r="3300" spans="1:29" x14ac:dyDescent="0.3">
      <c r="A3300" s="34">
        <v>46274</v>
      </c>
      <c r="B3300" s="34">
        <v>46274</v>
      </c>
      <c r="C3300" s="5" t="s">
        <v>78</v>
      </c>
      <c r="D3300" s="5" t="s">
        <v>79</v>
      </c>
      <c r="E3300" s="5" t="s">
        <v>80</v>
      </c>
      <c r="F3300" s="5">
        <v>762949</v>
      </c>
      <c r="G3300" s="5" t="s">
        <v>9999</v>
      </c>
      <c r="H3300" s="5" t="s">
        <v>10000</v>
      </c>
      <c r="I3300" s="5" t="s">
        <v>212</v>
      </c>
      <c r="N3300" s="5" t="s">
        <v>10001</v>
      </c>
      <c r="O3300" s="5">
        <v>148</v>
      </c>
      <c r="P3300" s="5">
        <v>148</v>
      </c>
      <c r="Q3300" s="5">
        <v>137</v>
      </c>
      <c r="R3300" s="5">
        <v>138.5</v>
      </c>
      <c r="S3300" s="5">
        <v>137</v>
      </c>
      <c r="T3300" s="5">
        <v>148</v>
      </c>
      <c r="V3300" s="5">
        <v>151.85</v>
      </c>
      <c r="Y3300" s="5">
        <v>17</v>
      </c>
      <c r="Z3300" s="5">
        <v>2497</v>
      </c>
      <c r="AA3300" s="5">
        <v>6</v>
      </c>
      <c r="AB3300" s="5" t="s">
        <v>85</v>
      </c>
      <c r="AC3300" s="5">
        <v>1</v>
      </c>
    </row>
    <row r="3301" spans="1:29" x14ac:dyDescent="0.3">
      <c r="A3301" s="34">
        <v>46274</v>
      </c>
      <c r="B3301" s="34">
        <v>46274</v>
      </c>
      <c r="C3301" s="5" t="s">
        <v>78</v>
      </c>
      <c r="D3301" s="5" t="s">
        <v>79</v>
      </c>
      <c r="E3301" s="5" t="s">
        <v>80</v>
      </c>
      <c r="F3301" s="5">
        <v>18118</v>
      </c>
      <c r="G3301" s="5" t="s">
        <v>10002</v>
      </c>
      <c r="H3301" s="5" t="s">
        <v>10003</v>
      </c>
      <c r="I3301" s="5" t="s">
        <v>212</v>
      </c>
      <c r="N3301" s="5" t="s">
        <v>10004</v>
      </c>
      <c r="O3301" s="5">
        <v>5366</v>
      </c>
      <c r="P3301" s="5">
        <v>5366</v>
      </c>
      <c r="Q3301" s="5">
        <v>5100.5</v>
      </c>
      <c r="R3301" s="5">
        <v>5118</v>
      </c>
      <c r="S3301" s="5">
        <v>5144</v>
      </c>
      <c r="T3301" s="5">
        <v>5366.5</v>
      </c>
      <c r="V3301" s="5">
        <v>5117.78</v>
      </c>
      <c r="Y3301" s="5">
        <v>89077</v>
      </c>
      <c r="Z3301" s="5">
        <v>461809556.5</v>
      </c>
      <c r="AA3301" s="5">
        <v>13908</v>
      </c>
      <c r="AB3301" s="5" t="s">
        <v>85</v>
      </c>
      <c r="AC3301" s="5">
        <v>1</v>
      </c>
    </row>
    <row r="3302" spans="1:29" x14ac:dyDescent="0.3">
      <c r="A3302" s="34">
        <v>46274</v>
      </c>
      <c r="B3302" s="34">
        <v>46274</v>
      </c>
      <c r="C3302" s="5" t="s">
        <v>78</v>
      </c>
      <c r="D3302" s="5" t="s">
        <v>79</v>
      </c>
      <c r="E3302" s="5" t="s">
        <v>80</v>
      </c>
      <c r="F3302" s="5">
        <v>9014</v>
      </c>
      <c r="G3302" s="5" t="s">
        <v>10005</v>
      </c>
      <c r="H3302" s="5" t="s">
        <v>10006</v>
      </c>
      <c r="I3302" s="5" t="s">
        <v>212</v>
      </c>
      <c r="N3302" s="5" t="s">
        <v>10007</v>
      </c>
      <c r="O3302" s="5">
        <v>1721</v>
      </c>
      <c r="P3302" s="5">
        <v>1760</v>
      </c>
      <c r="Q3302" s="5">
        <v>1710.1</v>
      </c>
      <c r="R3302" s="5">
        <v>1744.5</v>
      </c>
      <c r="S3302" s="5">
        <v>1741.8</v>
      </c>
      <c r="T3302" s="5">
        <v>1725.6</v>
      </c>
      <c r="V3302" s="5">
        <v>1744.5</v>
      </c>
      <c r="Y3302" s="5">
        <v>16835</v>
      </c>
      <c r="Z3302" s="5">
        <v>29199882.300000001</v>
      </c>
      <c r="AA3302" s="5">
        <v>2808</v>
      </c>
      <c r="AB3302" s="5" t="s">
        <v>85</v>
      </c>
      <c r="AC3302" s="5">
        <v>1</v>
      </c>
    </row>
    <row r="3303" spans="1:29" x14ac:dyDescent="0.3">
      <c r="A3303" s="34">
        <v>46274</v>
      </c>
      <c r="B3303" s="34">
        <v>46274</v>
      </c>
      <c r="C3303" s="5" t="s">
        <v>78</v>
      </c>
      <c r="D3303" s="5" t="s">
        <v>79</v>
      </c>
      <c r="E3303" s="5" t="s">
        <v>80</v>
      </c>
      <c r="F3303" s="5">
        <v>7930</v>
      </c>
      <c r="G3303" s="5" t="s">
        <v>10008</v>
      </c>
      <c r="H3303" s="5" t="s">
        <v>10009</v>
      </c>
      <c r="I3303" s="5" t="s">
        <v>234</v>
      </c>
      <c r="N3303" s="5" t="s">
        <v>10010</v>
      </c>
      <c r="O3303" s="5">
        <v>31.75</v>
      </c>
      <c r="P3303" s="5">
        <v>32.729999999999997</v>
      </c>
      <c r="Q3303" s="5">
        <v>31.05</v>
      </c>
      <c r="R3303" s="5">
        <v>32.11</v>
      </c>
      <c r="S3303" s="5">
        <v>32.729999999999997</v>
      </c>
      <c r="T3303" s="5">
        <v>31.9</v>
      </c>
      <c r="V3303" s="5">
        <v>32.11</v>
      </c>
      <c r="Y3303" s="5">
        <v>20500</v>
      </c>
      <c r="Z3303" s="5">
        <v>648711.9</v>
      </c>
      <c r="AA3303" s="5">
        <v>118</v>
      </c>
      <c r="AB3303" s="5" t="s">
        <v>85</v>
      </c>
      <c r="AC3303" s="5">
        <v>1</v>
      </c>
    </row>
    <row r="3304" spans="1:29" x14ac:dyDescent="0.3">
      <c r="A3304" s="34">
        <v>46274</v>
      </c>
      <c r="B3304" s="34">
        <v>46274</v>
      </c>
      <c r="C3304" s="5" t="s">
        <v>78</v>
      </c>
      <c r="D3304" s="5" t="s">
        <v>79</v>
      </c>
      <c r="E3304" s="5" t="s">
        <v>80</v>
      </c>
      <c r="F3304" s="5">
        <v>13776</v>
      </c>
      <c r="G3304" s="5" t="s">
        <v>10011</v>
      </c>
      <c r="H3304" s="5" t="s">
        <v>10012</v>
      </c>
      <c r="I3304" s="5" t="s">
        <v>212</v>
      </c>
      <c r="N3304" s="5" t="s">
        <v>10013</v>
      </c>
      <c r="O3304" s="5">
        <v>1393</v>
      </c>
      <c r="P3304" s="5">
        <v>1402.4</v>
      </c>
      <c r="Q3304" s="5">
        <v>1381.2</v>
      </c>
      <c r="R3304" s="5">
        <v>1393.4</v>
      </c>
      <c r="S3304" s="5">
        <v>1391.5</v>
      </c>
      <c r="T3304" s="5">
        <v>1383.8</v>
      </c>
      <c r="V3304" s="5">
        <v>1393.42</v>
      </c>
      <c r="Y3304" s="5">
        <v>755591</v>
      </c>
      <c r="Z3304" s="5">
        <v>1051568500.7</v>
      </c>
      <c r="AA3304" s="5">
        <v>33629</v>
      </c>
      <c r="AB3304" s="5" t="s">
        <v>85</v>
      </c>
      <c r="AC3304" s="5">
        <v>1</v>
      </c>
    </row>
    <row r="3305" spans="1:29" x14ac:dyDescent="0.3">
      <c r="A3305" s="34">
        <v>46274</v>
      </c>
      <c r="B3305" s="34">
        <v>46274</v>
      </c>
      <c r="C3305" s="5" t="s">
        <v>78</v>
      </c>
      <c r="D3305" s="5" t="s">
        <v>79</v>
      </c>
      <c r="E3305" s="5" t="s">
        <v>80</v>
      </c>
      <c r="F3305" s="5">
        <v>17770</v>
      </c>
      <c r="G3305" s="5" t="s">
        <v>10014</v>
      </c>
      <c r="H3305" s="5" t="s">
        <v>10015</v>
      </c>
      <c r="I3305" s="5" t="s">
        <v>212</v>
      </c>
      <c r="N3305" s="5" t="s">
        <v>10016</v>
      </c>
      <c r="O3305" s="5">
        <v>967</v>
      </c>
      <c r="P3305" s="5">
        <v>968</v>
      </c>
      <c r="Q3305" s="5">
        <v>940.1</v>
      </c>
      <c r="R3305" s="5">
        <v>945.95</v>
      </c>
      <c r="S3305" s="5">
        <v>940.15</v>
      </c>
      <c r="T3305" s="5">
        <v>966</v>
      </c>
      <c r="V3305" s="5">
        <v>945.95</v>
      </c>
      <c r="Y3305" s="5">
        <v>50</v>
      </c>
      <c r="Z3305" s="5">
        <v>47631.95</v>
      </c>
      <c r="AA3305" s="5">
        <v>18</v>
      </c>
      <c r="AB3305" s="5" t="s">
        <v>85</v>
      </c>
      <c r="AC3305" s="5">
        <v>1</v>
      </c>
    </row>
    <row r="3306" spans="1:29" x14ac:dyDescent="0.3">
      <c r="A3306" s="34">
        <v>46274</v>
      </c>
      <c r="B3306" s="34">
        <v>46274</v>
      </c>
      <c r="C3306" s="5" t="s">
        <v>78</v>
      </c>
      <c r="D3306" s="5" t="s">
        <v>79</v>
      </c>
      <c r="E3306" s="5" t="s">
        <v>80</v>
      </c>
      <c r="F3306" s="5">
        <v>8568</v>
      </c>
      <c r="G3306" s="5" t="s">
        <v>10017</v>
      </c>
      <c r="H3306" s="5" t="s">
        <v>10018</v>
      </c>
      <c r="I3306" s="5" t="s">
        <v>234</v>
      </c>
      <c r="N3306" s="5" t="s">
        <v>10019</v>
      </c>
      <c r="O3306" s="5">
        <v>576</v>
      </c>
      <c r="P3306" s="5">
        <v>586.9</v>
      </c>
      <c r="Q3306" s="5">
        <v>562</v>
      </c>
      <c r="R3306" s="5">
        <v>582.45000000000005</v>
      </c>
      <c r="S3306" s="5">
        <v>564.04999999999995</v>
      </c>
      <c r="T3306" s="5">
        <v>570</v>
      </c>
      <c r="V3306" s="5">
        <v>582.41999999999996</v>
      </c>
      <c r="Y3306" s="5">
        <v>2753</v>
      </c>
      <c r="Z3306" s="5">
        <v>1571540.8</v>
      </c>
      <c r="AA3306" s="5">
        <v>60</v>
      </c>
      <c r="AB3306" s="5" t="s">
        <v>85</v>
      </c>
      <c r="AC3306" s="5">
        <v>1</v>
      </c>
    </row>
    <row r="3307" spans="1:29" x14ac:dyDescent="0.3">
      <c r="A3307" s="34">
        <v>46274</v>
      </c>
      <c r="B3307" s="34">
        <v>46274</v>
      </c>
      <c r="C3307" s="5" t="s">
        <v>78</v>
      </c>
      <c r="D3307" s="5" t="s">
        <v>79</v>
      </c>
      <c r="E3307" s="5" t="s">
        <v>80</v>
      </c>
      <c r="F3307" s="5">
        <v>1515</v>
      </c>
      <c r="G3307" s="5" t="s">
        <v>10020</v>
      </c>
      <c r="H3307" s="5" t="s">
        <v>10021</v>
      </c>
      <c r="I3307" s="5" t="s">
        <v>212</v>
      </c>
      <c r="N3307" s="5" t="s">
        <v>10022</v>
      </c>
      <c r="O3307" s="5">
        <v>354</v>
      </c>
      <c r="P3307" s="5">
        <v>354.95</v>
      </c>
      <c r="Q3307" s="5">
        <v>350.5</v>
      </c>
      <c r="R3307" s="5">
        <v>351.55</v>
      </c>
      <c r="S3307" s="5">
        <v>351.95</v>
      </c>
      <c r="T3307" s="5">
        <v>353.45</v>
      </c>
      <c r="V3307" s="5">
        <v>351.56</v>
      </c>
      <c r="Y3307" s="5">
        <v>36593</v>
      </c>
      <c r="Z3307" s="5">
        <v>12878071.550000001</v>
      </c>
      <c r="AA3307" s="5">
        <v>3004</v>
      </c>
      <c r="AB3307" s="5" t="s">
        <v>85</v>
      </c>
      <c r="AC3307" s="5">
        <v>1</v>
      </c>
    </row>
    <row r="3308" spans="1:29" x14ac:dyDescent="0.3">
      <c r="A3308" s="34">
        <v>46274</v>
      </c>
      <c r="B3308" s="34">
        <v>46274</v>
      </c>
      <c r="C3308" s="5" t="s">
        <v>78</v>
      </c>
      <c r="D3308" s="5" t="s">
        <v>79</v>
      </c>
      <c r="E3308" s="5" t="s">
        <v>80</v>
      </c>
      <c r="F3308" s="5">
        <v>1512</v>
      </c>
      <c r="G3308" s="5" t="s">
        <v>10023</v>
      </c>
      <c r="H3308" s="5" t="s">
        <v>10024</v>
      </c>
      <c r="I3308" s="5" t="s">
        <v>212</v>
      </c>
      <c r="N3308" s="5" t="s">
        <v>10025</v>
      </c>
      <c r="O3308" s="5">
        <v>716.15</v>
      </c>
      <c r="P3308" s="5">
        <v>723.25</v>
      </c>
      <c r="Q3308" s="5">
        <v>715</v>
      </c>
      <c r="R3308" s="5">
        <v>722.75</v>
      </c>
      <c r="S3308" s="5">
        <v>722.75</v>
      </c>
      <c r="T3308" s="5">
        <v>720</v>
      </c>
      <c r="V3308" s="5">
        <v>722.74</v>
      </c>
      <c r="Y3308" s="5">
        <v>853702</v>
      </c>
      <c r="Z3308" s="5">
        <v>615004434.64999998</v>
      </c>
      <c r="AA3308" s="5">
        <v>27240</v>
      </c>
      <c r="AB3308" s="5" t="s">
        <v>85</v>
      </c>
      <c r="AC3308" s="5">
        <v>1</v>
      </c>
    </row>
    <row r="3309" spans="1:29" x14ac:dyDescent="0.3">
      <c r="A3309" s="34">
        <v>46274</v>
      </c>
      <c r="B3309" s="34">
        <v>46274</v>
      </c>
      <c r="C3309" s="5" t="s">
        <v>78</v>
      </c>
      <c r="D3309" s="5" t="s">
        <v>79</v>
      </c>
      <c r="E3309" s="5" t="s">
        <v>80</v>
      </c>
      <c r="F3309" s="5">
        <v>21427</v>
      </c>
      <c r="G3309" s="5" t="s">
        <v>10026</v>
      </c>
      <c r="H3309" s="5" t="s">
        <v>10027</v>
      </c>
      <c r="I3309" s="5" t="s">
        <v>212</v>
      </c>
      <c r="N3309" s="5" t="s">
        <v>10028</v>
      </c>
      <c r="O3309" s="5">
        <v>98</v>
      </c>
      <c r="P3309" s="5">
        <v>100.8</v>
      </c>
      <c r="Q3309" s="5">
        <v>96</v>
      </c>
      <c r="R3309" s="5">
        <v>97.46</v>
      </c>
      <c r="S3309" s="5">
        <v>96.65</v>
      </c>
      <c r="T3309" s="5">
        <v>96.28</v>
      </c>
      <c r="V3309" s="5">
        <v>97.49</v>
      </c>
      <c r="Y3309" s="5">
        <v>11001</v>
      </c>
      <c r="Z3309" s="5">
        <v>1084107.98</v>
      </c>
      <c r="AA3309" s="5">
        <v>261</v>
      </c>
      <c r="AB3309" s="5" t="s">
        <v>85</v>
      </c>
      <c r="AC3309" s="5">
        <v>1</v>
      </c>
    </row>
    <row r="3310" spans="1:29" x14ac:dyDescent="0.3">
      <c r="A3310" s="34">
        <v>46274</v>
      </c>
      <c r="B3310" s="34">
        <v>46274</v>
      </c>
      <c r="C3310" s="5" t="s">
        <v>78</v>
      </c>
      <c r="D3310" s="5" t="s">
        <v>79</v>
      </c>
      <c r="E3310" s="5" t="s">
        <v>80</v>
      </c>
      <c r="F3310" s="5">
        <v>399</v>
      </c>
      <c r="G3310" s="5" t="s">
        <v>10029</v>
      </c>
      <c r="H3310" s="5" t="s">
        <v>10030</v>
      </c>
      <c r="I3310" s="5" t="s">
        <v>212</v>
      </c>
      <c r="N3310" s="5" t="s">
        <v>10031</v>
      </c>
      <c r="O3310" s="5">
        <v>205.22</v>
      </c>
      <c r="P3310" s="5">
        <v>210.2</v>
      </c>
      <c r="Q3310" s="5">
        <v>201.38</v>
      </c>
      <c r="R3310" s="5">
        <v>205.51</v>
      </c>
      <c r="S3310" s="5">
        <v>206.1</v>
      </c>
      <c r="T3310" s="5">
        <v>205.22</v>
      </c>
      <c r="V3310" s="5">
        <v>205.52</v>
      </c>
      <c r="Y3310" s="5">
        <v>10799389</v>
      </c>
      <c r="Z3310" s="5">
        <v>2218516301.4099998</v>
      </c>
      <c r="AA3310" s="5">
        <v>78272</v>
      </c>
      <c r="AB3310" s="5" t="s">
        <v>85</v>
      </c>
      <c r="AC3310" s="5">
        <v>1</v>
      </c>
    </row>
    <row r="3311" spans="1:29" x14ac:dyDescent="0.3">
      <c r="A3311" s="34">
        <v>46274</v>
      </c>
      <c r="B3311" s="34">
        <v>46274</v>
      </c>
      <c r="C3311" s="5" t="s">
        <v>78</v>
      </c>
      <c r="D3311" s="5" t="s">
        <v>79</v>
      </c>
      <c r="E3311" s="5" t="s">
        <v>80</v>
      </c>
      <c r="F3311" s="5">
        <v>10321</v>
      </c>
      <c r="G3311" s="5" t="s">
        <v>10032</v>
      </c>
      <c r="H3311" s="5" t="s">
        <v>10033</v>
      </c>
      <c r="I3311" s="5" t="s">
        <v>212</v>
      </c>
      <c r="N3311" s="5" t="s">
        <v>10034</v>
      </c>
      <c r="O3311" s="5">
        <v>976.85</v>
      </c>
      <c r="P3311" s="5">
        <v>1160</v>
      </c>
      <c r="Q3311" s="5">
        <v>880</v>
      </c>
      <c r="R3311" s="5">
        <v>1136.3</v>
      </c>
      <c r="S3311" s="5">
        <v>1155</v>
      </c>
      <c r="T3311" s="5">
        <v>972.75</v>
      </c>
      <c r="V3311" s="5">
        <v>1136.3</v>
      </c>
      <c r="Y3311" s="5">
        <v>59199</v>
      </c>
      <c r="Z3311" s="5">
        <v>63444380.899999999</v>
      </c>
      <c r="AA3311" s="5">
        <v>3261</v>
      </c>
      <c r="AB3311" s="5" t="s">
        <v>85</v>
      </c>
      <c r="AC3311" s="5">
        <v>1</v>
      </c>
    </row>
    <row r="3312" spans="1:29" x14ac:dyDescent="0.3">
      <c r="A3312" s="34">
        <v>46274</v>
      </c>
      <c r="B3312" s="34">
        <v>46274</v>
      </c>
      <c r="C3312" s="5" t="s">
        <v>78</v>
      </c>
      <c r="D3312" s="5" t="s">
        <v>79</v>
      </c>
      <c r="E3312" s="5" t="s">
        <v>80</v>
      </c>
      <c r="F3312" s="5">
        <v>14552</v>
      </c>
      <c r="G3312" s="5" t="s">
        <v>10035</v>
      </c>
      <c r="H3312" s="5" t="s">
        <v>10036</v>
      </c>
      <c r="I3312" s="5" t="s">
        <v>212</v>
      </c>
      <c r="N3312" s="5" t="s">
        <v>10037</v>
      </c>
      <c r="O3312" s="5">
        <v>1892</v>
      </c>
      <c r="P3312" s="5">
        <v>1915.9</v>
      </c>
      <c r="Q3312" s="5">
        <v>1865.2</v>
      </c>
      <c r="R3312" s="5">
        <v>1885.3</v>
      </c>
      <c r="S3312" s="5">
        <v>1885.3</v>
      </c>
      <c r="T3312" s="5">
        <v>1885</v>
      </c>
      <c r="V3312" s="5">
        <v>1885.3</v>
      </c>
      <c r="Y3312" s="5">
        <v>299790</v>
      </c>
      <c r="Z3312" s="5">
        <v>568207562.89999998</v>
      </c>
      <c r="AA3312" s="5">
        <v>24641</v>
      </c>
      <c r="AB3312" s="5" t="s">
        <v>85</v>
      </c>
      <c r="AC3312" s="5">
        <v>1</v>
      </c>
    </row>
    <row r="3313" spans="1:29" x14ac:dyDescent="0.3">
      <c r="A3313" s="34">
        <v>46274</v>
      </c>
      <c r="B3313" s="34">
        <v>46274</v>
      </c>
      <c r="C3313" s="5" t="s">
        <v>78</v>
      </c>
      <c r="D3313" s="5" t="s">
        <v>79</v>
      </c>
      <c r="E3313" s="5" t="s">
        <v>80</v>
      </c>
      <c r="F3313" s="5">
        <v>2043</v>
      </c>
      <c r="G3313" s="5" t="s">
        <v>10038</v>
      </c>
      <c r="H3313" s="5" t="s">
        <v>10039</v>
      </c>
      <c r="I3313" s="5" t="s">
        <v>212</v>
      </c>
      <c r="N3313" s="5" t="s">
        <v>10040</v>
      </c>
      <c r="O3313" s="5">
        <v>871.55</v>
      </c>
      <c r="P3313" s="5">
        <v>876.1</v>
      </c>
      <c r="Q3313" s="5">
        <v>859.2</v>
      </c>
      <c r="R3313" s="5">
        <v>866.85</v>
      </c>
      <c r="S3313" s="5">
        <v>870.9</v>
      </c>
      <c r="T3313" s="5">
        <v>871.45</v>
      </c>
      <c r="V3313" s="5">
        <v>866.8</v>
      </c>
      <c r="Y3313" s="5">
        <v>177473</v>
      </c>
      <c r="Z3313" s="5">
        <v>153894139.55000001</v>
      </c>
      <c r="AA3313" s="5">
        <v>16299</v>
      </c>
      <c r="AB3313" s="5" t="s">
        <v>85</v>
      </c>
      <c r="AC3313" s="5">
        <v>1</v>
      </c>
    </row>
    <row r="3314" spans="1:29" x14ac:dyDescent="0.3">
      <c r="A3314" s="34">
        <v>46274</v>
      </c>
      <c r="B3314" s="34">
        <v>46274</v>
      </c>
      <c r="C3314" s="5" t="s">
        <v>78</v>
      </c>
      <c r="D3314" s="5" t="s">
        <v>79</v>
      </c>
      <c r="E3314" s="5" t="s">
        <v>80</v>
      </c>
      <c r="F3314" s="5">
        <v>2939</v>
      </c>
      <c r="G3314" s="5" t="s">
        <v>10041</v>
      </c>
      <c r="H3314" s="5" t="s">
        <v>10042</v>
      </c>
      <c r="I3314" s="5" t="s">
        <v>212</v>
      </c>
      <c r="N3314" s="5" t="s">
        <v>10043</v>
      </c>
      <c r="O3314" s="5">
        <v>454.8</v>
      </c>
      <c r="P3314" s="5">
        <v>488.3</v>
      </c>
      <c r="Q3314" s="5">
        <v>444.55</v>
      </c>
      <c r="R3314" s="5">
        <v>474.85</v>
      </c>
      <c r="S3314" s="5">
        <v>475</v>
      </c>
      <c r="T3314" s="5">
        <v>450.3</v>
      </c>
      <c r="V3314" s="5">
        <v>474.01</v>
      </c>
      <c r="Y3314" s="5">
        <v>50253</v>
      </c>
      <c r="Z3314" s="5">
        <v>23844914.5</v>
      </c>
      <c r="AA3314" s="5">
        <v>2906</v>
      </c>
      <c r="AB3314" s="5" t="s">
        <v>85</v>
      </c>
      <c r="AC3314" s="5">
        <v>1</v>
      </c>
    </row>
    <row r="3315" spans="1:29" x14ac:dyDescent="0.3">
      <c r="A3315" s="34">
        <v>46274</v>
      </c>
      <c r="B3315" s="34">
        <v>46274</v>
      </c>
      <c r="C3315" s="5" t="s">
        <v>78</v>
      </c>
      <c r="D3315" s="5" t="s">
        <v>79</v>
      </c>
      <c r="E3315" s="5" t="s">
        <v>80</v>
      </c>
      <c r="F3315" s="5">
        <v>5948</v>
      </c>
      <c r="G3315" s="5" t="s">
        <v>10044</v>
      </c>
      <c r="H3315" s="5" t="s">
        <v>10045</v>
      </c>
      <c r="I3315" s="5" t="s">
        <v>212</v>
      </c>
      <c r="N3315" s="5" t="s">
        <v>10046</v>
      </c>
      <c r="O3315" s="5">
        <v>46.51</v>
      </c>
      <c r="P3315" s="5">
        <v>46.96</v>
      </c>
      <c r="Q3315" s="5">
        <v>46.14</v>
      </c>
      <c r="R3315" s="5">
        <v>46.41</v>
      </c>
      <c r="S3315" s="5">
        <v>46.5</v>
      </c>
      <c r="T3315" s="5">
        <v>46.82</v>
      </c>
      <c r="V3315" s="5">
        <v>46.41</v>
      </c>
      <c r="Y3315" s="5">
        <v>8187411</v>
      </c>
      <c r="Z3315" s="5">
        <v>380656345.69</v>
      </c>
      <c r="AA3315" s="5">
        <v>23902</v>
      </c>
      <c r="AB3315" s="5" t="s">
        <v>85</v>
      </c>
      <c r="AC3315" s="5">
        <v>1</v>
      </c>
    </row>
    <row r="3316" spans="1:29" x14ac:dyDescent="0.3">
      <c r="A3316" s="34">
        <v>46274</v>
      </c>
      <c r="B3316" s="34">
        <v>46274</v>
      </c>
      <c r="C3316" s="5" t="s">
        <v>78</v>
      </c>
      <c r="D3316" s="5" t="s">
        <v>79</v>
      </c>
      <c r="E3316" s="5" t="s">
        <v>80</v>
      </c>
      <c r="F3316" s="5">
        <v>10948</v>
      </c>
      <c r="G3316" s="5" t="s">
        <v>10047</v>
      </c>
      <c r="H3316" s="5" t="s">
        <v>10048</v>
      </c>
      <c r="I3316" s="5" t="s">
        <v>212</v>
      </c>
      <c r="N3316" s="5" t="s">
        <v>10049</v>
      </c>
      <c r="O3316" s="5">
        <v>115.5</v>
      </c>
      <c r="P3316" s="5">
        <v>115.5</v>
      </c>
      <c r="Q3316" s="5">
        <v>113.1</v>
      </c>
      <c r="R3316" s="5">
        <v>113.74</v>
      </c>
      <c r="S3316" s="5">
        <v>113.31</v>
      </c>
      <c r="T3316" s="5">
        <v>113.72</v>
      </c>
      <c r="V3316" s="5">
        <v>113.75</v>
      </c>
      <c r="Y3316" s="5">
        <v>11312</v>
      </c>
      <c r="Z3316" s="5">
        <v>1293155.44</v>
      </c>
      <c r="AA3316" s="5">
        <v>273</v>
      </c>
      <c r="AB3316" s="5" t="s">
        <v>85</v>
      </c>
      <c r="AC3316" s="5">
        <v>1</v>
      </c>
    </row>
    <row r="3317" spans="1:29" x14ac:dyDescent="0.3">
      <c r="A3317" s="34">
        <v>46274</v>
      </c>
      <c r="B3317" s="34">
        <v>46274</v>
      </c>
      <c r="C3317" s="5" t="s">
        <v>78</v>
      </c>
      <c r="D3317" s="5" t="s">
        <v>79</v>
      </c>
      <c r="E3317" s="5" t="s">
        <v>80</v>
      </c>
      <c r="F3317" s="5">
        <v>19578</v>
      </c>
      <c r="G3317" s="5" t="s">
        <v>10050</v>
      </c>
      <c r="H3317" s="5" t="s">
        <v>10051</v>
      </c>
      <c r="I3317" s="5" t="s">
        <v>212</v>
      </c>
      <c r="N3317" s="5" t="s">
        <v>10052</v>
      </c>
      <c r="O3317" s="5">
        <v>53.29</v>
      </c>
      <c r="P3317" s="5">
        <v>53.51</v>
      </c>
      <c r="Q3317" s="5">
        <v>50</v>
      </c>
      <c r="R3317" s="5">
        <v>50.49</v>
      </c>
      <c r="S3317" s="5">
        <v>50.51</v>
      </c>
      <c r="T3317" s="5">
        <v>53.29</v>
      </c>
      <c r="V3317" s="5">
        <v>50.5</v>
      </c>
      <c r="Y3317" s="5">
        <v>369523</v>
      </c>
      <c r="Z3317" s="5">
        <v>19129657.68</v>
      </c>
      <c r="AA3317" s="5">
        <v>3163</v>
      </c>
      <c r="AB3317" s="5" t="s">
        <v>85</v>
      </c>
      <c r="AC3317" s="5">
        <v>1</v>
      </c>
    </row>
    <row r="3318" spans="1:29" x14ac:dyDescent="0.3">
      <c r="A3318" s="34">
        <v>46274</v>
      </c>
      <c r="B3318" s="34">
        <v>46274</v>
      </c>
      <c r="C3318" s="5" t="s">
        <v>78</v>
      </c>
      <c r="D3318" s="5" t="s">
        <v>79</v>
      </c>
      <c r="E3318" s="5" t="s">
        <v>80</v>
      </c>
      <c r="F3318" s="5">
        <v>20481</v>
      </c>
      <c r="G3318" s="5" t="s">
        <v>10053</v>
      </c>
      <c r="H3318" s="5" t="s">
        <v>10054</v>
      </c>
      <c r="I3318" s="5" t="s">
        <v>212</v>
      </c>
      <c r="N3318" s="5" t="s">
        <v>10055</v>
      </c>
      <c r="O3318" s="5">
        <v>167.99</v>
      </c>
      <c r="P3318" s="5">
        <v>171.39</v>
      </c>
      <c r="Q3318" s="5">
        <v>167.6</v>
      </c>
      <c r="R3318" s="5">
        <v>169.52</v>
      </c>
      <c r="S3318" s="5">
        <v>169.2</v>
      </c>
      <c r="T3318" s="5">
        <v>167.99</v>
      </c>
      <c r="V3318" s="5">
        <v>169.52</v>
      </c>
      <c r="Y3318" s="5">
        <v>839</v>
      </c>
      <c r="Z3318" s="5">
        <v>141627.18</v>
      </c>
      <c r="AA3318" s="5">
        <v>21</v>
      </c>
      <c r="AB3318" s="5" t="s">
        <v>85</v>
      </c>
      <c r="AC3318" s="5">
        <v>1</v>
      </c>
    </row>
    <row r="3319" spans="1:29" x14ac:dyDescent="0.3">
      <c r="A3319" s="34">
        <v>46274</v>
      </c>
      <c r="B3319" s="34">
        <v>46274</v>
      </c>
      <c r="C3319" s="5" t="s">
        <v>78</v>
      </c>
      <c r="D3319" s="5" t="s">
        <v>79</v>
      </c>
      <c r="E3319" s="5" t="s">
        <v>80</v>
      </c>
      <c r="F3319" s="5">
        <v>19279</v>
      </c>
      <c r="G3319" s="5" t="s">
        <v>10056</v>
      </c>
      <c r="H3319" s="5" t="s">
        <v>10057</v>
      </c>
      <c r="I3319" s="5" t="s">
        <v>212</v>
      </c>
      <c r="N3319" s="5" t="s">
        <v>10058</v>
      </c>
      <c r="O3319" s="5">
        <v>2149.9</v>
      </c>
      <c r="P3319" s="5">
        <v>2175.8000000000002</v>
      </c>
      <c r="Q3319" s="5">
        <v>2095</v>
      </c>
      <c r="R3319" s="5">
        <v>2150.1</v>
      </c>
      <c r="S3319" s="5">
        <v>2148</v>
      </c>
      <c r="T3319" s="5">
        <v>2134.1</v>
      </c>
      <c r="V3319" s="5">
        <v>2150.1</v>
      </c>
      <c r="Y3319" s="5">
        <v>5976</v>
      </c>
      <c r="Z3319" s="5">
        <v>12785063.5</v>
      </c>
      <c r="AA3319" s="5">
        <v>921</v>
      </c>
      <c r="AB3319" s="5" t="s">
        <v>85</v>
      </c>
      <c r="AC3319" s="5">
        <v>1</v>
      </c>
    </row>
    <row r="3320" spans="1:29" x14ac:dyDescent="0.3">
      <c r="A3320" s="34">
        <v>46274</v>
      </c>
      <c r="B3320" s="34">
        <v>46274</v>
      </c>
      <c r="C3320" s="5" t="s">
        <v>78</v>
      </c>
      <c r="D3320" s="5" t="s">
        <v>79</v>
      </c>
      <c r="E3320" s="5" t="s">
        <v>80</v>
      </c>
      <c r="F3320" s="5">
        <v>14485</v>
      </c>
      <c r="G3320" s="5" t="s">
        <v>10059</v>
      </c>
      <c r="H3320" s="5" t="s">
        <v>10060</v>
      </c>
      <c r="I3320" s="5" t="s">
        <v>212</v>
      </c>
      <c r="N3320" s="5" t="s">
        <v>10061</v>
      </c>
      <c r="O3320" s="5">
        <v>131.75</v>
      </c>
      <c r="P3320" s="5">
        <v>136.19999999999999</v>
      </c>
      <c r="Q3320" s="5">
        <v>130.94</v>
      </c>
      <c r="R3320" s="5">
        <v>132.71</v>
      </c>
      <c r="S3320" s="5">
        <v>132.80000000000001</v>
      </c>
      <c r="T3320" s="5">
        <v>132.16999999999999</v>
      </c>
      <c r="V3320" s="5">
        <v>132.69999999999999</v>
      </c>
      <c r="Y3320" s="5">
        <v>305033</v>
      </c>
      <c r="Z3320" s="5">
        <v>40842817.859999999</v>
      </c>
      <c r="AA3320" s="5">
        <v>5492</v>
      </c>
      <c r="AB3320" s="5" t="s">
        <v>85</v>
      </c>
      <c r="AC3320" s="5">
        <v>1</v>
      </c>
    </row>
    <row r="3321" spans="1:29" x14ac:dyDescent="0.3">
      <c r="A3321" s="34">
        <v>46274</v>
      </c>
      <c r="B3321" s="34">
        <v>46274</v>
      </c>
      <c r="C3321" s="5" t="s">
        <v>78</v>
      </c>
      <c r="D3321" s="5" t="s">
        <v>79</v>
      </c>
      <c r="E3321" s="5" t="s">
        <v>80</v>
      </c>
      <c r="F3321" s="5">
        <v>3475</v>
      </c>
      <c r="G3321" s="5" t="s">
        <v>10062</v>
      </c>
      <c r="H3321" s="5" t="s">
        <v>10063</v>
      </c>
      <c r="I3321" s="5" t="s">
        <v>212</v>
      </c>
      <c r="N3321" s="5" t="s">
        <v>10064</v>
      </c>
      <c r="O3321" s="5">
        <v>3631.8</v>
      </c>
      <c r="P3321" s="5">
        <v>3702</v>
      </c>
      <c r="Q3321" s="5">
        <v>3614.2</v>
      </c>
      <c r="R3321" s="5">
        <v>3638.6</v>
      </c>
      <c r="S3321" s="5">
        <v>3637.5</v>
      </c>
      <c r="T3321" s="5">
        <v>3629.6</v>
      </c>
      <c r="V3321" s="5">
        <v>3638.54</v>
      </c>
      <c r="Y3321" s="5">
        <v>140751</v>
      </c>
      <c r="Z3321" s="5">
        <v>513180890.39999998</v>
      </c>
      <c r="AA3321" s="5">
        <v>28126</v>
      </c>
      <c r="AB3321" s="5" t="s">
        <v>85</v>
      </c>
      <c r="AC3321" s="5">
        <v>1</v>
      </c>
    </row>
    <row r="3322" spans="1:29" x14ac:dyDescent="0.3">
      <c r="A3322" s="34">
        <v>46274</v>
      </c>
      <c r="B3322" s="34">
        <v>46274</v>
      </c>
      <c r="C3322" s="5" t="s">
        <v>78</v>
      </c>
      <c r="D3322" s="5" t="s">
        <v>79</v>
      </c>
      <c r="E3322" s="5" t="s">
        <v>80</v>
      </c>
      <c r="F3322" s="5">
        <v>25651</v>
      </c>
      <c r="G3322" s="5" t="s">
        <v>10065</v>
      </c>
      <c r="H3322" s="5" t="s">
        <v>10066</v>
      </c>
      <c r="I3322" s="5" t="s">
        <v>392</v>
      </c>
      <c r="N3322" s="5" t="s">
        <v>10067</v>
      </c>
      <c r="O3322" s="5">
        <v>14.6</v>
      </c>
      <c r="P3322" s="5">
        <v>14.6</v>
      </c>
      <c r="Q3322" s="5">
        <v>14.6</v>
      </c>
      <c r="R3322" s="5">
        <v>14.6</v>
      </c>
      <c r="S3322" s="5">
        <v>14.6</v>
      </c>
      <c r="T3322" s="5">
        <v>14.6</v>
      </c>
      <c r="V3322" s="5">
        <v>14.6</v>
      </c>
      <c r="Y3322" s="5">
        <v>3000</v>
      </c>
      <c r="Z3322" s="5">
        <v>43800</v>
      </c>
      <c r="AA3322" s="5">
        <v>1</v>
      </c>
      <c r="AB3322" s="5" t="s">
        <v>85</v>
      </c>
      <c r="AC3322" s="5">
        <v>3000</v>
      </c>
    </row>
    <row r="3323" spans="1:29" x14ac:dyDescent="0.3">
      <c r="A3323" s="34">
        <v>46274</v>
      </c>
      <c r="B3323" s="34">
        <v>46274</v>
      </c>
      <c r="C3323" s="5" t="s">
        <v>78</v>
      </c>
      <c r="D3323" s="5" t="s">
        <v>79</v>
      </c>
      <c r="E3323" s="5" t="s">
        <v>80</v>
      </c>
      <c r="F3323" s="5">
        <v>3496</v>
      </c>
      <c r="G3323" s="5" t="s">
        <v>10068</v>
      </c>
      <c r="H3323" s="5" t="s">
        <v>10069</v>
      </c>
      <c r="I3323" s="5" t="s">
        <v>212</v>
      </c>
      <c r="N3323" s="5" t="s">
        <v>10070</v>
      </c>
      <c r="O3323" s="5">
        <v>158.49</v>
      </c>
      <c r="P3323" s="5">
        <v>161</v>
      </c>
      <c r="Q3323" s="5">
        <v>156.71</v>
      </c>
      <c r="R3323" s="5">
        <v>157.81</v>
      </c>
      <c r="S3323" s="5">
        <v>157.84</v>
      </c>
      <c r="T3323" s="5">
        <v>157.9</v>
      </c>
      <c r="V3323" s="5">
        <v>157.81</v>
      </c>
      <c r="Y3323" s="5">
        <v>339118</v>
      </c>
      <c r="Z3323" s="5">
        <v>53799234.039999999</v>
      </c>
      <c r="AA3323" s="5">
        <v>5867</v>
      </c>
      <c r="AB3323" s="5" t="s">
        <v>85</v>
      </c>
      <c r="AC3323" s="5">
        <v>1</v>
      </c>
    </row>
    <row r="3324" spans="1:29" x14ac:dyDescent="0.3">
      <c r="A3324" s="34">
        <v>46274</v>
      </c>
      <c r="B3324" s="34">
        <v>46274</v>
      </c>
      <c r="C3324" s="5" t="s">
        <v>78</v>
      </c>
      <c r="D3324" s="5" t="s">
        <v>79</v>
      </c>
      <c r="E3324" s="5" t="s">
        <v>80</v>
      </c>
      <c r="F3324" s="5">
        <v>3481</v>
      </c>
      <c r="G3324" s="5" t="s">
        <v>10071</v>
      </c>
      <c r="H3324" s="5" t="s">
        <v>30</v>
      </c>
      <c r="I3324" s="5" t="s">
        <v>212</v>
      </c>
      <c r="N3324" s="5" t="s">
        <v>10072</v>
      </c>
      <c r="O3324" s="5">
        <v>110</v>
      </c>
      <c r="P3324" s="5">
        <v>110</v>
      </c>
      <c r="Q3324" s="5">
        <v>107.5</v>
      </c>
      <c r="R3324" s="5">
        <v>109.13</v>
      </c>
      <c r="S3324" s="5">
        <v>108.99</v>
      </c>
      <c r="T3324" s="5">
        <v>109.91</v>
      </c>
      <c r="V3324" s="5">
        <v>109.13</v>
      </c>
      <c r="Y3324" s="5">
        <v>809014</v>
      </c>
      <c r="Z3324" s="5">
        <v>87860955.25</v>
      </c>
      <c r="AA3324" s="5">
        <v>6708</v>
      </c>
      <c r="AB3324" s="5" t="s">
        <v>85</v>
      </c>
      <c r="AC3324" s="5">
        <v>1</v>
      </c>
    </row>
    <row r="3325" spans="1:29" x14ac:dyDescent="0.3">
      <c r="A3325" s="34">
        <v>46274</v>
      </c>
      <c r="B3325" s="34">
        <v>46274</v>
      </c>
      <c r="C3325" s="5" t="s">
        <v>78</v>
      </c>
      <c r="D3325" s="5" t="s">
        <v>79</v>
      </c>
      <c r="E3325" s="5" t="s">
        <v>80</v>
      </c>
      <c r="F3325" s="5">
        <v>31017</v>
      </c>
      <c r="G3325" s="5" t="s">
        <v>10073</v>
      </c>
      <c r="H3325" s="5" t="s">
        <v>10074</v>
      </c>
      <c r="I3325" s="5" t="s">
        <v>212</v>
      </c>
      <c r="N3325" s="5" t="s">
        <v>10075</v>
      </c>
      <c r="O3325" s="5">
        <v>256.5</v>
      </c>
      <c r="P3325" s="5">
        <v>257.89999999999998</v>
      </c>
      <c r="Q3325" s="5">
        <v>249</v>
      </c>
      <c r="R3325" s="5">
        <v>250.6</v>
      </c>
      <c r="S3325" s="5">
        <v>250.1</v>
      </c>
      <c r="T3325" s="5">
        <v>255.3</v>
      </c>
      <c r="V3325" s="5">
        <v>250.61</v>
      </c>
      <c r="Y3325" s="5">
        <v>69512</v>
      </c>
      <c r="Z3325" s="5">
        <v>17563183.449999999</v>
      </c>
      <c r="AA3325" s="5">
        <v>2013</v>
      </c>
      <c r="AB3325" s="5" t="s">
        <v>85</v>
      </c>
      <c r="AC3325" s="5">
        <v>1</v>
      </c>
    </row>
    <row r="3326" spans="1:29" x14ac:dyDescent="0.3">
      <c r="A3326" s="34">
        <v>46274</v>
      </c>
      <c r="B3326" s="34">
        <v>46274</v>
      </c>
      <c r="C3326" s="5" t="s">
        <v>78</v>
      </c>
      <c r="D3326" s="5" t="s">
        <v>79</v>
      </c>
      <c r="E3326" s="5" t="s">
        <v>80</v>
      </c>
      <c r="F3326" s="5">
        <v>17032</v>
      </c>
      <c r="G3326" s="5" t="s">
        <v>10076</v>
      </c>
      <c r="H3326" s="5" t="s">
        <v>10077</v>
      </c>
      <c r="I3326" s="5" t="s">
        <v>212</v>
      </c>
      <c r="N3326" s="5" t="s">
        <v>10078</v>
      </c>
      <c r="O3326" s="5">
        <v>569.45000000000005</v>
      </c>
      <c r="P3326" s="5">
        <v>574.04999999999995</v>
      </c>
      <c r="Q3326" s="5">
        <v>564.1</v>
      </c>
      <c r="R3326" s="5">
        <v>566.85</v>
      </c>
      <c r="S3326" s="5">
        <v>569.4</v>
      </c>
      <c r="T3326" s="5">
        <v>569.45000000000005</v>
      </c>
      <c r="V3326" s="5">
        <v>566.88</v>
      </c>
      <c r="Y3326" s="5">
        <v>171583</v>
      </c>
      <c r="Z3326" s="5">
        <v>97461926.25</v>
      </c>
      <c r="AA3326" s="5">
        <v>15356</v>
      </c>
      <c r="AB3326" s="5" t="s">
        <v>85</v>
      </c>
      <c r="AC3326" s="5">
        <v>1</v>
      </c>
    </row>
    <row r="3327" spans="1:29" x14ac:dyDescent="0.3">
      <c r="A3327" s="34">
        <v>46274</v>
      </c>
      <c r="B3327" s="34">
        <v>46274</v>
      </c>
      <c r="C3327" s="5" t="s">
        <v>78</v>
      </c>
      <c r="D3327" s="5" t="s">
        <v>79</v>
      </c>
      <c r="E3327" s="5" t="s">
        <v>80</v>
      </c>
      <c r="F3327" s="5">
        <v>759176</v>
      </c>
      <c r="G3327" s="5" t="s">
        <v>10079</v>
      </c>
      <c r="H3327" s="5" t="s">
        <v>10080</v>
      </c>
      <c r="I3327" s="5" t="s">
        <v>212</v>
      </c>
      <c r="N3327" s="5" t="s">
        <v>10081</v>
      </c>
      <c r="O3327" s="5">
        <v>27.82</v>
      </c>
      <c r="P3327" s="5">
        <v>28.86</v>
      </c>
      <c r="Q3327" s="5">
        <v>27.1</v>
      </c>
      <c r="R3327" s="5">
        <v>27.36</v>
      </c>
      <c r="S3327" s="5">
        <v>27.48</v>
      </c>
      <c r="T3327" s="5">
        <v>27.82</v>
      </c>
      <c r="V3327" s="5">
        <v>27.37</v>
      </c>
      <c r="Y3327" s="5">
        <v>71997</v>
      </c>
      <c r="Z3327" s="5">
        <v>1992341.33</v>
      </c>
      <c r="AA3327" s="5">
        <v>613</v>
      </c>
      <c r="AB3327" s="5" t="s">
        <v>85</v>
      </c>
      <c r="AC3327" s="5">
        <v>1</v>
      </c>
    </row>
    <row r="3328" spans="1:29" x14ac:dyDescent="0.3">
      <c r="A3328" s="34">
        <v>46274</v>
      </c>
      <c r="B3328" s="34">
        <v>46274</v>
      </c>
      <c r="C3328" s="5" t="s">
        <v>78</v>
      </c>
      <c r="D3328" s="5" t="s">
        <v>79</v>
      </c>
      <c r="E3328" s="5" t="s">
        <v>80</v>
      </c>
      <c r="F3328" s="5">
        <v>25486</v>
      </c>
      <c r="G3328" s="5" t="s">
        <v>10082</v>
      </c>
      <c r="H3328" s="5" t="s">
        <v>10083</v>
      </c>
      <c r="I3328" s="5" t="s">
        <v>234</v>
      </c>
      <c r="N3328" s="5" t="s">
        <v>10084</v>
      </c>
      <c r="O3328" s="5">
        <v>8.19</v>
      </c>
      <c r="P3328" s="5">
        <v>8.19</v>
      </c>
      <c r="Q3328" s="5">
        <v>8.19</v>
      </c>
      <c r="R3328" s="5">
        <v>8.19</v>
      </c>
      <c r="S3328" s="5">
        <v>8.19</v>
      </c>
      <c r="T3328" s="5">
        <v>8.6199999999999992</v>
      </c>
      <c r="V3328" s="5">
        <v>8.19</v>
      </c>
      <c r="Y3328" s="5">
        <v>31244</v>
      </c>
      <c r="Z3328" s="5">
        <v>255888.36</v>
      </c>
      <c r="AA3328" s="5">
        <v>46</v>
      </c>
      <c r="AB3328" s="5" t="s">
        <v>85</v>
      </c>
      <c r="AC3328" s="5">
        <v>1</v>
      </c>
    </row>
    <row r="3329" spans="1:29" x14ac:dyDescent="0.3">
      <c r="A3329" s="34">
        <v>46274</v>
      </c>
      <c r="B3329" s="34">
        <v>46274</v>
      </c>
      <c r="C3329" s="5" t="s">
        <v>78</v>
      </c>
      <c r="D3329" s="5" t="s">
        <v>79</v>
      </c>
      <c r="E3329" s="5" t="s">
        <v>80</v>
      </c>
      <c r="F3329" s="5">
        <v>9802</v>
      </c>
      <c r="G3329" s="5" t="s">
        <v>10085</v>
      </c>
      <c r="H3329" s="5" t="s">
        <v>10086</v>
      </c>
      <c r="I3329" s="5" t="s">
        <v>234</v>
      </c>
      <c r="N3329" s="5" t="s">
        <v>10087</v>
      </c>
      <c r="O3329" s="5">
        <v>250</v>
      </c>
      <c r="P3329" s="5">
        <v>255</v>
      </c>
      <c r="Q3329" s="5">
        <v>248.1</v>
      </c>
      <c r="R3329" s="5">
        <v>248.97</v>
      </c>
      <c r="S3329" s="5">
        <v>250</v>
      </c>
      <c r="T3329" s="5">
        <v>250.64</v>
      </c>
      <c r="V3329" s="5">
        <v>249.45</v>
      </c>
      <c r="Y3329" s="5">
        <v>41106</v>
      </c>
      <c r="Z3329" s="5">
        <v>10297168.449999999</v>
      </c>
      <c r="AA3329" s="5">
        <v>298</v>
      </c>
      <c r="AB3329" s="5" t="s">
        <v>85</v>
      </c>
      <c r="AC3329" s="5">
        <v>1</v>
      </c>
    </row>
    <row r="3330" spans="1:29" x14ac:dyDescent="0.3">
      <c r="A3330" s="34">
        <v>46274</v>
      </c>
      <c r="B3330" s="34">
        <v>46274</v>
      </c>
      <c r="C3330" s="5" t="s">
        <v>78</v>
      </c>
      <c r="D3330" s="5" t="s">
        <v>79</v>
      </c>
      <c r="E3330" s="5" t="s">
        <v>80</v>
      </c>
      <c r="F3330" s="5">
        <v>19196</v>
      </c>
      <c r="G3330" s="5" t="s">
        <v>10088</v>
      </c>
      <c r="H3330" s="5" t="s">
        <v>10089</v>
      </c>
      <c r="I3330" s="5" t="s">
        <v>212</v>
      </c>
      <c r="N3330" s="5" t="s">
        <v>10090</v>
      </c>
      <c r="O3330" s="5">
        <v>540.45000000000005</v>
      </c>
      <c r="P3330" s="5">
        <v>540.85</v>
      </c>
      <c r="Q3330" s="5">
        <v>526.79999999999995</v>
      </c>
      <c r="R3330" s="5">
        <v>530.9</v>
      </c>
      <c r="S3330" s="5">
        <v>528</v>
      </c>
      <c r="T3330" s="5">
        <v>540.35</v>
      </c>
      <c r="V3330" s="5">
        <v>530.85</v>
      </c>
      <c r="Y3330" s="5">
        <v>653479</v>
      </c>
      <c r="Z3330" s="5">
        <v>348989503.60000002</v>
      </c>
      <c r="AA3330" s="5">
        <v>16666</v>
      </c>
      <c r="AB3330" s="5" t="s">
        <v>85</v>
      </c>
      <c r="AC3330" s="5">
        <v>1</v>
      </c>
    </row>
    <row r="3331" spans="1:29" x14ac:dyDescent="0.3">
      <c r="A3331" s="34">
        <v>46274</v>
      </c>
      <c r="B3331" s="34">
        <v>46274</v>
      </c>
      <c r="C3331" s="5" t="s">
        <v>78</v>
      </c>
      <c r="D3331" s="5" t="s">
        <v>79</v>
      </c>
      <c r="E3331" s="5" t="s">
        <v>80</v>
      </c>
      <c r="F3331" s="5">
        <v>14707</v>
      </c>
      <c r="G3331" s="5" t="s">
        <v>10091</v>
      </c>
      <c r="H3331" s="5" t="s">
        <v>10092</v>
      </c>
      <c r="I3331" s="5" t="s">
        <v>212</v>
      </c>
      <c r="N3331" s="5" t="s">
        <v>10093</v>
      </c>
      <c r="O3331" s="5">
        <v>186.24</v>
      </c>
      <c r="P3331" s="5">
        <v>189.2</v>
      </c>
      <c r="Q3331" s="5">
        <v>184.5</v>
      </c>
      <c r="R3331" s="5">
        <v>184.99</v>
      </c>
      <c r="S3331" s="5">
        <v>185.47</v>
      </c>
      <c r="T3331" s="5">
        <v>186.54</v>
      </c>
      <c r="V3331" s="5">
        <v>185.16</v>
      </c>
      <c r="Y3331" s="5">
        <v>1710617</v>
      </c>
      <c r="Z3331" s="5">
        <v>319568932.60000002</v>
      </c>
      <c r="AA3331" s="5">
        <v>16121</v>
      </c>
      <c r="AB3331" s="5" t="s">
        <v>85</v>
      </c>
      <c r="AC3331" s="5">
        <v>1</v>
      </c>
    </row>
    <row r="3332" spans="1:29" x14ac:dyDescent="0.3">
      <c r="A3332" s="34">
        <v>46274</v>
      </c>
      <c r="B3332" s="34">
        <v>46274</v>
      </c>
      <c r="C3332" s="5" t="s">
        <v>78</v>
      </c>
      <c r="D3332" s="5" t="s">
        <v>79</v>
      </c>
      <c r="E3332" s="5" t="s">
        <v>80</v>
      </c>
      <c r="F3332" s="5">
        <v>7800</v>
      </c>
      <c r="G3332" s="5" t="s">
        <v>10094</v>
      </c>
      <c r="H3332" s="5" t="s">
        <v>10095</v>
      </c>
      <c r="I3332" s="5" t="s">
        <v>313</v>
      </c>
      <c r="N3332" s="5" t="s">
        <v>10096</v>
      </c>
      <c r="O3332" s="5">
        <v>39.5</v>
      </c>
      <c r="P3332" s="5">
        <v>39.5</v>
      </c>
      <c r="Q3332" s="5">
        <v>39.5</v>
      </c>
      <c r="R3332" s="5">
        <v>39.5</v>
      </c>
      <c r="S3332" s="5">
        <v>39.5</v>
      </c>
      <c r="T3332" s="5">
        <v>39.5</v>
      </c>
      <c r="V3332" s="5">
        <v>39.5</v>
      </c>
      <c r="Y3332" s="5">
        <v>6000</v>
      </c>
      <c r="Z3332" s="5">
        <v>237000</v>
      </c>
      <c r="AA3332" s="5">
        <v>2</v>
      </c>
      <c r="AB3332" s="5" t="s">
        <v>85</v>
      </c>
      <c r="AC3332" s="5">
        <v>2000</v>
      </c>
    </row>
    <row r="3333" spans="1:29" x14ac:dyDescent="0.3">
      <c r="A3333" s="34">
        <v>46274</v>
      </c>
      <c r="B3333" s="34">
        <v>46274</v>
      </c>
      <c r="C3333" s="5" t="s">
        <v>78</v>
      </c>
      <c r="D3333" s="5" t="s">
        <v>79</v>
      </c>
      <c r="E3333" s="5" t="s">
        <v>80</v>
      </c>
      <c r="F3333" s="5">
        <v>762954</v>
      </c>
      <c r="G3333" s="5" t="s">
        <v>10097</v>
      </c>
      <c r="H3333" s="5" t="s">
        <v>10098</v>
      </c>
      <c r="I3333" s="5" t="s">
        <v>212</v>
      </c>
      <c r="N3333" s="5" t="s">
        <v>10099</v>
      </c>
      <c r="O3333" s="5">
        <v>605.1</v>
      </c>
      <c r="P3333" s="5">
        <v>632.5</v>
      </c>
      <c r="Q3333" s="5">
        <v>603.75</v>
      </c>
      <c r="R3333" s="5">
        <v>623.35</v>
      </c>
      <c r="S3333" s="5">
        <v>625.20000000000005</v>
      </c>
      <c r="T3333" s="5">
        <v>607.1</v>
      </c>
      <c r="V3333" s="5">
        <v>623.38</v>
      </c>
      <c r="Y3333" s="5">
        <v>313646</v>
      </c>
      <c r="Z3333" s="5">
        <v>195151850.55000001</v>
      </c>
      <c r="AA3333" s="5">
        <v>19881</v>
      </c>
      <c r="AB3333" s="5" t="s">
        <v>85</v>
      </c>
      <c r="AC3333" s="5">
        <v>1</v>
      </c>
    </row>
    <row r="3334" spans="1:29" x14ac:dyDescent="0.3">
      <c r="A3334" s="34">
        <v>46274</v>
      </c>
      <c r="B3334" s="34">
        <v>46274</v>
      </c>
      <c r="C3334" s="5" t="s">
        <v>78</v>
      </c>
      <c r="D3334" s="5" t="s">
        <v>79</v>
      </c>
      <c r="E3334" s="5" t="s">
        <v>80</v>
      </c>
      <c r="F3334" s="5">
        <v>14198</v>
      </c>
      <c r="G3334" s="5" t="s">
        <v>10100</v>
      </c>
      <c r="H3334" s="5" t="s">
        <v>10101</v>
      </c>
      <c r="I3334" s="5" t="s">
        <v>212</v>
      </c>
      <c r="N3334" s="5" t="s">
        <v>10102</v>
      </c>
      <c r="O3334" s="5">
        <v>3090</v>
      </c>
      <c r="P3334" s="5">
        <v>3208</v>
      </c>
      <c r="Q3334" s="5">
        <v>3087.2</v>
      </c>
      <c r="R3334" s="5">
        <v>3173.4</v>
      </c>
      <c r="S3334" s="5">
        <v>3184.6</v>
      </c>
      <c r="T3334" s="5">
        <v>3098.9</v>
      </c>
      <c r="V3334" s="5">
        <v>3173.51</v>
      </c>
      <c r="Y3334" s="5">
        <v>30907</v>
      </c>
      <c r="Z3334" s="5">
        <v>97540461.900000006</v>
      </c>
      <c r="AA3334" s="5">
        <v>6836</v>
      </c>
      <c r="AB3334" s="5" t="s">
        <v>85</v>
      </c>
      <c r="AC3334" s="5">
        <v>1</v>
      </c>
    </row>
    <row r="3335" spans="1:29" x14ac:dyDescent="0.3">
      <c r="A3335" s="34">
        <v>46274</v>
      </c>
      <c r="B3335" s="34">
        <v>46274</v>
      </c>
      <c r="C3335" s="5" t="s">
        <v>78</v>
      </c>
      <c r="D3335" s="5" t="s">
        <v>79</v>
      </c>
      <c r="E3335" s="5" t="s">
        <v>80</v>
      </c>
      <c r="F3335" s="5">
        <v>756020</v>
      </c>
      <c r="G3335" s="5" t="s">
        <v>10103</v>
      </c>
      <c r="H3335" s="5" t="s">
        <v>10104</v>
      </c>
      <c r="I3335" s="5" t="s">
        <v>212</v>
      </c>
      <c r="N3335" s="5" t="s">
        <v>10105</v>
      </c>
      <c r="O3335" s="5">
        <v>1025.6500000000001</v>
      </c>
      <c r="P3335" s="5">
        <v>1111</v>
      </c>
      <c r="Q3335" s="5">
        <v>1011.05</v>
      </c>
      <c r="R3335" s="5">
        <v>1047.9000000000001</v>
      </c>
      <c r="S3335" s="5">
        <v>1046</v>
      </c>
      <c r="T3335" s="5">
        <v>1019</v>
      </c>
      <c r="V3335" s="5">
        <v>1047.9100000000001</v>
      </c>
      <c r="Y3335" s="5">
        <v>221674</v>
      </c>
      <c r="Z3335" s="5">
        <v>236446977.44999999</v>
      </c>
      <c r="AA3335" s="5">
        <v>16846</v>
      </c>
      <c r="AB3335" s="5" t="s">
        <v>85</v>
      </c>
      <c r="AC3335" s="5">
        <v>1</v>
      </c>
    </row>
    <row r="3336" spans="1:29" x14ac:dyDescent="0.3">
      <c r="A3336" s="34">
        <v>46274</v>
      </c>
      <c r="B3336" s="34">
        <v>46274</v>
      </c>
      <c r="C3336" s="5" t="s">
        <v>78</v>
      </c>
      <c r="D3336" s="5" t="s">
        <v>79</v>
      </c>
      <c r="E3336" s="5" t="s">
        <v>80</v>
      </c>
      <c r="F3336" s="5">
        <v>11374</v>
      </c>
      <c r="G3336" s="5" t="s">
        <v>10106</v>
      </c>
      <c r="H3336" s="5" t="s">
        <v>10107</v>
      </c>
      <c r="I3336" s="5" t="s">
        <v>212</v>
      </c>
      <c r="N3336" s="5" t="s">
        <v>10108</v>
      </c>
      <c r="O3336" s="5">
        <v>336</v>
      </c>
      <c r="P3336" s="5">
        <v>337.45</v>
      </c>
      <c r="Q3336" s="5">
        <v>326</v>
      </c>
      <c r="R3336" s="5">
        <v>326.64999999999998</v>
      </c>
      <c r="S3336" s="5">
        <v>326.5</v>
      </c>
      <c r="T3336" s="5">
        <v>331.1</v>
      </c>
      <c r="V3336" s="5">
        <v>326.64999999999998</v>
      </c>
      <c r="Y3336" s="5">
        <v>3246</v>
      </c>
      <c r="Z3336" s="5">
        <v>1072877.5</v>
      </c>
      <c r="AA3336" s="5">
        <v>176</v>
      </c>
      <c r="AB3336" s="5" t="s">
        <v>85</v>
      </c>
      <c r="AC3336" s="5">
        <v>1</v>
      </c>
    </row>
    <row r="3337" spans="1:29" x14ac:dyDescent="0.3">
      <c r="A3337" s="34">
        <v>46274</v>
      </c>
      <c r="B3337" s="34">
        <v>46274</v>
      </c>
      <c r="C3337" s="5" t="s">
        <v>78</v>
      </c>
      <c r="D3337" s="5" t="s">
        <v>79</v>
      </c>
      <c r="E3337" s="5" t="s">
        <v>80</v>
      </c>
      <c r="F3337" s="5">
        <v>9117</v>
      </c>
      <c r="G3337" s="5" t="s">
        <v>10109</v>
      </c>
      <c r="H3337" s="5" t="s">
        <v>10110</v>
      </c>
      <c r="I3337" s="5" t="s">
        <v>212</v>
      </c>
      <c r="N3337" s="5" t="s">
        <v>10111</v>
      </c>
      <c r="O3337" s="5">
        <v>644</v>
      </c>
      <c r="P3337" s="5">
        <v>654.85</v>
      </c>
      <c r="Q3337" s="5">
        <v>638.20000000000005</v>
      </c>
      <c r="R3337" s="5">
        <v>650.79999999999995</v>
      </c>
      <c r="S3337" s="5">
        <v>650.85</v>
      </c>
      <c r="T3337" s="5">
        <v>644.9</v>
      </c>
      <c r="V3337" s="5">
        <v>650.78</v>
      </c>
      <c r="Y3337" s="5">
        <v>162290</v>
      </c>
      <c r="Z3337" s="5">
        <v>105444180.3</v>
      </c>
      <c r="AA3337" s="5">
        <v>11913</v>
      </c>
      <c r="AB3337" s="5" t="s">
        <v>85</v>
      </c>
      <c r="AC3337" s="5">
        <v>1</v>
      </c>
    </row>
    <row r="3338" spans="1:29" x14ac:dyDescent="0.3">
      <c r="A3338" s="34">
        <v>46274</v>
      </c>
      <c r="B3338" s="34">
        <v>46274</v>
      </c>
      <c r="C3338" s="5" t="s">
        <v>78</v>
      </c>
      <c r="D3338" s="5" t="s">
        <v>79</v>
      </c>
      <c r="E3338" s="5" t="s">
        <v>80</v>
      </c>
      <c r="F3338" s="5">
        <v>22284</v>
      </c>
      <c r="G3338" s="5" t="s">
        <v>10112</v>
      </c>
      <c r="H3338" s="5" t="s">
        <v>10113</v>
      </c>
      <c r="I3338" s="5" t="s">
        <v>234</v>
      </c>
      <c r="N3338" s="5" t="s">
        <v>10114</v>
      </c>
      <c r="O3338" s="5">
        <v>69.31</v>
      </c>
      <c r="P3338" s="5">
        <v>70.650000000000006</v>
      </c>
      <c r="Q3338" s="5">
        <v>68.599999999999994</v>
      </c>
      <c r="R3338" s="5">
        <v>69.290000000000006</v>
      </c>
      <c r="S3338" s="5">
        <v>69.09</v>
      </c>
      <c r="T3338" s="5">
        <v>70.02</v>
      </c>
      <c r="V3338" s="5">
        <v>69.290000000000006</v>
      </c>
      <c r="Y3338" s="5">
        <v>138698</v>
      </c>
      <c r="Z3338" s="5">
        <v>9630635.8000000007</v>
      </c>
      <c r="AA3338" s="5">
        <v>766</v>
      </c>
      <c r="AB3338" s="5" t="s">
        <v>85</v>
      </c>
      <c r="AC3338" s="5">
        <v>1</v>
      </c>
    </row>
    <row r="3339" spans="1:29" x14ac:dyDescent="0.3">
      <c r="A3339" s="34">
        <v>46274</v>
      </c>
      <c r="B3339" s="34">
        <v>46274</v>
      </c>
      <c r="C3339" s="5" t="s">
        <v>78</v>
      </c>
      <c r="D3339" s="5" t="s">
        <v>79</v>
      </c>
      <c r="E3339" s="5" t="s">
        <v>80</v>
      </c>
      <c r="F3339" s="5">
        <v>15414</v>
      </c>
      <c r="G3339" s="5" t="s">
        <v>10115</v>
      </c>
      <c r="H3339" s="5" t="s">
        <v>31</v>
      </c>
      <c r="I3339" s="5" t="s">
        <v>212</v>
      </c>
      <c r="N3339" s="5" t="s">
        <v>10116</v>
      </c>
      <c r="O3339" s="5">
        <v>881</v>
      </c>
      <c r="P3339" s="5">
        <v>904.8</v>
      </c>
      <c r="Q3339" s="5">
        <v>873.15</v>
      </c>
      <c r="R3339" s="5">
        <v>876.35</v>
      </c>
      <c r="S3339" s="5">
        <v>876.3</v>
      </c>
      <c r="T3339" s="5">
        <v>880.8</v>
      </c>
      <c r="V3339" s="5">
        <v>876.41</v>
      </c>
      <c r="Y3339" s="5">
        <v>869717</v>
      </c>
      <c r="Z3339" s="5">
        <v>774741470.25</v>
      </c>
      <c r="AA3339" s="5">
        <v>31258</v>
      </c>
      <c r="AB3339" s="5" t="s">
        <v>85</v>
      </c>
      <c r="AC3339" s="5">
        <v>1</v>
      </c>
    </row>
    <row r="3340" spans="1:29" x14ac:dyDescent="0.3">
      <c r="A3340" s="34">
        <v>46274</v>
      </c>
      <c r="B3340" s="34">
        <v>46274</v>
      </c>
      <c r="C3340" s="5" t="s">
        <v>78</v>
      </c>
      <c r="D3340" s="5" t="s">
        <v>79</v>
      </c>
      <c r="E3340" s="5" t="s">
        <v>80</v>
      </c>
      <c r="F3340" s="5">
        <v>3506</v>
      </c>
      <c r="G3340" s="5" t="s">
        <v>10117</v>
      </c>
      <c r="H3340" s="5" t="s">
        <v>10118</v>
      </c>
      <c r="I3340" s="5" t="s">
        <v>212</v>
      </c>
      <c r="N3340" s="5" t="s">
        <v>10119</v>
      </c>
      <c r="O3340" s="5">
        <v>5010</v>
      </c>
      <c r="P3340" s="5">
        <v>5019</v>
      </c>
      <c r="Q3340" s="5">
        <v>4968</v>
      </c>
      <c r="R3340" s="5">
        <v>5005</v>
      </c>
      <c r="S3340" s="5">
        <v>5005</v>
      </c>
      <c r="T3340" s="5">
        <v>4987</v>
      </c>
      <c r="V3340" s="5">
        <v>5004.96</v>
      </c>
      <c r="Y3340" s="5">
        <v>502050</v>
      </c>
      <c r="Z3340" s="5">
        <v>2508016777.5</v>
      </c>
      <c r="AA3340" s="5">
        <v>57949</v>
      </c>
      <c r="AB3340" s="5" t="s">
        <v>85</v>
      </c>
      <c r="AC3340" s="5">
        <v>1</v>
      </c>
    </row>
    <row r="3341" spans="1:29" x14ac:dyDescent="0.3">
      <c r="A3341" s="34">
        <v>46274</v>
      </c>
      <c r="B3341" s="34">
        <v>46274</v>
      </c>
      <c r="C3341" s="5" t="s">
        <v>78</v>
      </c>
      <c r="D3341" s="5" t="s">
        <v>79</v>
      </c>
      <c r="E3341" s="5" t="s">
        <v>80</v>
      </c>
      <c r="F3341" s="5">
        <v>3837</v>
      </c>
      <c r="G3341" s="5" t="s">
        <v>10120</v>
      </c>
      <c r="H3341" s="5" t="s">
        <v>10121</v>
      </c>
      <c r="I3341" s="5" t="s">
        <v>212</v>
      </c>
      <c r="N3341" s="5" t="s">
        <v>10122</v>
      </c>
      <c r="O3341" s="5">
        <v>77.400000000000006</v>
      </c>
      <c r="P3341" s="5">
        <v>78.489999999999995</v>
      </c>
      <c r="Q3341" s="5">
        <v>74.58</v>
      </c>
      <c r="R3341" s="5">
        <v>74.650000000000006</v>
      </c>
      <c r="S3341" s="5">
        <v>74.58</v>
      </c>
      <c r="T3341" s="5">
        <v>78.5</v>
      </c>
      <c r="V3341" s="5">
        <v>74.650000000000006</v>
      </c>
      <c r="Y3341" s="5">
        <v>2024</v>
      </c>
      <c r="Z3341" s="5">
        <v>153052.34</v>
      </c>
      <c r="AA3341" s="5">
        <v>67</v>
      </c>
      <c r="AB3341" s="5" t="s">
        <v>85</v>
      </c>
      <c r="AC3341" s="5">
        <v>1</v>
      </c>
    </row>
    <row r="3342" spans="1:29" x14ac:dyDescent="0.3">
      <c r="A3342" s="34">
        <v>46274</v>
      </c>
      <c r="B3342" s="34">
        <v>46274</v>
      </c>
      <c r="C3342" s="5" t="s">
        <v>78</v>
      </c>
      <c r="D3342" s="5" t="s">
        <v>79</v>
      </c>
      <c r="E3342" s="5" t="s">
        <v>80</v>
      </c>
      <c r="F3342" s="5">
        <v>25262</v>
      </c>
      <c r="G3342" s="5" t="s">
        <v>10123</v>
      </c>
      <c r="H3342" s="5" t="s">
        <v>10124</v>
      </c>
      <c r="I3342" s="5" t="s">
        <v>212</v>
      </c>
      <c r="N3342" s="5" t="s">
        <v>10125</v>
      </c>
      <c r="O3342" s="5">
        <v>91.11</v>
      </c>
      <c r="P3342" s="5">
        <v>92.9</v>
      </c>
      <c r="Q3342" s="5">
        <v>90.9</v>
      </c>
      <c r="R3342" s="5">
        <v>91.45</v>
      </c>
      <c r="S3342" s="5">
        <v>91.99</v>
      </c>
      <c r="T3342" s="5">
        <v>92.23</v>
      </c>
      <c r="V3342" s="5">
        <v>91.44</v>
      </c>
      <c r="Y3342" s="5">
        <v>31300</v>
      </c>
      <c r="Z3342" s="5">
        <v>2856910.54</v>
      </c>
      <c r="AA3342" s="5">
        <v>1021</v>
      </c>
      <c r="AB3342" s="5" t="s">
        <v>85</v>
      </c>
      <c r="AC3342" s="5">
        <v>1</v>
      </c>
    </row>
    <row r="3343" spans="1:29" x14ac:dyDescent="0.3">
      <c r="A3343" s="34">
        <v>46274</v>
      </c>
      <c r="B3343" s="34">
        <v>46274</v>
      </c>
      <c r="C3343" s="5" t="s">
        <v>78</v>
      </c>
      <c r="D3343" s="5" t="s">
        <v>79</v>
      </c>
      <c r="E3343" s="5" t="s">
        <v>80</v>
      </c>
      <c r="F3343" s="5">
        <v>3518</v>
      </c>
      <c r="G3343" s="5" t="s">
        <v>10126</v>
      </c>
      <c r="H3343" s="5" t="s">
        <v>10127</v>
      </c>
      <c r="I3343" s="5" t="s">
        <v>212</v>
      </c>
      <c r="N3343" s="5" t="s">
        <v>10128</v>
      </c>
      <c r="O3343" s="5">
        <v>4960</v>
      </c>
      <c r="P3343" s="5">
        <v>4992</v>
      </c>
      <c r="Q3343" s="5">
        <v>4925</v>
      </c>
      <c r="R3343" s="5">
        <v>4930</v>
      </c>
      <c r="S3343" s="5">
        <v>4930</v>
      </c>
      <c r="T3343" s="5">
        <v>4960</v>
      </c>
      <c r="V3343" s="5">
        <v>4930</v>
      </c>
      <c r="Y3343" s="5">
        <v>165089</v>
      </c>
      <c r="Z3343" s="5">
        <v>815519916</v>
      </c>
      <c r="AA3343" s="5">
        <v>20232</v>
      </c>
      <c r="AB3343" s="5" t="s">
        <v>85</v>
      </c>
      <c r="AC3343" s="5">
        <v>1</v>
      </c>
    </row>
    <row r="3344" spans="1:29" x14ac:dyDescent="0.3">
      <c r="A3344" s="34">
        <v>46274</v>
      </c>
      <c r="B3344" s="34">
        <v>46274</v>
      </c>
      <c r="C3344" s="5" t="s">
        <v>78</v>
      </c>
      <c r="D3344" s="5" t="s">
        <v>79</v>
      </c>
      <c r="E3344" s="5" t="s">
        <v>80</v>
      </c>
      <c r="F3344" s="5">
        <v>13786</v>
      </c>
      <c r="G3344" s="5" t="s">
        <v>10129</v>
      </c>
      <c r="H3344" s="5" t="s">
        <v>10130</v>
      </c>
      <c r="I3344" s="5" t="s">
        <v>212</v>
      </c>
      <c r="N3344" s="5" t="s">
        <v>10131</v>
      </c>
      <c r="O3344" s="5">
        <v>1273</v>
      </c>
      <c r="P3344" s="5">
        <v>1322.4</v>
      </c>
      <c r="Q3344" s="5">
        <v>1271.5999999999999</v>
      </c>
      <c r="R3344" s="5">
        <v>1305.7</v>
      </c>
      <c r="S3344" s="5">
        <v>1302.3</v>
      </c>
      <c r="T3344" s="5">
        <v>1270.2</v>
      </c>
      <c r="V3344" s="5">
        <v>1305.67</v>
      </c>
      <c r="Y3344" s="5">
        <v>486733</v>
      </c>
      <c r="Z3344" s="5">
        <v>636788066.10000002</v>
      </c>
      <c r="AA3344" s="5">
        <v>29530</v>
      </c>
      <c r="AB3344" s="5" t="s">
        <v>85</v>
      </c>
      <c r="AC3344" s="5">
        <v>1</v>
      </c>
    </row>
    <row r="3345" spans="1:29" x14ac:dyDescent="0.3">
      <c r="A3345" s="34">
        <v>46274</v>
      </c>
      <c r="B3345" s="34">
        <v>46274</v>
      </c>
      <c r="C3345" s="5" t="s">
        <v>78</v>
      </c>
      <c r="D3345" s="5" t="s">
        <v>79</v>
      </c>
      <c r="E3345" s="5" t="s">
        <v>80</v>
      </c>
      <c r="F3345" s="5">
        <v>22423</v>
      </c>
      <c r="G3345" s="5" t="s">
        <v>10132</v>
      </c>
      <c r="H3345" s="5" t="s">
        <v>10133</v>
      </c>
      <c r="I3345" s="5" t="s">
        <v>212</v>
      </c>
      <c r="N3345" s="5" t="s">
        <v>10134</v>
      </c>
      <c r="O3345" s="5">
        <v>77</v>
      </c>
      <c r="P3345" s="5">
        <v>79</v>
      </c>
      <c r="Q3345" s="5">
        <v>74.3</v>
      </c>
      <c r="R3345" s="5">
        <v>75.25</v>
      </c>
      <c r="S3345" s="5">
        <v>75.510000000000005</v>
      </c>
      <c r="T3345" s="5">
        <v>73.72</v>
      </c>
      <c r="V3345" s="5">
        <v>75.25</v>
      </c>
      <c r="Y3345" s="5">
        <v>36891</v>
      </c>
      <c r="Z3345" s="5">
        <v>2827416.94</v>
      </c>
      <c r="AA3345" s="5">
        <v>382</v>
      </c>
      <c r="AB3345" s="5" t="s">
        <v>85</v>
      </c>
      <c r="AC3345" s="5">
        <v>1</v>
      </c>
    </row>
    <row r="3346" spans="1:29" x14ac:dyDescent="0.3">
      <c r="A3346" s="34">
        <v>46274</v>
      </c>
      <c r="B3346" s="34">
        <v>46274</v>
      </c>
      <c r="C3346" s="5" t="s">
        <v>78</v>
      </c>
      <c r="D3346" s="5" t="s">
        <v>79</v>
      </c>
      <c r="E3346" s="5" t="s">
        <v>80</v>
      </c>
      <c r="F3346" s="5">
        <v>16908</v>
      </c>
      <c r="G3346" s="5" t="s">
        <v>10135</v>
      </c>
      <c r="H3346" s="5" t="s">
        <v>10136</v>
      </c>
      <c r="I3346" s="5" t="s">
        <v>212</v>
      </c>
      <c r="N3346" s="5" t="s">
        <v>10137</v>
      </c>
      <c r="O3346" s="5">
        <v>61.06</v>
      </c>
      <c r="P3346" s="5">
        <v>61.4</v>
      </c>
      <c r="Q3346" s="5">
        <v>60.1</v>
      </c>
      <c r="R3346" s="5">
        <v>61</v>
      </c>
      <c r="S3346" s="5">
        <v>61</v>
      </c>
      <c r="T3346" s="5">
        <v>61.06</v>
      </c>
      <c r="V3346" s="5">
        <v>61</v>
      </c>
      <c r="Y3346" s="5">
        <v>375</v>
      </c>
      <c r="Z3346" s="5">
        <v>22838.639999999999</v>
      </c>
      <c r="AA3346" s="5">
        <v>29</v>
      </c>
      <c r="AB3346" s="5" t="s">
        <v>85</v>
      </c>
      <c r="AC3346" s="5">
        <v>1</v>
      </c>
    </row>
    <row r="3347" spans="1:29" x14ac:dyDescent="0.3">
      <c r="A3347" s="34">
        <v>46274</v>
      </c>
      <c r="B3347" s="34">
        <v>46274</v>
      </c>
      <c r="C3347" s="5" t="s">
        <v>78</v>
      </c>
      <c r="D3347" s="5" t="s">
        <v>79</v>
      </c>
      <c r="E3347" s="5" t="s">
        <v>80</v>
      </c>
      <c r="F3347" s="5">
        <v>3466</v>
      </c>
      <c r="G3347" s="5" t="s">
        <v>10138</v>
      </c>
      <c r="H3347" s="5" t="s">
        <v>10139</v>
      </c>
      <c r="I3347" s="5" t="s">
        <v>212</v>
      </c>
      <c r="N3347" s="5" t="s">
        <v>10140</v>
      </c>
      <c r="O3347" s="5">
        <v>141.01</v>
      </c>
      <c r="P3347" s="5">
        <v>144.80000000000001</v>
      </c>
      <c r="Q3347" s="5">
        <v>140.15</v>
      </c>
      <c r="R3347" s="5">
        <v>141.69</v>
      </c>
      <c r="S3347" s="5">
        <v>142.51</v>
      </c>
      <c r="T3347" s="5">
        <v>140.88999999999999</v>
      </c>
      <c r="V3347" s="5">
        <v>141.68</v>
      </c>
      <c r="Y3347" s="5">
        <v>5715933</v>
      </c>
      <c r="Z3347" s="5">
        <v>813253073.86000001</v>
      </c>
      <c r="AA3347" s="5">
        <v>18927</v>
      </c>
      <c r="AB3347" s="5" t="s">
        <v>85</v>
      </c>
      <c r="AC3347" s="5">
        <v>1</v>
      </c>
    </row>
    <row r="3348" spans="1:29" x14ac:dyDescent="0.3">
      <c r="A3348" s="34">
        <v>46274</v>
      </c>
      <c r="B3348" s="34">
        <v>46274</v>
      </c>
      <c r="C3348" s="5" t="s">
        <v>78</v>
      </c>
      <c r="D3348" s="5" t="s">
        <v>79</v>
      </c>
      <c r="E3348" s="5" t="s">
        <v>80</v>
      </c>
      <c r="F3348" s="5">
        <v>765195</v>
      </c>
      <c r="G3348" s="5" t="s">
        <v>10141</v>
      </c>
      <c r="H3348" s="5" t="s">
        <v>10142</v>
      </c>
      <c r="I3348" s="5" t="s">
        <v>212</v>
      </c>
      <c r="N3348" s="5" t="s">
        <v>10143</v>
      </c>
      <c r="O3348" s="5">
        <v>0.64</v>
      </c>
      <c r="P3348" s="5">
        <v>0.65</v>
      </c>
      <c r="Q3348" s="5">
        <v>0.63</v>
      </c>
      <c r="R3348" s="5">
        <v>0.65</v>
      </c>
      <c r="S3348" s="5">
        <v>0.65</v>
      </c>
      <c r="T3348" s="5">
        <v>0.62</v>
      </c>
      <c r="V3348" s="5">
        <v>0.66</v>
      </c>
      <c r="Y3348" s="5">
        <v>326303</v>
      </c>
      <c r="Z3348" s="5">
        <v>210152.97</v>
      </c>
      <c r="AA3348" s="5">
        <v>113</v>
      </c>
      <c r="AB3348" s="5" t="s">
        <v>85</v>
      </c>
      <c r="AC3348" s="5">
        <v>1</v>
      </c>
    </row>
    <row r="3349" spans="1:29" x14ac:dyDescent="0.3">
      <c r="A3349" s="34">
        <v>46274</v>
      </c>
      <c r="B3349" s="34">
        <v>46274</v>
      </c>
      <c r="C3349" s="5" t="s">
        <v>78</v>
      </c>
      <c r="D3349" s="5" t="s">
        <v>79</v>
      </c>
      <c r="E3349" s="5" t="s">
        <v>80</v>
      </c>
      <c r="F3349" s="5">
        <v>9219</v>
      </c>
      <c r="G3349" s="5" t="s">
        <v>10144</v>
      </c>
      <c r="H3349" s="5" t="s">
        <v>10145</v>
      </c>
      <c r="I3349" s="5" t="s">
        <v>212</v>
      </c>
      <c r="N3349" s="5" t="s">
        <v>10146</v>
      </c>
      <c r="O3349" s="5">
        <v>67.69</v>
      </c>
      <c r="P3349" s="5">
        <v>68.95</v>
      </c>
      <c r="Q3349" s="5">
        <v>67.33</v>
      </c>
      <c r="R3349" s="5">
        <v>68.03</v>
      </c>
      <c r="S3349" s="5">
        <v>68.25</v>
      </c>
      <c r="T3349" s="5">
        <v>67.69</v>
      </c>
      <c r="V3349" s="5">
        <v>68.02</v>
      </c>
      <c r="Y3349" s="5">
        <v>115475</v>
      </c>
      <c r="Z3349" s="5">
        <v>7868211.7400000002</v>
      </c>
      <c r="AA3349" s="5">
        <v>857</v>
      </c>
      <c r="AB3349" s="5" t="s">
        <v>85</v>
      </c>
      <c r="AC3349" s="5">
        <v>1</v>
      </c>
    </row>
    <row r="3350" spans="1:29" x14ac:dyDescent="0.3">
      <c r="A3350" s="34">
        <v>46274</v>
      </c>
      <c r="B3350" s="34">
        <v>46274</v>
      </c>
      <c r="C3350" s="5" t="s">
        <v>78</v>
      </c>
      <c r="D3350" s="5" t="s">
        <v>79</v>
      </c>
      <c r="E3350" s="5" t="s">
        <v>80</v>
      </c>
      <c r="F3350" s="5">
        <v>11582</v>
      </c>
      <c r="G3350" s="5" t="s">
        <v>10147</v>
      </c>
      <c r="H3350" s="5" t="s">
        <v>10148</v>
      </c>
      <c r="I3350" s="5" t="s">
        <v>212</v>
      </c>
      <c r="N3350" s="5" t="s">
        <v>10149</v>
      </c>
      <c r="O3350" s="5">
        <v>29.29</v>
      </c>
      <c r="P3350" s="5">
        <v>29.69</v>
      </c>
      <c r="Q3350" s="5">
        <v>28.86</v>
      </c>
      <c r="R3350" s="5">
        <v>29.15</v>
      </c>
      <c r="S3350" s="5">
        <v>29.1</v>
      </c>
      <c r="T3350" s="5">
        <v>29.01</v>
      </c>
      <c r="V3350" s="5">
        <v>29.15</v>
      </c>
      <c r="Y3350" s="5">
        <v>375201</v>
      </c>
      <c r="Z3350" s="5">
        <v>10985149.310000001</v>
      </c>
      <c r="AA3350" s="5">
        <v>1531</v>
      </c>
      <c r="AB3350" s="5" t="s">
        <v>85</v>
      </c>
      <c r="AC3350" s="5">
        <v>1</v>
      </c>
    </row>
    <row r="3351" spans="1:29" x14ac:dyDescent="0.3">
      <c r="A3351" s="34">
        <v>46274</v>
      </c>
      <c r="B3351" s="34">
        <v>46274</v>
      </c>
      <c r="C3351" s="5" t="s">
        <v>78</v>
      </c>
      <c r="D3351" s="5" t="s">
        <v>79</v>
      </c>
      <c r="E3351" s="5" t="s">
        <v>80</v>
      </c>
      <c r="F3351" s="5">
        <v>15174</v>
      </c>
      <c r="G3351" s="5" t="s">
        <v>10150</v>
      </c>
      <c r="H3351" s="5" t="s">
        <v>10151</v>
      </c>
      <c r="I3351" s="5" t="s">
        <v>212</v>
      </c>
      <c r="N3351" s="5" t="s">
        <v>10152</v>
      </c>
      <c r="O3351" s="5">
        <v>298</v>
      </c>
      <c r="P3351" s="5">
        <v>300.5</v>
      </c>
      <c r="Q3351" s="5">
        <v>295.14999999999998</v>
      </c>
      <c r="R3351" s="5">
        <v>296.89999999999998</v>
      </c>
      <c r="S3351" s="5">
        <v>297.8</v>
      </c>
      <c r="T3351" s="5">
        <v>297.14999999999998</v>
      </c>
      <c r="V3351" s="5">
        <v>296.91000000000003</v>
      </c>
      <c r="Y3351" s="5">
        <v>775856</v>
      </c>
      <c r="Z3351" s="5">
        <v>230897006.69999999</v>
      </c>
      <c r="AA3351" s="5">
        <v>15287</v>
      </c>
      <c r="AB3351" s="5" t="s">
        <v>85</v>
      </c>
      <c r="AC3351" s="5">
        <v>1</v>
      </c>
    </row>
    <row r="3352" spans="1:29" x14ac:dyDescent="0.3">
      <c r="A3352" s="34">
        <v>46274</v>
      </c>
      <c r="B3352" s="34">
        <v>46274</v>
      </c>
      <c r="C3352" s="5" t="s">
        <v>78</v>
      </c>
      <c r="D3352" s="5" t="s">
        <v>79</v>
      </c>
      <c r="E3352" s="5" t="s">
        <v>80</v>
      </c>
      <c r="F3352" s="5">
        <v>765200</v>
      </c>
      <c r="G3352" s="5" t="s">
        <v>10153</v>
      </c>
      <c r="H3352" s="5" t="s">
        <v>10154</v>
      </c>
      <c r="I3352" s="5" t="s">
        <v>212</v>
      </c>
      <c r="N3352" s="5" t="s">
        <v>10155</v>
      </c>
      <c r="O3352" s="5">
        <v>24.99</v>
      </c>
      <c r="P3352" s="5">
        <v>25.97</v>
      </c>
      <c r="Q3352" s="5">
        <v>24.99</v>
      </c>
      <c r="R3352" s="5">
        <v>25.95</v>
      </c>
      <c r="S3352" s="5">
        <v>25.95</v>
      </c>
      <c r="T3352" s="5">
        <v>24.99</v>
      </c>
      <c r="V3352" s="5">
        <v>24.32</v>
      </c>
      <c r="Y3352" s="5">
        <v>2330</v>
      </c>
      <c r="Z3352" s="5">
        <v>58231.55</v>
      </c>
      <c r="AA3352" s="5">
        <v>12</v>
      </c>
      <c r="AB3352" s="5" t="s">
        <v>85</v>
      </c>
      <c r="AC3352" s="5">
        <v>1</v>
      </c>
    </row>
    <row r="3353" spans="1:29" x14ac:dyDescent="0.3">
      <c r="A3353" s="34">
        <v>46274</v>
      </c>
      <c r="B3353" s="34">
        <v>46274</v>
      </c>
      <c r="C3353" s="5" t="s">
        <v>78</v>
      </c>
      <c r="D3353" s="5" t="s">
        <v>79</v>
      </c>
      <c r="E3353" s="5" t="s">
        <v>80</v>
      </c>
      <c r="F3353" s="5">
        <v>17795</v>
      </c>
      <c r="G3353" s="5" t="s">
        <v>10156</v>
      </c>
      <c r="H3353" s="5" t="s">
        <v>10157</v>
      </c>
      <c r="I3353" s="5" t="s">
        <v>212</v>
      </c>
      <c r="N3353" s="5" t="s">
        <v>10158</v>
      </c>
      <c r="O3353" s="5">
        <v>26.72</v>
      </c>
      <c r="P3353" s="5">
        <v>27.31</v>
      </c>
      <c r="Q3353" s="5">
        <v>26.05</v>
      </c>
      <c r="R3353" s="5">
        <v>26.99</v>
      </c>
      <c r="S3353" s="5">
        <v>27</v>
      </c>
      <c r="T3353" s="5">
        <v>26.72</v>
      </c>
      <c r="V3353" s="5">
        <v>26.99</v>
      </c>
      <c r="Y3353" s="5">
        <v>213848</v>
      </c>
      <c r="Z3353" s="5">
        <v>5769325.9699999997</v>
      </c>
      <c r="AA3353" s="5">
        <v>3903</v>
      </c>
      <c r="AB3353" s="5" t="s">
        <v>85</v>
      </c>
      <c r="AC3353" s="5">
        <v>1</v>
      </c>
    </row>
    <row r="3354" spans="1:29" x14ac:dyDescent="0.3">
      <c r="A3354" s="34">
        <v>46274</v>
      </c>
      <c r="B3354" s="34">
        <v>46274</v>
      </c>
      <c r="C3354" s="5" t="s">
        <v>78</v>
      </c>
      <c r="D3354" s="5" t="s">
        <v>79</v>
      </c>
      <c r="E3354" s="5" t="s">
        <v>80</v>
      </c>
      <c r="F3354" s="5">
        <v>7669</v>
      </c>
      <c r="G3354" s="5" t="s">
        <v>10159</v>
      </c>
      <c r="H3354" s="5" t="s">
        <v>10160</v>
      </c>
      <c r="I3354" s="5" t="s">
        <v>234</v>
      </c>
      <c r="N3354" s="5" t="s">
        <v>10161</v>
      </c>
      <c r="O3354" s="5">
        <v>1357</v>
      </c>
      <c r="P3354" s="5">
        <v>1388</v>
      </c>
      <c r="Q3354" s="5">
        <v>1321</v>
      </c>
      <c r="R3354" s="5">
        <v>1358.6</v>
      </c>
      <c r="S3354" s="5">
        <v>1359.9</v>
      </c>
      <c r="T3354" s="5">
        <v>1370.4</v>
      </c>
      <c r="V3354" s="5">
        <v>1355.34</v>
      </c>
      <c r="Y3354" s="5">
        <v>1859</v>
      </c>
      <c r="Z3354" s="5">
        <v>2498813.9</v>
      </c>
      <c r="AA3354" s="5">
        <v>96</v>
      </c>
      <c r="AB3354" s="5" t="s">
        <v>85</v>
      </c>
      <c r="AC3354" s="5">
        <v>1</v>
      </c>
    </row>
    <row r="3355" spans="1:29" x14ac:dyDescent="0.3">
      <c r="A3355" s="34">
        <v>46274</v>
      </c>
      <c r="B3355" s="34">
        <v>46274</v>
      </c>
      <c r="C3355" s="5" t="s">
        <v>78</v>
      </c>
      <c r="D3355" s="5" t="s">
        <v>79</v>
      </c>
      <c r="E3355" s="5" t="s">
        <v>80</v>
      </c>
      <c r="F3355" s="5">
        <v>10580</v>
      </c>
      <c r="G3355" s="5" t="s">
        <v>10162</v>
      </c>
      <c r="H3355" s="5" t="s">
        <v>10163</v>
      </c>
      <c r="I3355" s="5" t="s">
        <v>212</v>
      </c>
      <c r="N3355" s="5" t="s">
        <v>10164</v>
      </c>
      <c r="O3355" s="5">
        <v>874.8</v>
      </c>
      <c r="P3355" s="5">
        <v>888</v>
      </c>
      <c r="Q3355" s="5">
        <v>863.3</v>
      </c>
      <c r="R3355" s="5">
        <v>867.95</v>
      </c>
      <c r="S3355" s="5">
        <v>864.25</v>
      </c>
      <c r="T3355" s="5">
        <v>872.5</v>
      </c>
      <c r="V3355" s="5">
        <v>867.97</v>
      </c>
      <c r="Y3355" s="5">
        <v>18299</v>
      </c>
      <c r="Z3355" s="5">
        <v>15900620.35</v>
      </c>
      <c r="AA3355" s="5">
        <v>3777</v>
      </c>
      <c r="AB3355" s="5" t="s">
        <v>85</v>
      </c>
      <c r="AC3355" s="5">
        <v>1</v>
      </c>
    </row>
    <row r="3356" spans="1:29" x14ac:dyDescent="0.3">
      <c r="A3356" s="34">
        <v>46274</v>
      </c>
      <c r="B3356" s="34">
        <v>46274</v>
      </c>
      <c r="C3356" s="5" t="s">
        <v>78</v>
      </c>
      <c r="D3356" s="5" t="s">
        <v>79</v>
      </c>
      <c r="E3356" s="5" t="s">
        <v>80</v>
      </c>
      <c r="F3356" s="5">
        <v>28714</v>
      </c>
      <c r="G3356" s="5" t="s">
        <v>10165</v>
      </c>
      <c r="H3356" s="5" t="s">
        <v>10166</v>
      </c>
      <c r="I3356" s="5" t="s">
        <v>212</v>
      </c>
      <c r="N3356" s="5" t="s">
        <v>10167</v>
      </c>
      <c r="O3356" s="5">
        <v>420</v>
      </c>
      <c r="P3356" s="5">
        <v>433.3</v>
      </c>
      <c r="Q3356" s="5">
        <v>420</v>
      </c>
      <c r="R3356" s="5">
        <v>424.05</v>
      </c>
      <c r="S3356" s="5">
        <v>424.15</v>
      </c>
      <c r="T3356" s="5">
        <v>419</v>
      </c>
      <c r="V3356" s="5">
        <v>424.05</v>
      </c>
      <c r="Y3356" s="5">
        <v>461612</v>
      </c>
      <c r="Z3356" s="5">
        <v>196661084.44999999</v>
      </c>
      <c r="AA3356" s="5">
        <v>15309</v>
      </c>
      <c r="AB3356" s="5" t="s">
        <v>85</v>
      </c>
      <c r="AC3356" s="5">
        <v>1</v>
      </c>
    </row>
    <row r="3357" spans="1:29" x14ac:dyDescent="0.3">
      <c r="A3357" s="34">
        <v>46274</v>
      </c>
      <c r="B3357" s="34">
        <v>46274</v>
      </c>
      <c r="C3357" s="5" t="s">
        <v>78</v>
      </c>
      <c r="D3357" s="5" t="s">
        <v>79</v>
      </c>
      <c r="E3357" s="5" t="s">
        <v>80</v>
      </c>
      <c r="F3357" s="5">
        <v>19801</v>
      </c>
      <c r="G3357" s="5" t="s">
        <v>10168</v>
      </c>
      <c r="H3357" s="5" t="s">
        <v>10169</v>
      </c>
      <c r="I3357" s="5" t="s">
        <v>313</v>
      </c>
      <c r="N3357" s="5" t="s">
        <v>10170</v>
      </c>
      <c r="O3357" s="5">
        <v>76.05</v>
      </c>
      <c r="P3357" s="5">
        <v>78</v>
      </c>
      <c r="Q3357" s="5">
        <v>75.3</v>
      </c>
      <c r="R3357" s="5">
        <v>76.599999999999994</v>
      </c>
      <c r="S3357" s="5">
        <v>76.650000000000006</v>
      </c>
      <c r="T3357" s="5">
        <v>75.45</v>
      </c>
      <c r="V3357" s="5">
        <v>76.599999999999994</v>
      </c>
      <c r="Y3357" s="5">
        <v>140000</v>
      </c>
      <c r="Z3357" s="5">
        <v>10764650</v>
      </c>
      <c r="AA3357" s="5">
        <v>78</v>
      </c>
      <c r="AB3357" s="5" t="s">
        <v>85</v>
      </c>
      <c r="AC3357" s="5">
        <v>1000</v>
      </c>
    </row>
    <row r="3358" spans="1:29" x14ac:dyDescent="0.3">
      <c r="A3358" s="34">
        <v>46274</v>
      </c>
      <c r="B3358" s="34">
        <v>46274</v>
      </c>
      <c r="C3358" s="5" t="s">
        <v>78</v>
      </c>
      <c r="D3358" s="5" t="s">
        <v>79</v>
      </c>
      <c r="E3358" s="5" t="s">
        <v>80</v>
      </c>
      <c r="F3358" s="5">
        <v>14319</v>
      </c>
      <c r="G3358" s="5" t="s">
        <v>10171</v>
      </c>
      <c r="H3358" s="5" t="s">
        <v>10172</v>
      </c>
      <c r="I3358" s="5" t="s">
        <v>212</v>
      </c>
      <c r="N3358" s="5" t="s">
        <v>10173</v>
      </c>
      <c r="O3358" s="5">
        <v>12.18</v>
      </c>
      <c r="P3358" s="5">
        <v>12.18</v>
      </c>
      <c r="Q3358" s="5">
        <v>11.82</v>
      </c>
      <c r="R3358" s="5">
        <v>11.92</v>
      </c>
      <c r="S3358" s="5">
        <v>11.86</v>
      </c>
      <c r="T3358" s="5">
        <v>12.06</v>
      </c>
      <c r="V3358" s="5">
        <v>11.92</v>
      </c>
      <c r="Y3358" s="5">
        <v>662</v>
      </c>
      <c r="Z3358" s="5">
        <v>7969.54</v>
      </c>
      <c r="AA3358" s="5">
        <v>26</v>
      </c>
      <c r="AB3358" s="5" t="s">
        <v>85</v>
      </c>
      <c r="AC3358" s="5">
        <v>1</v>
      </c>
    </row>
    <row r="3359" spans="1:29" x14ac:dyDescent="0.3">
      <c r="A3359" s="34">
        <v>46274</v>
      </c>
      <c r="B3359" s="34">
        <v>46274</v>
      </c>
      <c r="C3359" s="5" t="s">
        <v>78</v>
      </c>
      <c r="D3359" s="5" t="s">
        <v>79</v>
      </c>
      <c r="E3359" s="5" t="s">
        <v>80</v>
      </c>
      <c r="F3359" s="5">
        <v>8619</v>
      </c>
      <c r="G3359" s="5" t="s">
        <v>10174</v>
      </c>
      <c r="H3359" s="5" t="s">
        <v>10175</v>
      </c>
      <c r="I3359" s="5" t="s">
        <v>234</v>
      </c>
      <c r="N3359" s="5" t="s">
        <v>10176</v>
      </c>
      <c r="O3359" s="5">
        <v>171</v>
      </c>
      <c r="P3359" s="5">
        <v>171</v>
      </c>
      <c r="Q3359" s="5">
        <v>168</v>
      </c>
      <c r="R3359" s="5">
        <v>168</v>
      </c>
      <c r="S3359" s="5">
        <v>168</v>
      </c>
      <c r="T3359" s="5">
        <v>171</v>
      </c>
      <c r="V3359" s="5">
        <v>168.75</v>
      </c>
      <c r="Y3359" s="5">
        <v>2559</v>
      </c>
      <c r="Z3359" s="5">
        <v>430872</v>
      </c>
      <c r="AA3359" s="5">
        <v>23</v>
      </c>
      <c r="AB3359" s="5" t="s">
        <v>85</v>
      </c>
      <c r="AC3359" s="5">
        <v>1</v>
      </c>
    </row>
    <row r="3360" spans="1:29" x14ac:dyDescent="0.3">
      <c r="A3360" s="34">
        <v>46274</v>
      </c>
      <c r="B3360" s="34">
        <v>46274</v>
      </c>
      <c r="C3360" s="5" t="s">
        <v>78</v>
      </c>
      <c r="D3360" s="5" t="s">
        <v>79</v>
      </c>
      <c r="E3360" s="5" t="s">
        <v>80</v>
      </c>
      <c r="F3360" s="5">
        <v>757545</v>
      </c>
      <c r="G3360" s="5" t="s">
        <v>10177</v>
      </c>
      <c r="H3360" s="5" t="s">
        <v>10178</v>
      </c>
      <c r="I3360" s="5" t="s">
        <v>212</v>
      </c>
      <c r="N3360" s="5" t="s">
        <v>10179</v>
      </c>
      <c r="O3360" s="5">
        <v>1295</v>
      </c>
      <c r="P3360" s="5">
        <v>1304.8</v>
      </c>
      <c r="Q3360" s="5">
        <v>1269.2</v>
      </c>
      <c r="R3360" s="5">
        <v>1298.5999999999999</v>
      </c>
      <c r="S3360" s="5">
        <v>1301.5</v>
      </c>
      <c r="T3360" s="5">
        <v>1295.5</v>
      </c>
      <c r="V3360" s="5">
        <v>1298.58</v>
      </c>
      <c r="Y3360" s="5">
        <v>27394</v>
      </c>
      <c r="Z3360" s="5">
        <v>35180960</v>
      </c>
      <c r="AA3360" s="5">
        <v>2660</v>
      </c>
      <c r="AB3360" s="5" t="s">
        <v>85</v>
      </c>
      <c r="AC3360" s="5">
        <v>1</v>
      </c>
    </row>
    <row r="3361" spans="1:29" x14ac:dyDescent="0.3">
      <c r="A3361" s="34">
        <v>46274</v>
      </c>
      <c r="B3361" s="34">
        <v>46274</v>
      </c>
      <c r="C3361" s="5" t="s">
        <v>78</v>
      </c>
      <c r="D3361" s="5" t="s">
        <v>79</v>
      </c>
      <c r="E3361" s="5" t="s">
        <v>80</v>
      </c>
      <c r="F3361" s="5">
        <v>25082</v>
      </c>
      <c r="G3361" s="5" t="s">
        <v>10180</v>
      </c>
      <c r="H3361" s="5" t="s">
        <v>10181</v>
      </c>
      <c r="I3361" s="5" t="s">
        <v>212</v>
      </c>
      <c r="N3361" s="5" t="s">
        <v>10182</v>
      </c>
      <c r="O3361" s="5">
        <v>6.07</v>
      </c>
      <c r="P3361" s="5">
        <v>6.13</v>
      </c>
      <c r="Q3361" s="5">
        <v>5.6</v>
      </c>
      <c r="R3361" s="5">
        <v>5.94</v>
      </c>
      <c r="S3361" s="5">
        <v>6</v>
      </c>
      <c r="T3361" s="5">
        <v>6.07</v>
      </c>
      <c r="V3361" s="5">
        <v>6.18</v>
      </c>
      <c r="Y3361" s="5">
        <v>21266</v>
      </c>
      <c r="Z3361" s="5">
        <v>124359.41</v>
      </c>
      <c r="AA3361" s="5">
        <v>160</v>
      </c>
      <c r="AB3361" s="5" t="s">
        <v>85</v>
      </c>
      <c r="AC3361" s="5">
        <v>1</v>
      </c>
    </row>
    <row r="3362" spans="1:29" x14ac:dyDescent="0.3">
      <c r="A3362" s="34">
        <v>46274</v>
      </c>
      <c r="B3362" s="34">
        <v>46274</v>
      </c>
      <c r="C3362" s="5" t="s">
        <v>78</v>
      </c>
      <c r="D3362" s="5" t="s">
        <v>79</v>
      </c>
      <c r="E3362" s="5" t="s">
        <v>80</v>
      </c>
      <c r="F3362" s="5">
        <v>7518</v>
      </c>
      <c r="G3362" s="5" t="s">
        <v>10183</v>
      </c>
      <c r="H3362" s="5" t="s">
        <v>10184</v>
      </c>
      <c r="I3362" s="5" t="s">
        <v>212</v>
      </c>
      <c r="N3362" s="5" t="s">
        <v>10185</v>
      </c>
      <c r="O3362" s="5">
        <v>148.94999999999999</v>
      </c>
      <c r="P3362" s="5">
        <v>149.80000000000001</v>
      </c>
      <c r="Q3362" s="5">
        <v>144.01</v>
      </c>
      <c r="R3362" s="5">
        <v>147.76</v>
      </c>
      <c r="S3362" s="5">
        <v>148.75</v>
      </c>
      <c r="T3362" s="5">
        <v>149.11000000000001</v>
      </c>
      <c r="V3362" s="5">
        <v>147.76</v>
      </c>
      <c r="Y3362" s="5">
        <v>20042</v>
      </c>
      <c r="Z3362" s="5">
        <v>2946367.65</v>
      </c>
      <c r="AA3362" s="5">
        <v>404</v>
      </c>
      <c r="AB3362" s="5" t="s">
        <v>85</v>
      </c>
      <c r="AC3362" s="5">
        <v>1</v>
      </c>
    </row>
    <row r="3363" spans="1:29" x14ac:dyDescent="0.3">
      <c r="A3363" s="34">
        <v>46274</v>
      </c>
      <c r="B3363" s="34">
        <v>46274</v>
      </c>
      <c r="C3363" s="5" t="s">
        <v>78</v>
      </c>
      <c r="D3363" s="5" t="s">
        <v>79</v>
      </c>
      <c r="E3363" s="5" t="s">
        <v>80</v>
      </c>
      <c r="F3363" s="5">
        <v>1964</v>
      </c>
      <c r="G3363" s="5" t="s">
        <v>10186</v>
      </c>
      <c r="H3363" s="5" t="s">
        <v>10187</v>
      </c>
      <c r="I3363" s="5" t="s">
        <v>212</v>
      </c>
      <c r="N3363" s="5" t="s">
        <v>10188</v>
      </c>
      <c r="O3363" s="5">
        <v>2793.6</v>
      </c>
      <c r="P3363" s="5">
        <v>2841.8</v>
      </c>
      <c r="Q3363" s="5">
        <v>2782</v>
      </c>
      <c r="R3363" s="5">
        <v>2820</v>
      </c>
      <c r="S3363" s="5">
        <v>2820</v>
      </c>
      <c r="T3363" s="5">
        <v>2793.6</v>
      </c>
      <c r="V3363" s="5">
        <v>2820</v>
      </c>
      <c r="Y3363" s="5">
        <v>601991</v>
      </c>
      <c r="Z3363" s="5">
        <v>1696732333.4000001</v>
      </c>
      <c r="AA3363" s="5">
        <v>41832</v>
      </c>
      <c r="AB3363" s="5" t="s">
        <v>85</v>
      </c>
      <c r="AC3363" s="5">
        <v>1</v>
      </c>
    </row>
    <row r="3364" spans="1:29" x14ac:dyDescent="0.3">
      <c r="A3364" s="34">
        <v>46274</v>
      </c>
      <c r="B3364" s="34">
        <v>46274</v>
      </c>
      <c r="C3364" s="5" t="s">
        <v>78</v>
      </c>
      <c r="D3364" s="5" t="s">
        <v>79</v>
      </c>
      <c r="E3364" s="5" t="s">
        <v>80</v>
      </c>
      <c r="F3364" s="5">
        <v>17987</v>
      </c>
      <c r="G3364" s="5" t="s">
        <v>10189</v>
      </c>
      <c r="H3364" s="5" t="s">
        <v>10190</v>
      </c>
      <c r="I3364" s="5" t="s">
        <v>212</v>
      </c>
      <c r="N3364" s="5" t="s">
        <v>10191</v>
      </c>
      <c r="O3364" s="5">
        <v>231.21</v>
      </c>
      <c r="P3364" s="5">
        <v>232.39</v>
      </c>
      <c r="Q3364" s="5">
        <v>227</v>
      </c>
      <c r="R3364" s="5">
        <v>228.79</v>
      </c>
      <c r="S3364" s="5">
        <v>230</v>
      </c>
      <c r="T3364" s="5">
        <v>230.98</v>
      </c>
      <c r="V3364" s="5">
        <v>228.84</v>
      </c>
      <c r="Y3364" s="5">
        <v>3357</v>
      </c>
      <c r="Z3364" s="5">
        <v>771553.5</v>
      </c>
      <c r="AA3364" s="5">
        <v>258</v>
      </c>
      <c r="AB3364" s="5" t="s">
        <v>85</v>
      </c>
      <c r="AC3364" s="5">
        <v>1</v>
      </c>
    </row>
    <row r="3365" spans="1:29" x14ac:dyDescent="0.3">
      <c r="A3365" s="34">
        <v>46274</v>
      </c>
      <c r="B3365" s="34">
        <v>46274</v>
      </c>
      <c r="C3365" s="5" t="s">
        <v>78</v>
      </c>
      <c r="D3365" s="5" t="s">
        <v>79</v>
      </c>
      <c r="E3365" s="5" t="s">
        <v>80</v>
      </c>
      <c r="F3365" s="5">
        <v>27037</v>
      </c>
      <c r="G3365" s="5" t="s">
        <v>10192</v>
      </c>
      <c r="H3365" s="5" t="s">
        <v>10193</v>
      </c>
      <c r="I3365" s="5" t="s">
        <v>212</v>
      </c>
      <c r="N3365" s="5" t="s">
        <v>10194</v>
      </c>
      <c r="O3365" s="5">
        <v>583.04999999999995</v>
      </c>
      <c r="P3365" s="5">
        <v>583.04999999999995</v>
      </c>
      <c r="Q3365" s="5">
        <v>527.54999999999995</v>
      </c>
      <c r="R3365" s="5">
        <v>527.6</v>
      </c>
      <c r="S3365" s="5">
        <v>530.04999999999995</v>
      </c>
      <c r="T3365" s="5">
        <v>555.29999999999995</v>
      </c>
      <c r="V3365" s="5">
        <v>527.03</v>
      </c>
      <c r="Y3365" s="5">
        <v>5742152</v>
      </c>
      <c r="Z3365" s="5">
        <v>3173226061.8000002</v>
      </c>
      <c r="AA3365" s="5">
        <v>71951</v>
      </c>
      <c r="AB3365" s="5" t="s">
        <v>85</v>
      </c>
      <c r="AC3365" s="5">
        <v>1</v>
      </c>
    </row>
    <row r="3366" spans="1:29" x14ac:dyDescent="0.3">
      <c r="A3366" s="34">
        <v>46274</v>
      </c>
      <c r="B3366" s="34">
        <v>46274</v>
      </c>
      <c r="C3366" s="5" t="s">
        <v>78</v>
      </c>
      <c r="D3366" s="5" t="s">
        <v>79</v>
      </c>
      <c r="E3366" s="5" t="s">
        <v>80</v>
      </c>
      <c r="F3366" s="5">
        <v>9685</v>
      </c>
      <c r="G3366" s="5" t="s">
        <v>10195</v>
      </c>
      <c r="H3366" s="5" t="s">
        <v>10196</v>
      </c>
      <c r="I3366" s="5" t="s">
        <v>212</v>
      </c>
      <c r="N3366" s="5" t="s">
        <v>10197</v>
      </c>
      <c r="O3366" s="5">
        <v>23.9</v>
      </c>
      <c r="P3366" s="5">
        <v>24.07</v>
      </c>
      <c r="Q3366" s="5">
        <v>23.75</v>
      </c>
      <c r="R3366" s="5">
        <v>23.79</v>
      </c>
      <c r="S3366" s="5">
        <v>23.82</v>
      </c>
      <c r="T3366" s="5">
        <v>23.86</v>
      </c>
      <c r="V3366" s="5">
        <v>23.79</v>
      </c>
      <c r="Y3366" s="5">
        <v>1905033</v>
      </c>
      <c r="Z3366" s="5">
        <v>45442229.509999998</v>
      </c>
      <c r="AA3366" s="5">
        <v>8180</v>
      </c>
      <c r="AB3366" s="5" t="s">
        <v>85</v>
      </c>
      <c r="AC3366" s="5">
        <v>1</v>
      </c>
    </row>
    <row r="3367" spans="1:29" x14ac:dyDescent="0.3">
      <c r="A3367" s="34">
        <v>46274</v>
      </c>
      <c r="B3367" s="34">
        <v>46274</v>
      </c>
      <c r="C3367" s="5" t="s">
        <v>78</v>
      </c>
      <c r="D3367" s="5" t="s">
        <v>79</v>
      </c>
      <c r="E3367" s="5" t="s">
        <v>80</v>
      </c>
      <c r="F3367" s="5">
        <v>21078</v>
      </c>
      <c r="G3367" s="5" t="s">
        <v>10198</v>
      </c>
      <c r="H3367" s="5" t="s">
        <v>10199</v>
      </c>
      <c r="I3367" s="5" t="s">
        <v>313</v>
      </c>
      <c r="N3367" s="5" t="s">
        <v>10200</v>
      </c>
      <c r="O3367" s="5">
        <v>126.4</v>
      </c>
      <c r="P3367" s="5">
        <v>127.7</v>
      </c>
      <c r="Q3367" s="5">
        <v>120.4</v>
      </c>
      <c r="R3367" s="5">
        <v>127.7</v>
      </c>
      <c r="S3367" s="5">
        <v>127.7</v>
      </c>
      <c r="T3367" s="5">
        <v>121.65</v>
      </c>
      <c r="V3367" s="5">
        <v>127.7</v>
      </c>
      <c r="Y3367" s="5">
        <v>20500</v>
      </c>
      <c r="Z3367" s="5">
        <v>2604225</v>
      </c>
      <c r="AA3367" s="5">
        <v>80</v>
      </c>
      <c r="AB3367" s="5" t="s">
        <v>85</v>
      </c>
      <c r="AC3367" s="5">
        <v>125</v>
      </c>
    </row>
    <row r="3368" spans="1:29" x14ac:dyDescent="0.3">
      <c r="A3368" s="34">
        <v>46274</v>
      </c>
      <c r="B3368" s="34">
        <v>46274</v>
      </c>
      <c r="C3368" s="5" t="s">
        <v>78</v>
      </c>
      <c r="D3368" s="5" t="s">
        <v>79</v>
      </c>
      <c r="E3368" s="5" t="s">
        <v>80</v>
      </c>
      <c r="F3368" s="5">
        <v>17215</v>
      </c>
      <c r="G3368" s="5" t="s">
        <v>10201</v>
      </c>
      <c r="H3368" s="5" t="s">
        <v>10202</v>
      </c>
      <c r="I3368" s="5" t="s">
        <v>392</v>
      </c>
      <c r="N3368" s="5" t="s">
        <v>10203</v>
      </c>
      <c r="O3368" s="5">
        <v>7.15</v>
      </c>
      <c r="P3368" s="5">
        <v>7.15</v>
      </c>
      <c r="Q3368" s="5">
        <v>7.15</v>
      </c>
      <c r="R3368" s="5">
        <v>7.15</v>
      </c>
      <c r="S3368" s="5">
        <v>7.15</v>
      </c>
      <c r="T3368" s="5">
        <v>7.15</v>
      </c>
      <c r="V3368" s="5">
        <v>7.15</v>
      </c>
      <c r="Y3368" s="5">
        <v>3000</v>
      </c>
      <c r="Z3368" s="5">
        <v>21450</v>
      </c>
      <c r="AA3368" s="5">
        <v>1</v>
      </c>
      <c r="AB3368" s="5" t="s">
        <v>85</v>
      </c>
      <c r="AC3368" s="5">
        <v>3000</v>
      </c>
    </row>
    <row r="3369" spans="1:29" x14ac:dyDescent="0.3">
      <c r="A3369" s="34">
        <v>46274</v>
      </c>
      <c r="B3369" s="34">
        <v>46274</v>
      </c>
      <c r="C3369" s="5" t="s">
        <v>78</v>
      </c>
      <c r="D3369" s="5" t="s">
        <v>79</v>
      </c>
      <c r="E3369" s="5" t="s">
        <v>80</v>
      </c>
      <c r="F3369" s="5">
        <v>5428</v>
      </c>
      <c r="G3369" s="5" t="s">
        <v>10204</v>
      </c>
      <c r="H3369" s="5" t="s">
        <v>10205</v>
      </c>
      <c r="I3369" s="5" t="s">
        <v>212</v>
      </c>
      <c r="N3369" s="5" t="s">
        <v>10206</v>
      </c>
      <c r="O3369" s="5">
        <v>56.95</v>
      </c>
      <c r="P3369" s="5">
        <v>61.5</v>
      </c>
      <c r="Q3369" s="5">
        <v>56.51</v>
      </c>
      <c r="R3369" s="5">
        <v>57.39</v>
      </c>
      <c r="S3369" s="5">
        <v>56.8</v>
      </c>
      <c r="T3369" s="5">
        <v>56.92</v>
      </c>
      <c r="V3369" s="5">
        <v>57.46</v>
      </c>
      <c r="Y3369" s="5">
        <v>73190</v>
      </c>
      <c r="Z3369" s="5">
        <v>4293226.8</v>
      </c>
      <c r="AA3369" s="5">
        <v>2174</v>
      </c>
      <c r="AB3369" s="5" t="s">
        <v>85</v>
      </c>
      <c r="AC3369" s="5">
        <v>1</v>
      </c>
    </row>
    <row r="3370" spans="1:29" x14ac:dyDescent="0.3">
      <c r="A3370" s="34">
        <v>46274</v>
      </c>
      <c r="B3370" s="34">
        <v>46274</v>
      </c>
      <c r="C3370" s="5" t="s">
        <v>78</v>
      </c>
      <c r="D3370" s="5" t="s">
        <v>79</v>
      </c>
      <c r="E3370" s="5" t="s">
        <v>80</v>
      </c>
      <c r="F3370" s="5">
        <v>764960</v>
      </c>
      <c r="G3370" s="5" t="s">
        <v>10207</v>
      </c>
      <c r="H3370" s="5" t="s">
        <v>10208</v>
      </c>
      <c r="I3370" s="5" t="s">
        <v>212</v>
      </c>
      <c r="N3370" s="5" t="s">
        <v>10209</v>
      </c>
      <c r="O3370" s="5">
        <v>1135.8</v>
      </c>
      <c r="P3370" s="5">
        <v>1146</v>
      </c>
      <c r="Q3370" s="5">
        <v>1111</v>
      </c>
      <c r="R3370" s="5">
        <v>1140.5999999999999</v>
      </c>
      <c r="S3370" s="5">
        <v>1135</v>
      </c>
      <c r="T3370" s="5">
        <v>1124.5999999999999</v>
      </c>
      <c r="V3370" s="5">
        <v>1137.82</v>
      </c>
      <c r="Y3370" s="5">
        <v>2202</v>
      </c>
      <c r="Z3370" s="5">
        <v>2500731.4</v>
      </c>
      <c r="AA3370" s="5">
        <v>418</v>
      </c>
      <c r="AB3370" s="5" t="s">
        <v>85</v>
      </c>
      <c r="AC3370" s="5">
        <v>1</v>
      </c>
    </row>
    <row r="3371" spans="1:29" x14ac:dyDescent="0.3">
      <c r="A3371" s="34">
        <v>46274</v>
      </c>
      <c r="B3371" s="34">
        <v>46274</v>
      </c>
      <c r="C3371" s="5" t="s">
        <v>78</v>
      </c>
      <c r="D3371" s="5" t="s">
        <v>79</v>
      </c>
      <c r="E3371" s="5" t="s">
        <v>80</v>
      </c>
      <c r="F3371" s="5">
        <v>13081</v>
      </c>
      <c r="G3371" s="5" t="s">
        <v>10210</v>
      </c>
      <c r="H3371" s="5" t="s">
        <v>10211</v>
      </c>
      <c r="I3371" s="5" t="s">
        <v>212</v>
      </c>
      <c r="N3371" s="5" t="s">
        <v>10212</v>
      </c>
      <c r="O3371" s="5">
        <v>270.2</v>
      </c>
      <c r="P3371" s="5">
        <v>274.7</v>
      </c>
      <c r="Q3371" s="5">
        <v>265</v>
      </c>
      <c r="R3371" s="5">
        <v>268.8</v>
      </c>
      <c r="S3371" s="5">
        <v>269.45</v>
      </c>
      <c r="T3371" s="5">
        <v>272.75</v>
      </c>
      <c r="V3371" s="5">
        <v>268.81</v>
      </c>
      <c r="Y3371" s="5">
        <v>445094</v>
      </c>
      <c r="Z3371" s="5">
        <v>119939676</v>
      </c>
      <c r="AA3371" s="5">
        <v>9296</v>
      </c>
      <c r="AB3371" s="5" t="s">
        <v>85</v>
      </c>
      <c r="AC3371" s="5">
        <v>1</v>
      </c>
    </row>
    <row r="3372" spans="1:29" x14ac:dyDescent="0.3">
      <c r="A3372" s="34">
        <v>46274</v>
      </c>
      <c r="B3372" s="34">
        <v>46274</v>
      </c>
      <c r="C3372" s="5" t="s">
        <v>78</v>
      </c>
      <c r="D3372" s="5" t="s">
        <v>79</v>
      </c>
      <c r="E3372" s="5" t="s">
        <v>80</v>
      </c>
      <c r="F3372" s="5">
        <v>25584</v>
      </c>
      <c r="G3372" s="5" t="s">
        <v>10213</v>
      </c>
      <c r="H3372" s="5" t="s">
        <v>10214</v>
      </c>
      <c r="I3372" s="5" t="s">
        <v>212</v>
      </c>
      <c r="N3372" s="5" t="s">
        <v>10215</v>
      </c>
      <c r="O3372" s="5">
        <v>580.6</v>
      </c>
      <c r="P3372" s="5">
        <v>583.6</v>
      </c>
      <c r="Q3372" s="5">
        <v>563.79999999999995</v>
      </c>
      <c r="R3372" s="5">
        <v>565.04999999999995</v>
      </c>
      <c r="S3372" s="5">
        <v>564.29999999999995</v>
      </c>
      <c r="T3372" s="5">
        <v>580.6</v>
      </c>
      <c r="V3372" s="5">
        <v>565.04</v>
      </c>
      <c r="Y3372" s="5">
        <v>454425</v>
      </c>
      <c r="Z3372" s="5">
        <v>258911722.34999999</v>
      </c>
      <c r="AA3372" s="5">
        <v>72067</v>
      </c>
      <c r="AB3372" s="5" t="s">
        <v>85</v>
      </c>
      <c r="AC3372" s="5">
        <v>1</v>
      </c>
    </row>
    <row r="3373" spans="1:29" x14ac:dyDescent="0.3">
      <c r="A3373" s="34">
        <v>46274</v>
      </c>
      <c r="B3373" s="34">
        <v>46274</v>
      </c>
      <c r="C3373" s="5" t="s">
        <v>78</v>
      </c>
      <c r="D3373" s="5" t="s">
        <v>79</v>
      </c>
      <c r="E3373" s="5" t="s">
        <v>80</v>
      </c>
      <c r="F3373" s="5">
        <v>24642</v>
      </c>
      <c r="G3373" s="5" t="s">
        <v>10216</v>
      </c>
      <c r="H3373" s="5" t="s">
        <v>10217</v>
      </c>
      <c r="I3373" s="5" t="s">
        <v>313</v>
      </c>
      <c r="N3373" s="5" t="s">
        <v>10218</v>
      </c>
      <c r="O3373" s="5">
        <v>60.5</v>
      </c>
      <c r="P3373" s="5">
        <v>60.5</v>
      </c>
      <c r="Q3373" s="5">
        <v>60.5</v>
      </c>
      <c r="R3373" s="5">
        <v>60.5</v>
      </c>
      <c r="S3373" s="5">
        <v>60.5</v>
      </c>
      <c r="T3373" s="5">
        <v>61.9</v>
      </c>
      <c r="V3373" s="5">
        <v>60.5</v>
      </c>
      <c r="Y3373" s="5">
        <v>600</v>
      </c>
      <c r="Z3373" s="5">
        <v>36300</v>
      </c>
      <c r="AA3373" s="5">
        <v>1</v>
      </c>
      <c r="AB3373" s="5" t="s">
        <v>85</v>
      </c>
      <c r="AC3373" s="5">
        <v>600</v>
      </c>
    </row>
    <row r="3374" spans="1:29" x14ac:dyDescent="0.3">
      <c r="A3374" s="34">
        <v>46274</v>
      </c>
      <c r="B3374" s="34">
        <v>46274</v>
      </c>
      <c r="C3374" s="5" t="s">
        <v>78</v>
      </c>
      <c r="D3374" s="5" t="s">
        <v>79</v>
      </c>
      <c r="E3374" s="5" t="s">
        <v>80</v>
      </c>
      <c r="F3374" s="5">
        <v>759210</v>
      </c>
      <c r="G3374" s="5" t="s">
        <v>10219</v>
      </c>
      <c r="H3374" s="5" t="s">
        <v>10220</v>
      </c>
      <c r="I3374" s="5" t="s">
        <v>212</v>
      </c>
      <c r="N3374" s="5" t="s">
        <v>10221</v>
      </c>
      <c r="O3374" s="5">
        <v>415.7</v>
      </c>
      <c r="P3374" s="5">
        <v>428.6</v>
      </c>
      <c r="Q3374" s="5">
        <v>415</v>
      </c>
      <c r="R3374" s="5">
        <v>421.15</v>
      </c>
      <c r="S3374" s="5">
        <v>424.5</v>
      </c>
      <c r="T3374" s="5">
        <v>415.7</v>
      </c>
      <c r="V3374" s="5">
        <v>421.14</v>
      </c>
      <c r="Y3374" s="5">
        <v>119790</v>
      </c>
      <c r="Z3374" s="5">
        <v>50727505.450000003</v>
      </c>
      <c r="AA3374" s="5">
        <v>3904</v>
      </c>
      <c r="AB3374" s="5" t="s">
        <v>85</v>
      </c>
      <c r="AC3374" s="5">
        <v>1</v>
      </c>
    </row>
    <row r="3375" spans="1:29" x14ac:dyDescent="0.3">
      <c r="A3375" s="34">
        <v>46274</v>
      </c>
      <c r="B3375" s="34">
        <v>46274</v>
      </c>
      <c r="C3375" s="5" t="s">
        <v>78</v>
      </c>
      <c r="D3375" s="5" t="s">
        <v>79</v>
      </c>
      <c r="E3375" s="5" t="s">
        <v>80</v>
      </c>
      <c r="F3375" s="5">
        <v>9378</v>
      </c>
      <c r="G3375" s="5" t="s">
        <v>10222</v>
      </c>
      <c r="H3375" s="5" t="s">
        <v>10223</v>
      </c>
      <c r="I3375" s="5" t="s">
        <v>212</v>
      </c>
      <c r="N3375" s="5" t="s">
        <v>10224</v>
      </c>
      <c r="O3375" s="5">
        <v>4.13</v>
      </c>
      <c r="P3375" s="5">
        <v>4.34</v>
      </c>
      <c r="Q3375" s="5">
        <v>4.04</v>
      </c>
      <c r="R3375" s="5">
        <v>4.18</v>
      </c>
      <c r="S3375" s="5">
        <v>4.2</v>
      </c>
      <c r="T3375" s="5">
        <v>4.0599999999999996</v>
      </c>
      <c r="V3375" s="5">
        <v>4.18</v>
      </c>
      <c r="Y3375" s="5">
        <v>122358</v>
      </c>
      <c r="Z3375" s="5">
        <v>511627.54</v>
      </c>
      <c r="AA3375" s="5">
        <v>314</v>
      </c>
      <c r="AB3375" s="5" t="s">
        <v>85</v>
      </c>
      <c r="AC3375" s="5">
        <v>1</v>
      </c>
    </row>
    <row r="3376" spans="1:29" x14ac:dyDescent="0.3">
      <c r="A3376" s="34">
        <v>46274</v>
      </c>
      <c r="B3376" s="34">
        <v>46274</v>
      </c>
      <c r="C3376" s="5" t="s">
        <v>78</v>
      </c>
      <c r="D3376" s="5" t="s">
        <v>79</v>
      </c>
      <c r="E3376" s="5" t="s">
        <v>80</v>
      </c>
      <c r="F3376" s="5">
        <v>23417</v>
      </c>
      <c r="G3376" s="5" t="s">
        <v>10225</v>
      </c>
      <c r="H3376" s="5" t="s">
        <v>10226</v>
      </c>
      <c r="I3376" s="5" t="s">
        <v>313</v>
      </c>
      <c r="N3376" s="5" t="s">
        <v>10227</v>
      </c>
      <c r="O3376" s="5">
        <v>29.5</v>
      </c>
      <c r="P3376" s="5">
        <v>29.5</v>
      </c>
      <c r="Q3376" s="5">
        <v>27.9</v>
      </c>
      <c r="R3376" s="5">
        <v>28.05</v>
      </c>
      <c r="S3376" s="5">
        <v>28.05</v>
      </c>
      <c r="T3376" s="5">
        <v>29.2</v>
      </c>
      <c r="V3376" s="5">
        <v>28.05</v>
      </c>
      <c r="Y3376" s="5">
        <v>34200</v>
      </c>
      <c r="Z3376" s="5">
        <v>963390</v>
      </c>
      <c r="AA3376" s="5">
        <v>30</v>
      </c>
      <c r="AB3376" s="5" t="s">
        <v>85</v>
      </c>
      <c r="AC3376" s="5">
        <v>600</v>
      </c>
    </row>
    <row r="3377" spans="1:29" x14ac:dyDescent="0.3">
      <c r="A3377" s="34">
        <v>46274</v>
      </c>
      <c r="B3377" s="34">
        <v>46274</v>
      </c>
      <c r="C3377" s="5" t="s">
        <v>78</v>
      </c>
      <c r="D3377" s="5" t="s">
        <v>79</v>
      </c>
      <c r="E3377" s="5" t="s">
        <v>80</v>
      </c>
      <c r="F3377" s="5">
        <v>757861</v>
      </c>
      <c r="G3377" s="5" t="s">
        <v>10228</v>
      </c>
      <c r="H3377" s="5" t="s">
        <v>10229</v>
      </c>
      <c r="I3377" s="5" t="s">
        <v>392</v>
      </c>
      <c r="N3377" s="5" t="s">
        <v>10230</v>
      </c>
      <c r="O3377" s="5">
        <v>49.8</v>
      </c>
      <c r="P3377" s="5">
        <v>49.8</v>
      </c>
      <c r="Q3377" s="5">
        <v>49.8</v>
      </c>
      <c r="R3377" s="5">
        <v>49.8</v>
      </c>
      <c r="S3377" s="5">
        <v>49.8</v>
      </c>
      <c r="T3377" s="5">
        <v>47.45</v>
      </c>
      <c r="V3377" s="5">
        <v>49.8</v>
      </c>
      <c r="Y3377" s="5">
        <v>6000</v>
      </c>
      <c r="Z3377" s="5">
        <v>298800</v>
      </c>
      <c r="AA3377" s="5">
        <v>3</v>
      </c>
      <c r="AB3377" s="5" t="s">
        <v>85</v>
      </c>
      <c r="AC3377" s="5">
        <v>2000</v>
      </c>
    </row>
    <row r="3378" spans="1:29" x14ac:dyDescent="0.3">
      <c r="A3378" s="34">
        <v>46274</v>
      </c>
      <c r="B3378" s="34">
        <v>46274</v>
      </c>
      <c r="C3378" s="5" t="s">
        <v>78</v>
      </c>
      <c r="D3378" s="5" t="s">
        <v>79</v>
      </c>
      <c r="E3378" s="5" t="s">
        <v>80</v>
      </c>
      <c r="F3378" s="5">
        <v>2183</v>
      </c>
      <c r="G3378" s="5" t="s">
        <v>10231</v>
      </c>
      <c r="H3378" s="5" t="s">
        <v>10232</v>
      </c>
      <c r="I3378" s="5" t="s">
        <v>212</v>
      </c>
      <c r="N3378" s="5" t="s">
        <v>10233</v>
      </c>
      <c r="O3378" s="5">
        <v>422.3</v>
      </c>
      <c r="P3378" s="5">
        <v>430.65</v>
      </c>
      <c r="Q3378" s="5">
        <v>416</v>
      </c>
      <c r="R3378" s="5">
        <v>422.9</v>
      </c>
      <c r="S3378" s="5">
        <v>423.25</v>
      </c>
      <c r="T3378" s="5">
        <v>422.3</v>
      </c>
      <c r="V3378" s="5">
        <v>422.9</v>
      </c>
      <c r="Y3378" s="5">
        <v>86541</v>
      </c>
      <c r="Z3378" s="5">
        <v>36673477.200000003</v>
      </c>
      <c r="AA3378" s="5">
        <v>4195</v>
      </c>
      <c r="AB3378" s="5" t="s">
        <v>85</v>
      </c>
      <c r="AC3378" s="5">
        <v>1</v>
      </c>
    </row>
    <row r="3379" spans="1:29" x14ac:dyDescent="0.3">
      <c r="A3379" s="34">
        <v>46274</v>
      </c>
      <c r="B3379" s="34">
        <v>46274</v>
      </c>
      <c r="C3379" s="5" t="s">
        <v>78</v>
      </c>
      <c r="D3379" s="5" t="s">
        <v>79</v>
      </c>
      <c r="E3379" s="5" t="s">
        <v>80</v>
      </c>
      <c r="F3379" s="5">
        <v>27448</v>
      </c>
      <c r="G3379" s="5" t="s">
        <v>10234</v>
      </c>
      <c r="H3379" s="5" t="s">
        <v>10235</v>
      </c>
      <c r="I3379" s="5" t="s">
        <v>580</v>
      </c>
      <c r="N3379" s="5" t="s">
        <v>10236</v>
      </c>
      <c r="O3379" s="5">
        <v>106154.38</v>
      </c>
      <c r="P3379" s="5">
        <v>106154.38</v>
      </c>
      <c r="Q3379" s="5">
        <v>106154.38</v>
      </c>
      <c r="R3379" s="5">
        <v>106154.38</v>
      </c>
      <c r="S3379" s="5">
        <v>106154.38</v>
      </c>
      <c r="T3379" s="5">
        <v>104651.01</v>
      </c>
      <c r="V3379" s="5">
        <v>106154.38</v>
      </c>
      <c r="Y3379" s="5">
        <v>5</v>
      </c>
      <c r="Z3379" s="5">
        <v>530771.9</v>
      </c>
      <c r="AA3379" s="5">
        <v>1</v>
      </c>
      <c r="AB3379" s="5" t="s">
        <v>85</v>
      </c>
      <c r="AC3379" s="5">
        <v>1</v>
      </c>
    </row>
    <row r="3380" spans="1:29" x14ac:dyDescent="0.3">
      <c r="A3380" s="34">
        <v>46274</v>
      </c>
      <c r="B3380" s="34">
        <v>46274</v>
      </c>
      <c r="C3380" s="5" t="s">
        <v>78</v>
      </c>
      <c r="D3380" s="5" t="s">
        <v>79</v>
      </c>
      <c r="E3380" s="5" t="s">
        <v>80</v>
      </c>
      <c r="F3380" s="5">
        <v>27421</v>
      </c>
      <c r="G3380" s="5" t="s">
        <v>10237</v>
      </c>
      <c r="H3380" s="5" t="s">
        <v>10238</v>
      </c>
      <c r="I3380" s="5" t="s">
        <v>580</v>
      </c>
      <c r="N3380" s="5" t="s">
        <v>10239</v>
      </c>
      <c r="O3380" s="5">
        <v>103380.5</v>
      </c>
      <c r="P3380" s="5">
        <v>103380.5</v>
      </c>
      <c r="Q3380" s="5">
        <v>103380.5</v>
      </c>
      <c r="R3380" s="5">
        <v>103380.5</v>
      </c>
      <c r="S3380" s="5">
        <v>103380.5</v>
      </c>
      <c r="T3380" s="5">
        <v>103900</v>
      </c>
      <c r="V3380" s="5">
        <v>103380.5</v>
      </c>
      <c r="Y3380" s="5">
        <v>1</v>
      </c>
      <c r="Z3380" s="5">
        <v>103380.5</v>
      </c>
      <c r="AA3380" s="5">
        <v>1</v>
      </c>
      <c r="AB3380" s="5" t="s">
        <v>85</v>
      </c>
      <c r="AC3380" s="5">
        <v>1</v>
      </c>
    </row>
    <row r="3381" spans="1:29" x14ac:dyDescent="0.3">
      <c r="A3381" s="34">
        <v>46274</v>
      </c>
      <c r="B3381" s="34">
        <v>46274</v>
      </c>
      <c r="C3381" s="5" t="s">
        <v>78</v>
      </c>
      <c r="D3381" s="5" t="s">
        <v>79</v>
      </c>
      <c r="E3381" s="5" t="s">
        <v>80</v>
      </c>
      <c r="F3381" s="5">
        <v>11369</v>
      </c>
      <c r="G3381" s="5" t="s">
        <v>10240</v>
      </c>
      <c r="H3381" s="5" t="s">
        <v>10241</v>
      </c>
      <c r="I3381" s="5" t="s">
        <v>212</v>
      </c>
      <c r="N3381" s="5" t="s">
        <v>10242</v>
      </c>
      <c r="O3381" s="5">
        <v>1217.2</v>
      </c>
      <c r="P3381" s="5">
        <v>1247</v>
      </c>
      <c r="Q3381" s="5">
        <v>1166.3</v>
      </c>
      <c r="R3381" s="5">
        <v>1184</v>
      </c>
      <c r="S3381" s="5">
        <v>1179.8</v>
      </c>
      <c r="T3381" s="5">
        <v>1191</v>
      </c>
      <c r="V3381" s="5">
        <v>1183.8900000000001</v>
      </c>
      <c r="Y3381" s="5">
        <v>244268</v>
      </c>
      <c r="Z3381" s="5">
        <v>297271134</v>
      </c>
      <c r="AA3381" s="5">
        <v>22766</v>
      </c>
      <c r="AB3381" s="5" t="s">
        <v>85</v>
      </c>
      <c r="AC3381" s="5">
        <v>1</v>
      </c>
    </row>
    <row r="3382" spans="1:29" x14ac:dyDescent="0.3">
      <c r="A3382" s="34">
        <v>46274</v>
      </c>
      <c r="B3382" s="34">
        <v>46274</v>
      </c>
      <c r="C3382" s="5" t="s">
        <v>78</v>
      </c>
      <c r="D3382" s="5" t="s">
        <v>79</v>
      </c>
      <c r="E3382" s="5" t="s">
        <v>80</v>
      </c>
      <c r="F3382" s="5">
        <v>3546</v>
      </c>
      <c r="G3382" s="5" t="s">
        <v>10243</v>
      </c>
      <c r="H3382" s="5" t="s">
        <v>10244</v>
      </c>
      <c r="I3382" s="5" t="s">
        <v>212</v>
      </c>
      <c r="N3382" s="5" t="s">
        <v>10245</v>
      </c>
      <c r="O3382" s="5">
        <v>549</v>
      </c>
      <c r="P3382" s="5">
        <v>554.5</v>
      </c>
      <c r="Q3382" s="5">
        <v>540.25</v>
      </c>
      <c r="R3382" s="5">
        <v>541.35</v>
      </c>
      <c r="S3382" s="5">
        <v>541.75</v>
      </c>
      <c r="T3382" s="5">
        <v>549.20000000000005</v>
      </c>
      <c r="V3382" s="5">
        <v>541.35</v>
      </c>
      <c r="Y3382" s="5">
        <v>60712</v>
      </c>
      <c r="Z3382" s="5">
        <v>33081761.449999999</v>
      </c>
      <c r="AA3382" s="5">
        <v>6074</v>
      </c>
      <c r="AB3382" s="5" t="s">
        <v>85</v>
      </c>
      <c r="AC3382" s="5">
        <v>1</v>
      </c>
    </row>
    <row r="3383" spans="1:29" x14ac:dyDescent="0.3">
      <c r="A3383" s="34">
        <v>46274</v>
      </c>
      <c r="B3383" s="34">
        <v>46274</v>
      </c>
      <c r="C3383" s="5" t="s">
        <v>78</v>
      </c>
      <c r="D3383" s="5" t="s">
        <v>79</v>
      </c>
      <c r="E3383" s="5" t="s">
        <v>80</v>
      </c>
      <c r="F3383" s="5">
        <v>312</v>
      </c>
      <c r="G3383" s="5" t="s">
        <v>10246</v>
      </c>
      <c r="H3383" s="5" t="s">
        <v>32</v>
      </c>
      <c r="I3383" s="5" t="s">
        <v>212</v>
      </c>
      <c r="N3383" s="5" t="s">
        <v>10247</v>
      </c>
      <c r="O3383" s="5">
        <v>2649.4</v>
      </c>
      <c r="P3383" s="5">
        <v>2708.6</v>
      </c>
      <c r="Q3383" s="5">
        <v>2596.3000000000002</v>
      </c>
      <c r="R3383" s="5">
        <v>2678.3</v>
      </c>
      <c r="S3383" s="5">
        <v>2678.3</v>
      </c>
      <c r="T3383" s="5">
        <v>2638.7</v>
      </c>
      <c r="V3383" s="5">
        <v>2678.3</v>
      </c>
      <c r="Y3383" s="5">
        <v>234838</v>
      </c>
      <c r="Z3383" s="5">
        <v>628490566.20000005</v>
      </c>
      <c r="AA3383" s="5">
        <v>26465</v>
      </c>
      <c r="AB3383" s="5" t="s">
        <v>85</v>
      </c>
      <c r="AC3383" s="5">
        <v>1</v>
      </c>
    </row>
    <row r="3384" spans="1:29" x14ac:dyDescent="0.3">
      <c r="A3384" s="34">
        <v>46274</v>
      </c>
      <c r="B3384" s="34">
        <v>46274</v>
      </c>
      <c r="C3384" s="5" t="s">
        <v>78</v>
      </c>
      <c r="D3384" s="5" t="s">
        <v>79</v>
      </c>
      <c r="E3384" s="5" t="s">
        <v>80</v>
      </c>
      <c r="F3384" s="5">
        <v>24520</v>
      </c>
      <c r="G3384" s="5" t="s">
        <v>10248</v>
      </c>
      <c r="H3384" s="5" t="s">
        <v>10249</v>
      </c>
      <c r="I3384" s="5" t="s">
        <v>313</v>
      </c>
      <c r="N3384" s="5" t="s">
        <v>10250</v>
      </c>
      <c r="O3384" s="5">
        <v>25.35</v>
      </c>
      <c r="P3384" s="5">
        <v>25.4</v>
      </c>
      <c r="Q3384" s="5">
        <v>25</v>
      </c>
      <c r="R3384" s="5">
        <v>25.25</v>
      </c>
      <c r="S3384" s="5">
        <v>25.25</v>
      </c>
      <c r="T3384" s="5">
        <v>25.35</v>
      </c>
      <c r="V3384" s="5">
        <v>25.25</v>
      </c>
      <c r="Y3384" s="5">
        <v>36000</v>
      </c>
      <c r="Z3384" s="5">
        <v>906600</v>
      </c>
      <c r="AA3384" s="5">
        <v>17</v>
      </c>
      <c r="AB3384" s="5" t="s">
        <v>85</v>
      </c>
      <c r="AC3384" s="5">
        <v>2000</v>
      </c>
    </row>
    <row r="3385" spans="1:29" x14ac:dyDescent="0.3">
      <c r="A3385" s="34">
        <v>46274</v>
      </c>
      <c r="B3385" s="34">
        <v>46274</v>
      </c>
      <c r="C3385" s="5" t="s">
        <v>78</v>
      </c>
      <c r="D3385" s="5" t="s">
        <v>79</v>
      </c>
      <c r="E3385" s="5" t="s">
        <v>80</v>
      </c>
      <c r="F3385" s="5">
        <v>756090</v>
      </c>
      <c r="G3385" s="5" t="s">
        <v>10251</v>
      </c>
      <c r="H3385" s="5" t="s">
        <v>10252</v>
      </c>
      <c r="I3385" s="5" t="s">
        <v>212</v>
      </c>
      <c r="N3385" s="5" t="s">
        <v>10253</v>
      </c>
      <c r="O3385" s="5">
        <v>139.1</v>
      </c>
      <c r="P3385" s="5">
        <v>139.1</v>
      </c>
      <c r="Q3385" s="5">
        <v>133.80000000000001</v>
      </c>
      <c r="R3385" s="5">
        <v>134.62</v>
      </c>
      <c r="S3385" s="5">
        <v>135.25</v>
      </c>
      <c r="T3385" s="5">
        <v>139.86000000000001</v>
      </c>
      <c r="V3385" s="5">
        <v>134.61000000000001</v>
      </c>
      <c r="Y3385" s="5">
        <v>423536</v>
      </c>
      <c r="Z3385" s="5">
        <v>57607357.479999997</v>
      </c>
      <c r="AA3385" s="5">
        <v>6983</v>
      </c>
      <c r="AB3385" s="5" t="s">
        <v>85</v>
      </c>
      <c r="AC3385" s="5">
        <v>1</v>
      </c>
    </row>
    <row r="3386" spans="1:29" x14ac:dyDescent="0.3">
      <c r="A3386" s="34">
        <v>46274</v>
      </c>
      <c r="B3386" s="34">
        <v>46274</v>
      </c>
      <c r="C3386" s="5" t="s">
        <v>78</v>
      </c>
      <c r="D3386" s="5" t="s">
        <v>79</v>
      </c>
      <c r="E3386" s="5" t="s">
        <v>80</v>
      </c>
      <c r="F3386" s="5">
        <v>765205</v>
      </c>
      <c r="G3386" s="5" t="s">
        <v>10254</v>
      </c>
      <c r="H3386" s="5" t="s">
        <v>10255</v>
      </c>
      <c r="I3386" s="5" t="s">
        <v>212</v>
      </c>
      <c r="N3386" s="5" t="s">
        <v>10256</v>
      </c>
      <c r="O3386" s="5">
        <v>59.8</v>
      </c>
      <c r="P3386" s="5">
        <v>61</v>
      </c>
      <c r="Q3386" s="5">
        <v>58.05</v>
      </c>
      <c r="R3386" s="5">
        <v>58.38</v>
      </c>
      <c r="S3386" s="5">
        <v>58.05</v>
      </c>
      <c r="T3386" s="5">
        <v>59.91</v>
      </c>
      <c r="V3386" s="5">
        <v>58.41</v>
      </c>
      <c r="Y3386" s="5">
        <v>14318</v>
      </c>
      <c r="Z3386" s="5">
        <v>849289.17</v>
      </c>
      <c r="AA3386" s="5">
        <v>170</v>
      </c>
      <c r="AB3386" s="5" t="s">
        <v>85</v>
      </c>
      <c r="AC3386" s="5">
        <v>1</v>
      </c>
    </row>
    <row r="3387" spans="1:29" x14ac:dyDescent="0.3">
      <c r="A3387" s="34">
        <v>46274</v>
      </c>
      <c r="B3387" s="34">
        <v>46274</v>
      </c>
      <c r="C3387" s="5" t="s">
        <v>78</v>
      </c>
      <c r="D3387" s="5" t="s">
        <v>79</v>
      </c>
      <c r="E3387" s="5" t="s">
        <v>80</v>
      </c>
      <c r="F3387" s="5">
        <v>11275</v>
      </c>
      <c r="G3387" s="5" t="s">
        <v>10257</v>
      </c>
      <c r="H3387" s="5" t="s">
        <v>10258</v>
      </c>
      <c r="I3387" s="5" t="s">
        <v>212</v>
      </c>
      <c r="N3387" s="5" t="s">
        <v>10259</v>
      </c>
      <c r="O3387" s="5">
        <v>110.99</v>
      </c>
      <c r="P3387" s="5">
        <v>112.7</v>
      </c>
      <c r="Q3387" s="5">
        <v>110</v>
      </c>
      <c r="R3387" s="5">
        <v>110.06</v>
      </c>
      <c r="S3387" s="5">
        <v>110.02</v>
      </c>
      <c r="T3387" s="5">
        <v>110.99</v>
      </c>
      <c r="V3387" s="5">
        <v>110.06</v>
      </c>
      <c r="Y3387" s="5">
        <v>17754</v>
      </c>
      <c r="Z3387" s="5">
        <v>1958140.05</v>
      </c>
      <c r="AA3387" s="5">
        <v>385</v>
      </c>
      <c r="AB3387" s="5" t="s">
        <v>85</v>
      </c>
      <c r="AC3387" s="5">
        <v>1</v>
      </c>
    </row>
    <row r="3388" spans="1:29" x14ac:dyDescent="0.3">
      <c r="A3388" s="34">
        <v>46274</v>
      </c>
      <c r="B3388" s="34">
        <v>46274</v>
      </c>
      <c r="C3388" s="5" t="s">
        <v>78</v>
      </c>
      <c r="D3388" s="5" t="s">
        <v>79</v>
      </c>
      <c r="E3388" s="5" t="s">
        <v>80</v>
      </c>
      <c r="F3388" s="5">
        <v>18508</v>
      </c>
      <c r="G3388" s="5" t="s">
        <v>10260</v>
      </c>
      <c r="H3388" s="5" t="s">
        <v>10261</v>
      </c>
      <c r="I3388" s="5" t="s">
        <v>234</v>
      </c>
      <c r="N3388" s="5" t="s">
        <v>10262</v>
      </c>
      <c r="O3388" s="5">
        <v>3.2</v>
      </c>
      <c r="P3388" s="5">
        <v>3.2</v>
      </c>
      <c r="Q3388" s="5">
        <v>3.03</v>
      </c>
      <c r="R3388" s="5">
        <v>3.03</v>
      </c>
      <c r="S3388" s="5">
        <v>3.03</v>
      </c>
      <c r="T3388" s="5">
        <v>3.18</v>
      </c>
      <c r="V3388" s="5">
        <v>3.03</v>
      </c>
      <c r="Y3388" s="5">
        <v>106312</v>
      </c>
      <c r="Z3388" s="5">
        <v>322784.90000000002</v>
      </c>
      <c r="AA3388" s="5">
        <v>113</v>
      </c>
      <c r="AB3388" s="5" t="s">
        <v>85</v>
      </c>
      <c r="AC3388" s="5">
        <v>1</v>
      </c>
    </row>
    <row r="3389" spans="1:29" x14ac:dyDescent="0.3">
      <c r="A3389" s="34">
        <v>46274</v>
      </c>
      <c r="B3389" s="34">
        <v>46274</v>
      </c>
      <c r="C3389" s="5" t="s">
        <v>78</v>
      </c>
      <c r="D3389" s="5" t="s">
        <v>79</v>
      </c>
      <c r="E3389" s="5" t="s">
        <v>80</v>
      </c>
      <c r="F3389" s="5">
        <v>11265</v>
      </c>
      <c r="G3389" s="5" t="s">
        <v>10263</v>
      </c>
      <c r="H3389" s="5" t="s">
        <v>10264</v>
      </c>
      <c r="I3389" s="5" t="s">
        <v>212</v>
      </c>
      <c r="N3389" s="5" t="s">
        <v>10265</v>
      </c>
      <c r="O3389" s="5">
        <v>410</v>
      </c>
      <c r="P3389" s="5">
        <v>427</v>
      </c>
      <c r="Q3389" s="5">
        <v>410</v>
      </c>
      <c r="R3389" s="5">
        <v>414.85</v>
      </c>
      <c r="S3389" s="5">
        <v>415.75</v>
      </c>
      <c r="T3389" s="5">
        <v>411.75</v>
      </c>
      <c r="V3389" s="5">
        <v>414.88</v>
      </c>
      <c r="Y3389" s="5">
        <v>30987</v>
      </c>
      <c r="Z3389" s="5">
        <v>12926152.4</v>
      </c>
      <c r="AA3389" s="5">
        <v>1384</v>
      </c>
      <c r="AB3389" s="5" t="s">
        <v>85</v>
      </c>
      <c r="AC3389" s="5">
        <v>1</v>
      </c>
    </row>
    <row r="3390" spans="1:29" x14ac:dyDescent="0.3">
      <c r="A3390" s="34">
        <v>46274</v>
      </c>
      <c r="B3390" s="34">
        <v>46274</v>
      </c>
      <c r="C3390" s="5" t="s">
        <v>78</v>
      </c>
      <c r="D3390" s="5" t="s">
        <v>79</v>
      </c>
      <c r="E3390" s="5" t="s">
        <v>80</v>
      </c>
      <c r="F3390" s="5">
        <v>29008</v>
      </c>
      <c r="G3390" s="5" t="s">
        <v>10266</v>
      </c>
      <c r="H3390" s="5" t="s">
        <v>10267</v>
      </c>
      <c r="I3390" s="5" t="s">
        <v>212</v>
      </c>
      <c r="N3390" s="5" t="s">
        <v>10268</v>
      </c>
      <c r="O3390" s="5">
        <v>13377</v>
      </c>
      <c r="P3390" s="5">
        <v>13399</v>
      </c>
      <c r="Q3390" s="5">
        <v>13050</v>
      </c>
      <c r="R3390" s="5">
        <v>13119</v>
      </c>
      <c r="S3390" s="5">
        <v>13090</v>
      </c>
      <c r="T3390" s="5">
        <v>13377</v>
      </c>
      <c r="V3390" s="5">
        <v>13119.71</v>
      </c>
      <c r="Y3390" s="5">
        <v>5346</v>
      </c>
      <c r="Z3390" s="5">
        <v>70373036</v>
      </c>
      <c r="AA3390" s="5">
        <v>2565</v>
      </c>
      <c r="AB3390" s="5" t="s">
        <v>85</v>
      </c>
      <c r="AC3390" s="5">
        <v>1</v>
      </c>
    </row>
    <row r="3391" spans="1:29" x14ac:dyDescent="0.3">
      <c r="A3391" s="34">
        <v>46274</v>
      </c>
      <c r="B3391" s="34">
        <v>46274</v>
      </c>
      <c r="C3391" s="5" t="s">
        <v>78</v>
      </c>
      <c r="D3391" s="5" t="s">
        <v>79</v>
      </c>
      <c r="E3391" s="5" t="s">
        <v>80</v>
      </c>
      <c r="F3391" s="5">
        <v>8479</v>
      </c>
      <c r="G3391" s="5" t="s">
        <v>10269</v>
      </c>
      <c r="H3391" s="5" t="s">
        <v>10270</v>
      </c>
      <c r="I3391" s="5" t="s">
        <v>212</v>
      </c>
      <c r="N3391" s="5" t="s">
        <v>10271</v>
      </c>
      <c r="O3391" s="5">
        <v>4102</v>
      </c>
      <c r="P3391" s="5">
        <v>4217.5</v>
      </c>
      <c r="Q3391" s="5">
        <v>4071.3</v>
      </c>
      <c r="R3391" s="5">
        <v>4151.1000000000004</v>
      </c>
      <c r="S3391" s="5">
        <v>4151.1000000000004</v>
      </c>
      <c r="T3391" s="5">
        <v>4133.2</v>
      </c>
      <c r="V3391" s="5">
        <v>4151.1099999999997</v>
      </c>
      <c r="Y3391" s="5">
        <v>1044264</v>
      </c>
      <c r="Z3391" s="5">
        <v>4318824715.6999998</v>
      </c>
      <c r="AA3391" s="5">
        <v>69102</v>
      </c>
      <c r="AB3391" s="5" t="s">
        <v>85</v>
      </c>
      <c r="AC3391" s="5">
        <v>1</v>
      </c>
    </row>
    <row r="3392" spans="1:29" x14ac:dyDescent="0.3">
      <c r="A3392" s="34">
        <v>46274</v>
      </c>
      <c r="B3392" s="34">
        <v>46274</v>
      </c>
      <c r="C3392" s="5" t="s">
        <v>78</v>
      </c>
      <c r="D3392" s="5" t="s">
        <v>79</v>
      </c>
      <c r="E3392" s="5" t="s">
        <v>80</v>
      </c>
      <c r="F3392" s="5">
        <v>14245</v>
      </c>
      <c r="G3392" s="5" t="s">
        <v>10272</v>
      </c>
      <c r="H3392" s="5" t="s">
        <v>10273</v>
      </c>
      <c r="I3392" s="5" t="s">
        <v>212</v>
      </c>
      <c r="N3392" s="5" t="s">
        <v>10274</v>
      </c>
      <c r="O3392" s="5">
        <v>5350</v>
      </c>
      <c r="P3392" s="5">
        <v>5367</v>
      </c>
      <c r="Q3392" s="5">
        <v>5150</v>
      </c>
      <c r="R3392" s="5">
        <v>5169</v>
      </c>
      <c r="S3392" s="5">
        <v>5179.5</v>
      </c>
      <c r="T3392" s="5">
        <v>5340</v>
      </c>
      <c r="V3392" s="5">
        <v>5169.3500000000004</v>
      </c>
      <c r="Y3392" s="5">
        <v>7739</v>
      </c>
      <c r="Z3392" s="5">
        <v>40426119</v>
      </c>
      <c r="AA3392" s="5">
        <v>1817</v>
      </c>
      <c r="AB3392" s="5" t="s">
        <v>85</v>
      </c>
      <c r="AC3392" s="5">
        <v>1</v>
      </c>
    </row>
    <row r="3393" spans="1:29" x14ac:dyDescent="0.3">
      <c r="A3393" s="34">
        <v>46274</v>
      </c>
      <c r="B3393" s="34">
        <v>46274</v>
      </c>
      <c r="C3393" s="5" t="s">
        <v>78</v>
      </c>
      <c r="D3393" s="5" t="s">
        <v>79</v>
      </c>
      <c r="E3393" s="5" t="s">
        <v>80</v>
      </c>
      <c r="F3393" s="5">
        <v>18151</v>
      </c>
      <c r="G3393" s="5" t="s">
        <v>10275</v>
      </c>
      <c r="H3393" s="5" t="s">
        <v>10276</v>
      </c>
      <c r="I3393" s="5" t="s">
        <v>212</v>
      </c>
      <c r="N3393" s="5" t="s">
        <v>10277</v>
      </c>
      <c r="O3393" s="5">
        <v>127</v>
      </c>
      <c r="P3393" s="5">
        <v>127.38</v>
      </c>
      <c r="Q3393" s="5">
        <v>124.26</v>
      </c>
      <c r="R3393" s="5">
        <v>124.65</v>
      </c>
      <c r="S3393" s="5">
        <v>124.75</v>
      </c>
      <c r="T3393" s="5">
        <v>127.23</v>
      </c>
      <c r="V3393" s="5">
        <v>124.66</v>
      </c>
      <c r="Y3393" s="5">
        <v>635388</v>
      </c>
      <c r="Z3393" s="5">
        <v>79831192.549999997</v>
      </c>
      <c r="AA3393" s="5">
        <v>8152</v>
      </c>
      <c r="AB3393" s="5" t="s">
        <v>85</v>
      </c>
      <c r="AC3393" s="5">
        <v>1</v>
      </c>
    </row>
    <row r="3394" spans="1:29" x14ac:dyDescent="0.3">
      <c r="A3394" s="34">
        <v>46274</v>
      </c>
      <c r="B3394" s="34">
        <v>46274</v>
      </c>
      <c r="C3394" s="5" t="s">
        <v>78</v>
      </c>
      <c r="D3394" s="5" t="s">
        <v>79</v>
      </c>
      <c r="E3394" s="5" t="s">
        <v>80</v>
      </c>
      <c r="F3394" s="5">
        <v>19503</v>
      </c>
      <c r="G3394" s="5" t="s">
        <v>10278</v>
      </c>
      <c r="H3394" s="5" t="s">
        <v>10279</v>
      </c>
      <c r="I3394" s="5" t="s">
        <v>234</v>
      </c>
      <c r="N3394" s="5" t="s">
        <v>10280</v>
      </c>
      <c r="O3394" s="5">
        <v>7.63</v>
      </c>
      <c r="P3394" s="5">
        <v>7.95</v>
      </c>
      <c r="Q3394" s="5">
        <v>7.48</v>
      </c>
      <c r="R3394" s="5">
        <v>7.7</v>
      </c>
      <c r="S3394" s="5">
        <v>7.7</v>
      </c>
      <c r="T3394" s="5">
        <v>7.63</v>
      </c>
      <c r="V3394" s="5">
        <v>7.59</v>
      </c>
      <c r="Y3394" s="5">
        <v>31961</v>
      </c>
      <c r="Z3394" s="5">
        <v>246783.39</v>
      </c>
      <c r="AA3394" s="5">
        <v>118</v>
      </c>
      <c r="AB3394" s="5" t="s">
        <v>85</v>
      </c>
      <c r="AC3394" s="5">
        <v>1</v>
      </c>
    </row>
    <row r="3395" spans="1:29" x14ac:dyDescent="0.3">
      <c r="A3395" s="34">
        <v>46274</v>
      </c>
      <c r="B3395" s="34">
        <v>46274</v>
      </c>
      <c r="C3395" s="5" t="s">
        <v>78</v>
      </c>
      <c r="D3395" s="5" t="s">
        <v>79</v>
      </c>
      <c r="E3395" s="5" t="s">
        <v>80</v>
      </c>
      <c r="F3395" s="5">
        <v>764970</v>
      </c>
      <c r="G3395" s="5" t="s">
        <v>10281</v>
      </c>
      <c r="H3395" s="5" t="s">
        <v>10282</v>
      </c>
      <c r="I3395" s="5" t="s">
        <v>212</v>
      </c>
      <c r="N3395" s="5" t="s">
        <v>10283</v>
      </c>
      <c r="O3395" s="5">
        <v>1390</v>
      </c>
      <c r="P3395" s="5">
        <v>1400</v>
      </c>
      <c r="Q3395" s="5">
        <v>1390</v>
      </c>
      <c r="R3395" s="5">
        <v>1400</v>
      </c>
      <c r="S3395" s="5">
        <v>1400</v>
      </c>
      <c r="T3395" s="5">
        <v>1396.5</v>
      </c>
      <c r="V3395" s="5">
        <v>1400</v>
      </c>
      <c r="Y3395" s="5">
        <v>420</v>
      </c>
      <c r="Z3395" s="5">
        <v>584080</v>
      </c>
      <c r="AA3395" s="5">
        <v>18</v>
      </c>
      <c r="AB3395" s="5" t="s">
        <v>85</v>
      </c>
      <c r="AC3395" s="5">
        <v>1</v>
      </c>
    </row>
    <row r="3396" spans="1:29" x14ac:dyDescent="0.3">
      <c r="A3396" s="34">
        <v>46274</v>
      </c>
      <c r="B3396" s="34">
        <v>46274</v>
      </c>
      <c r="C3396" s="5" t="s">
        <v>78</v>
      </c>
      <c r="D3396" s="5" t="s">
        <v>79</v>
      </c>
      <c r="E3396" s="5" t="s">
        <v>80</v>
      </c>
      <c r="F3396" s="5">
        <v>25629</v>
      </c>
      <c r="G3396" s="5" t="s">
        <v>10284</v>
      </c>
      <c r="H3396" s="5" t="s">
        <v>10285</v>
      </c>
      <c r="I3396" s="5" t="s">
        <v>234</v>
      </c>
      <c r="N3396" s="5" t="s">
        <v>10286</v>
      </c>
      <c r="O3396" s="5">
        <v>20.14</v>
      </c>
      <c r="P3396" s="5">
        <v>20.14</v>
      </c>
      <c r="Q3396" s="5">
        <v>19.399999999999999</v>
      </c>
      <c r="R3396" s="5">
        <v>19.440000000000001</v>
      </c>
      <c r="S3396" s="5">
        <v>19.420000000000002</v>
      </c>
      <c r="T3396" s="5">
        <v>19.88</v>
      </c>
      <c r="V3396" s="5">
        <v>19.440000000000001</v>
      </c>
      <c r="Y3396" s="5">
        <v>40538</v>
      </c>
      <c r="Z3396" s="5">
        <v>794840.04</v>
      </c>
      <c r="AA3396" s="5">
        <v>173</v>
      </c>
      <c r="AB3396" s="5" t="s">
        <v>85</v>
      </c>
      <c r="AC3396" s="5">
        <v>1</v>
      </c>
    </row>
    <row r="3397" spans="1:29" x14ac:dyDescent="0.3">
      <c r="A3397" s="34">
        <v>46274</v>
      </c>
      <c r="B3397" s="34">
        <v>46274</v>
      </c>
      <c r="C3397" s="5" t="s">
        <v>78</v>
      </c>
      <c r="D3397" s="5" t="s">
        <v>79</v>
      </c>
      <c r="E3397" s="5" t="s">
        <v>80</v>
      </c>
      <c r="F3397" s="5">
        <v>7739</v>
      </c>
      <c r="G3397" s="5" t="s">
        <v>10287</v>
      </c>
      <c r="H3397" s="5" t="s">
        <v>10288</v>
      </c>
      <c r="I3397" s="5" t="s">
        <v>234</v>
      </c>
      <c r="N3397" s="5" t="s">
        <v>10289</v>
      </c>
      <c r="O3397" s="5">
        <v>145.05000000000001</v>
      </c>
      <c r="P3397" s="5">
        <v>149</v>
      </c>
      <c r="Q3397" s="5">
        <v>141.01</v>
      </c>
      <c r="R3397" s="5">
        <v>147.91999999999999</v>
      </c>
      <c r="S3397" s="5">
        <v>148</v>
      </c>
      <c r="T3397" s="5">
        <v>147.13999999999999</v>
      </c>
      <c r="V3397" s="5">
        <v>147.91999999999999</v>
      </c>
      <c r="Y3397" s="5">
        <v>19134</v>
      </c>
      <c r="Z3397" s="5">
        <v>2758259.48</v>
      </c>
      <c r="AA3397" s="5">
        <v>117</v>
      </c>
      <c r="AB3397" s="5" t="s">
        <v>85</v>
      </c>
      <c r="AC3397" s="5">
        <v>1</v>
      </c>
    </row>
    <row r="3398" spans="1:29" x14ac:dyDescent="0.3">
      <c r="A3398" s="34">
        <v>46274</v>
      </c>
      <c r="B3398" s="34">
        <v>46274</v>
      </c>
      <c r="C3398" s="5" t="s">
        <v>78</v>
      </c>
      <c r="D3398" s="5" t="s">
        <v>79</v>
      </c>
      <c r="E3398" s="5" t="s">
        <v>80</v>
      </c>
      <c r="F3398" s="5">
        <v>756002</v>
      </c>
      <c r="G3398" s="5" t="s">
        <v>10290</v>
      </c>
      <c r="H3398" s="5" t="s">
        <v>10291</v>
      </c>
      <c r="I3398" s="5" t="s">
        <v>1837</v>
      </c>
      <c r="N3398" s="5" t="s">
        <v>10292</v>
      </c>
      <c r="O3398" s="5">
        <v>1000</v>
      </c>
      <c r="P3398" s="5">
        <v>1000</v>
      </c>
      <c r="Q3398" s="5">
        <v>1000</v>
      </c>
      <c r="R3398" s="5">
        <v>1000</v>
      </c>
      <c r="S3398" s="5">
        <v>1000</v>
      </c>
      <c r="T3398" s="5">
        <v>1000</v>
      </c>
      <c r="V3398" s="5">
        <v>1000</v>
      </c>
      <c r="Y3398" s="5">
        <v>8</v>
      </c>
      <c r="Z3398" s="5">
        <v>8000</v>
      </c>
      <c r="AA3398" s="5">
        <v>2</v>
      </c>
      <c r="AB3398" s="5" t="s">
        <v>85</v>
      </c>
      <c r="AC3398" s="5">
        <v>1</v>
      </c>
    </row>
    <row r="3399" spans="1:29" x14ac:dyDescent="0.3">
      <c r="A3399" s="34">
        <v>46274</v>
      </c>
      <c r="B3399" s="34">
        <v>46274</v>
      </c>
      <c r="C3399" s="5" t="s">
        <v>78</v>
      </c>
      <c r="D3399" s="5" t="s">
        <v>79</v>
      </c>
      <c r="E3399" s="5" t="s">
        <v>80</v>
      </c>
      <c r="F3399" s="5">
        <v>756004</v>
      </c>
      <c r="G3399" s="5" t="s">
        <v>10293</v>
      </c>
      <c r="H3399" s="5" t="s">
        <v>10294</v>
      </c>
      <c r="I3399" s="5" t="s">
        <v>528</v>
      </c>
      <c r="N3399" s="5" t="s">
        <v>10295</v>
      </c>
      <c r="O3399" s="5">
        <v>1018.99</v>
      </c>
      <c r="P3399" s="5">
        <v>1019</v>
      </c>
      <c r="Q3399" s="5">
        <v>1018.99</v>
      </c>
      <c r="R3399" s="5">
        <v>1019</v>
      </c>
      <c r="S3399" s="5">
        <v>1019</v>
      </c>
      <c r="T3399" s="5">
        <v>1010</v>
      </c>
      <c r="V3399" s="5">
        <v>1024.5</v>
      </c>
      <c r="Y3399" s="5">
        <v>171</v>
      </c>
      <c r="Z3399" s="5">
        <v>174248.56</v>
      </c>
      <c r="AA3399" s="5">
        <v>7</v>
      </c>
      <c r="AB3399" s="5" t="s">
        <v>85</v>
      </c>
      <c r="AC3399" s="5">
        <v>1</v>
      </c>
    </row>
    <row r="3400" spans="1:29" x14ac:dyDescent="0.3">
      <c r="A3400" s="34">
        <v>46274</v>
      </c>
      <c r="B3400" s="34">
        <v>46274</v>
      </c>
      <c r="C3400" s="5" t="s">
        <v>78</v>
      </c>
      <c r="D3400" s="5" t="s">
        <v>79</v>
      </c>
      <c r="E3400" s="5" t="s">
        <v>80</v>
      </c>
      <c r="F3400" s="5">
        <v>11223</v>
      </c>
      <c r="G3400" s="5" t="s">
        <v>10296</v>
      </c>
      <c r="H3400" s="5" t="s">
        <v>10297</v>
      </c>
      <c r="I3400" s="5" t="s">
        <v>212</v>
      </c>
      <c r="N3400" s="5" t="s">
        <v>10298</v>
      </c>
      <c r="O3400" s="5">
        <v>24.14</v>
      </c>
      <c r="P3400" s="5">
        <v>24.24</v>
      </c>
      <c r="Q3400" s="5">
        <v>23.93</v>
      </c>
      <c r="R3400" s="5">
        <v>23.98</v>
      </c>
      <c r="S3400" s="5">
        <v>24</v>
      </c>
      <c r="T3400" s="5">
        <v>24.18</v>
      </c>
      <c r="V3400" s="5">
        <v>23.98</v>
      </c>
      <c r="Y3400" s="5">
        <v>4455335</v>
      </c>
      <c r="Z3400" s="5">
        <v>107188412.52</v>
      </c>
      <c r="AA3400" s="5">
        <v>14754</v>
      </c>
      <c r="AB3400" s="5" t="s">
        <v>85</v>
      </c>
      <c r="AC3400" s="5">
        <v>1</v>
      </c>
    </row>
    <row r="3401" spans="1:29" x14ac:dyDescent="0.3">
      <c r="A3401" s="34">
        <v>46274</v>
      </c>
      <c r="B3401" s="34">
        <v>46274</v>
      </c>
      <c r="C3401" s="5" t="s">
        <v>78</v>
      </c>
      <c r="D3401" s="5" t="s">
        <v>79</v>
      </c>
      <c r="E3401" s="5" t="s">
        <v>80</v>
      </c>
      <c r="F3401" s="5">
        <v>764965</v>
      </c>
      <c r="G3401" s="5" t="s">
        <v>10299</v>
      </c>
      <c r="H3401" s="5" t="s">
        <v>10300</v>
      </c>
      <c r="I3401" s="5" t="s">
        <v>212</v>
      </c>
      <c r="N3401" s="5" t="s">
        <v>10301</v>
      </c>
      <c r="O3401" s="5">
        <v>167.25</v>
      </c>
      <c r="P3401" s="5">
        <v>176.75</v>
      </c>
      <c r="Q3401" s="5">
        <v>167.25</v>
      </c>
      <c r="R3401" s="5">
        <v>174.55</v>
      </c>
      <c r="S3401" s="5">
        <v>174.2</v>
      </c>
      <c r="T3401" s="5">
        <v>167.17</v>
      </c>
      <c r="V3401" s="5">
        <v>174.58</v>
      </c>
      <c r="Y3401" s="5">
        <v>366777</v>
      </c>
      <c r="Z3401" s="5">
        <v>63859621.439999998</v>
      </c>
      <c r="AA3401" s="5">
        <v>2812</v>
      </c>
      <c r="AB3401" s="5" t="s">
        <v>85</v>
      </c>
      <c r="AC3401" s="5">
        <v>1</v>
      </c>
    </row>
    <row r="3402" spans="1:29" x14ac:dyDescent="0.3">
      <c r="A3402" s="34">
        <v>46274</v>
      </c>
      <c r="B3402" s="34">
        <v>46274</v>
      </c>
      <c r="C3402" s="5" t="s">
        <v>78</v>
      </c>
      <c r="D3402" s="5" t="s">
        <v>79</v>
      </c>
      <c r="E3402" s="5" t="s">
        <v>80</v>
      </c>
      <c r="F3402" s="5">
        <v>14871</v>
      </c>
      <c r="G3402" s="5" t="s">
        <v>10302</v>
      </c>
      <c r="H3402" s="5" t="s">
        <v>10303</v>
      </c>
      <c r="I3402" s="5" t="s">
        <v>212</v>
      </c>
      <c r="N3402" s="5" t="s">
        <v>10304</v>
      </c>
      <c r="O3402" s="5">
        <v>21</v>
      </c>
      <c r="P3402" s="5">
        <v>21.55</v>
      </c>
      <c r="Q3402" s="5">
        <v>20.56</v>
      </c>
      <c r="R3402" s="5">
        <v>20.86</v>
      </c>
      <c r="S3402" s="5">
        <v>21.09</v>
      </c>
      <c r="T3402" s="5">
        <v>20.88</v>
      </c>
      <c r="V3402" s="5">
        <v>20.91</v>
      </c>
      <c r="Y3402" s="5">
        <v>30662</v>
      </c>
      <c r="Z3402" s="5">
        <v>649404.64</v>
      </c>
      <c r="AA3402" s="5">
        <v>129</v>
      </c>
      <c r="AB3402" s="5" t="s">
        <v>85</v>
      </c>
      <c r="AC3402" s="5">
        <v>1</v>
      </c>
    </row>
    <row r="3403" spans="1:29" x14ac:dyDescent="0.3">
      <c r="A3403" s="34">
        <v>46274</v>
      </c>
      <c r="B3403" s="34">
        <v>46274</v>
      </c>
      <c r="C3403" s="5" t="s">
        <v>78</v>
      </c>
      <c r="D3403" s="5" t="s">
        <v>79</v>
      </c>
      <c r="E3403" s="5" t="s">
        <v>80</v>
      </c>
      <c r="F3403" s="5">
        <v>1053</v>
      </c>
      <c r="G3403" s="5" t="s">
        <v>10305</v>
      </c>
      <c r="H3403" s="5" t="s">
        <v>10306</v>
      </c>
      <c r="I3403" s="5" t="s">
        <v>212</v>
      </c>
      <c r="N3403" s="5" t="s">
        <v>10307</v>
      </c>
      <c r="O3403" s="5">
        <v>686.75</v>
      </c>
      <c r="P3403" s="5">
        <v>701.05</v>
      </c>
      <c r="Q3403" s="5">
        <v>677.3</v>
      </c>
      <c r="R3403" s="5">
        <v>680.15</v>
      </c>
      <c r="S3403" s="5">
        <v>680</v>
      </c>
      <c r="T3403" s="5">
        <v>686.75</v>
      </c>
      <c r="V3403" s="5">
        <v>680.02</v>
      </c>
      <c r="Y3403" s="5">
        <v>154643</v>
      </c>
      <c r="Z3403" s="5">
        <v>106343586.90000001</v>
      </c>
      <c r="AA3403" s="5">
        <v>6403</v>
      </c>
      <c r="AB3403" s="5" t="s">
        <v>85</v>
      </c>
      <c r="AC3403" s="5">
        <v>1</v>
      </c>
    </row>
    <row r="3404" spans="1:29" x14ac:dyDescent="0.3">
      <c r="A3404" s="34">
        <v>46274</v>
      </c>
      <c r="B3404" s="34">
        <v>46274</v>
      </c>
      <c r="C3404" s="5" t="s">
        <v>78</v>
      </c>
      <c r="D3404" s="5" t="s">
        <v>79</v>
      </c>
      <c r="E3404" s="5" t="s">
        <v>80</v>
      </c>
      <c r="F3404" s="5">
        <v>9039</v>
      </c>
      <c r="G3404" s="5" t="s">
        <v>10308</v>
      </c>
      <c r="H3404" s="5" t="s">
        <v>10309</v>
      </c>
      <c r="I3404" s="5" t="s">
        <v>212</v>
      </c>
      <c r="N3404" s="5" t="s">
        <v>10310</v>
      </c>
      <c r="O3404" s="5">
        <v>65.75</v>
      </c>
      <c r="P3404" s="5">
        <v>65.75</v>
      </c>
      <c r="Q3404" s="5">
        <v>63.02</v>
      </c>
      <c r="R3404" s="5">
        <v>63.13</v>
      </c>
      <c r="S3404" s="5">
        <v>63.74</v>
      </c>
      <c r="T3404" s="5">
        <v>64.83</v>
      </c>
      <c r="V3404" s="5">
        <v>63.13</v>
      </c>
      <c r="Y3404" s="5">
        <v>57074</v>
      </c>
      <c r="Z3404" s="5">
        <v>3631048.72</v>
      </c>
      <c r="AA3404" s="5">
        <v>706</v>
      </c>
      <c r="AB3404" s="5" t="s">
        <v>85</v>
      </c>
      <c r="AC3404" s="5">
        <v>1</v>
      </c>
    </row>
    <row r="3405" spans="1:29" x14ac:dyDescent="0.3">
      <c r="A3405" s="34">
        <v>46274</v>
      </c>
      <c r="B3405" s="34">
        <v>46274</v>
      </c>
      <c r="C3405" s="5" t="s">
        <v>78</v>
      </c>
      <c r="D3405" s="5" t="s">
        <v>79</v>
      </c>
      <c r="E3405" s="5" t="s">
        <v>80</v>
      </c>
      <c r="F3405" s="5">
        <v>5313</v>
      </c>
      <c r="G3405" s="5" t="s">
        <v>10311</v>
      </c>
      <c r="H3405" s="5" t="s">
        <v>10312</v>
      </c>
      <c r="I3405" s="5" t="s">
        <v>212</v>
      </c>
      <c r="N3405" s="5" t="s">
        <v>10313</v>
      </c>
      <c r="O3405" s="5">
        <v>85</v>
      </c>
      <c r="P3405" s="5">
        <v>85</v>
      </c>
      <c r="Q3405" s="5">
        <v>83.23</v>
      </c>
      <c r="R3405" s="5">
        <v>83.44</v>
      </c>
      <c r="S3405" s="5">
        <v>83.7</v>
      </c>
      <c r="T3405" s="5">
        <v>85.06</v>
      </c>
      <c r="V3405" s="5">
        <v>83.44</v>
      </c>
      <c r="Y3405" s="5">
        <v>164949</v>
      </c>
      <c r="Z3405" s="5">
        <v>13822161.66</v>
      </c>
      <c r="AA3405" s="5">
        <v>1992</v>
      </c>
      <c r="AB3405" s="5" t="s">
        <v>85</v>
      </c>
      <c r="AC3405" s="5">
        <v>1</v>
      </c>
    </row>
    <row r="3406" spans="1:29" x14ac:dyDescent="0.3">
      <c r="A3406" s="34">
        <v>46274</v>
      </c>
      <c r="B3406" s="34">
        <v>46274</v>
      </c>
      <c r="C3406" s="5" t="s">
        <v>78</v>
      </c>
      <c r="D3406" s="5" t="s">
        <v>79</v>
      </c>
      <c r="E3406" s="5" t="s">
        <v>80</v>
      </c>
      <c r="F3406" s="5">
        <v>23507</v>
      </c>
      <c r="G3406" s="5" t="s">
        <v>10314</v>
      </c>
      <c r="H3406" s="5" t="s">
        <v>10315</v>
      </c>
      <c r="I3406" s="5" t="s">
        <v>212</v>
      </c>
      <c r="N3406" s="5" t="s">
        <v>10316</v>
      </c>
      <c r="O3406" s="5">
        <v>208</v>
      </c>
      <c r="P3406" s="5">
        <v>215.31</v>
      </c>
      <c r="Q3406" s="5">
        <v>207.15</v>
      </c>
      <c r="R3406" s="5">
        <v>207.15</v>
      </c>
      <c r="S3406" s="5">
        <v>207.15</v>
      </c>
      <c r="T3406" s="5">
        <v>218.05</v>
      </c>
      <c r="V3406" s="5">
        <v>207.31</v>
      </c>
      <c r="Y3406" s="5">
        <v>24874</v>
      </c>
      <c r="Z3406" s="5">
        <v>5185677.38</v>
      </c>
      <c r="AA3406" s="5">
        <v>386</v>
      </c>
      <c r="AB3406" s="5" t="s">
        <v>85</v>
      </c>
      <c r="AC3406" s="5">
        <v>1</v>
      </c>
    </row>
    <row r="3407" spans="1:29" x14ac:dyDescent="0.3">
      <c r="A3407" s="34">
        <v>46274</v>
      </c>
      <c r="B3407" s="34">
        <v>46274</v>
      </c>
      <c r="C3407" s="5" t="s">
        <v>78</v>
      </c>
      <c r="D3407" s="5" t="s">
        <v>79</v>
      </c>
      <c r="E3407" s="5" t="s">
        <v>80</v>
      </c>
      <c r="F3407" s="5">
        <v>15228</v>
      </c>
      <c r="G3407" s="5" t="s">
        <v>10317</v>
      </c>
      <c r="H3407" s="5" t="s">
        <v>10318</v>
      </c>
      <c r="I3407" s="5" t="s">
        <v>212</v>
      </c>
      <c r="N3407" s="5" t="s">
        <v>10319</v>
      </c>
      <c r="O3407" s="5">
        <v>64.28</v>
      </c>
      <c r="P3407" s="5">
        <v>65.09</v>
      </c>
      <c r="Q3407" s="5">
        <v>63.68</v>
      </c>
      <c r="R3407" s="5">
        <v>64.12</v>
      </c>
      <c r="S3407" s="5">
        <v>64.37</v>
      </c>
      <c r="T3407" s="5">
        <v>64.86</v>
      </c>
      <c r="V3407" s="5">
        <v>64.12</v>
      </c>
      <c r="Y3407" s="5">
        <v>14563305</v>
      </c>
      <c r="Z3407" s="5">
        <v>936734552.14999998</v>
      </c>
      <c r="AA3407" s="5">
        <v>37222</v>
      </c>
      <c r="AB3407" s="5" t="s">
        <v>85</v>
      </c>
      <c r="AC3407" s="5">
        <v>1</v>
      </c>
    </row>
    <row r="3408" spans="1:29" x14ac:dyDescent="0.3">
      <c r="A3408" s="34">
        <v>46274</v>
      </c>
      <c r="B3408" s="34">
        <v>46274</v>
      </c>
      <c r="C3408" s="5" t="s">
        <v>78</v>
      </c>
      <c r="D3408" s="5" t="s">
        <v>79</v>
      </c>
      <c r="E3408" s="5" t="s">
        <v>80</v>
      </c>
      <c r="F3408" s="5">
        <v>5945</v>
      </c>
      <c r="G3408" s="5" t="s">
        <v>10320</v>
      </c>
      <c r="H3408" s="5" t="s">
        <v>10321</v>
      </c>
      <c r="I3408" s="5" t="s">
        <v>313</v>
      </c>
      <c r="N3408" s="5" t="s">
        <v>10322</v>
      </c>
      <c r="O3408" s="5">
        <v>123</v>
      </c>
      <c r="P3408" s="5">
        <v>123</v>
      </c>
      <c r="Q3408" s="5">
        <v>122</v>
      </c>
      <c r="R3408" s="5">
        <v>122</v>
      </c>
      <c r="S3408" s="5">
        <v>122</v>
      </c>
      <c r="T3408" s="5">
        <v>121.45</v>
      </c>
      <c r="V3408" s="5">
        <v>122</v>
      </c>
      <c r="Y3408" s="5">
        <v>3000</v>
      </c>
      <c r="Z3408" s="5">
        <v>367650</v>
      </c>
      <c r="AA3408" s="5">
        <v>3</v>
      </c>
      <c r="AB3408" s="5" t="s">
        <v>85</v>
      </c>
      <c r="AC3408" s="5">
        <v>1000</v>
      </c>
    </row>
    <row r="3409" spans="1:29" x14ac:dyDescent="0.3">
      <c r="A3409" s="34">
        <v>46274</v>
      </c>
      <c r="B3409" s="34">
        <v>46274</v>
      </c>
      <c r="C3409" s="5" t="s">
        <v>78</v>
      </c>
      <c r="D3409" s="5" t="s">
        <v>79</v>
      </c>
      <c r="E3409" s="5" t="s">
        <v>80</v>
      </c>
      <c r="F3409" s="5">
        <v>762961</v>
      </c>
      <c r="G3409" s="5" t="s">
        <v>10323</v>
      </c>
      <c r="H3409" s="5" t="s">
        <v>10324</v>
      </c>
      <c r="I3409" s="5" t="s">
        <v>212</v>
      </c>
      <c r="N3409" s="5" t="s">
        <v>10325</v>
      </c>
      <c r="O3409" s="5">
        <v>426.2</v>
      </c>
      <c r="P3409" s="5">
        <v>431</v>
      </c>
      <c r="Q3409" s="5">
        <v>420.3</v>
      </c>
      <c r="R3409" s="5">
        <v>427.5</v>
      </c>
      <c r="S3409" s="5">
        <v>429.4</v>
      </c>
      <c r="T3409" s="5">
        <v>421.45</v>
      </c>
      <c r="V3409" s="5">
        <v>427.48</v>
      </c>
      <c r="Y3409" s="5">
        <v>35369</v>
      </c>
      <c r="Z3409" s="5">
        <v>15034911.449999999</v>
      </c>
      <c r="AA3409" s="5">
        <v>3806</v>
      </c>
      <c r="AB3409" s="5" t="s">
        <v>85</v>
      </c>
      <c r="AC3409" s="5">
        <v>1</v>
      </c>
    </row>
    <row r="3410" spans="1:29" x14ac:dyDescent="0.3">
      <c r="A3410" s="34">
        <v>46274</v>
      </c>
      <c r="B3410" s="34">
        <v>46274</v>
      </c>
      <c r="C3410" s="5" t="s">
        <v>78</v>
      </c>
      <c r="D3410" s="5" t="s">
        <v>79</v>
      </c>
      <c r="E3410" s="5" t="s">
        <v>80</v>
      </c>
      <c r="F3410" s="5">
        <v>11532</v>
      </c>
      <c r="G3410" s="5" t="s">
        <v>10326</v>
      </c>
      <c r="H3410" s="5" t="s">
        <v>10327</v>
      </c>
      <c r="I3410" s="5" t="s">
        <v>212</v>
      </c>
      <c r="N3410" s="5" t="s">
        <v>10328</v>
      </c>
      <c r="O3410" s="5">
        <v>10975</v>
      </c>
      <c r="P3410" s="5">
        <v>10998</v>
      </c>
      <c r="Q3410" s="5">
        <v>10860</v>
      </c>
      <c r="R3410" s="5">
        <v>10900</v>
      </c>
      <c r="S3410" s="5">
        <v>10900</v>
      </c>
      <c r="T3410" s="5">
        <v>11009</v>
      </c>
      <c r="V3410" s="5">
        <v>10900</v>
      </c>
      <c r="Y3410" s="5">
        <v>325637</v>
      </c>
      <c r="Z3410" s="5">
        <v>3558984332</v>
      </c>
      <c r="AA3410" s="5">
        <v>65009</v>
      </c>
      <c r="AB3410" s="5" t="s">
        <v>85</v>
      </c>
      <c r="AC3410" s="5">
        <v>1</v>
      </c>
    </row>
    <row r="3411" spans="1:29" x14ac:dyDescent="0.3">
      <c r="A3411" s="34">
        <v>46274</v>
      </c>
      <c r="B3411" s="34">
        <v>46274</v>
      </c>
      <c r="C3411" s="5" t="s">
        <v>78</v>
      </c>
      <c r="D3411" s="5" t="s">
        <v>79</v>
      </c>
      <c r="E3411" s="5" t="s">
        <v>80</v>
      </c>
      <c r="F3411" s="5">
        <v>13349</v>
      </c>
      <c r="G3411" s="5" t="s">
        <v>10329</v>
      </c>
      <c r="H3411" s="5" t="s">
        <v>10330</v>
      </c>
      <c r="I3411" s="5" t="s">
        <v>313</v>
      </c>
      <c r="N3411" s="5" t="s">
        <v>10331</v>
      </c>
      <c r="O3411" s="5">
        <v>16.8</v>
      </c>
      <c r="P3411" s="5">
        <v>16.8</v>
      </c>
      <c r="Q3411" s="5">
        <v>16.8</v>
      </c>
      <c r="R3411" s="5">
        <v>16.8</v>
      </c>
      <c r="S3411" s="5">
        <v>16.8</v>
      </c>
      <c r="T3411" s="5">
        <v>17.05</v>
      </c>
      <c r="V3411" s="5">
        <v>16.8</v>
      </c>
      <c r="Y3411" s="5">
        <v>4000</v>
      </c>
      <c r="Z3411" s="5">
        <v>67200</v>
      </c>
      <c r="AA3411" s="5">
        <v>1</v>
      </c>
      <c r="AB3411" s="5" t="s">
        <v>85</v>
      </c>
      <c r="AC3411" s="5">
        <v>4000</v>
      </c>
    </row>
    <row r="3412" spans="1:29" x14ac:dyDescent="0.3">
      <c r="A3412" s="34">
        <v>46274</v>
      </c>
      <c r="B3412" s="34">
        <v>46274</v>
      </c>
      <c r="C3412" s="5" t="s">
        <v>78</v>
      </c>
      <c r="D3412" s="5" t="s">
        <v>79</v>
      </c>
      <c r="E3412" s="5" t="s">
        <v>80</v>
      </c>
      <c r="F3412" s="5">
        <v>8845</v>
      </c>
      <c r="G3412" s="5" t="s">
        <v>10332</v>
      </c>
      <c r="H3412" s="5" t="s">
        <v>10333</v>
      </c>
      <c r="I3412" s="5" t="s">
        <v>234</v>
      </c>
      <c r="N3412" s="5" t="s">
        <v>10334</v>
      </c>
      <c r="O3412" s="5">
        <v>22.57</v>
      </c>
      <c r="P3412" s="5">
        <v>22.57</v>
      </c>
      <c r="Q3412" s="5">
        <v>22.57</v>
      </c>
      <c r="R3412" s="5">
        <v>22.57</v>
      </c>
      <c r="S3412" s="5">
        <v>22.57</v>
      </c>
      <c r="T3412" s="5">
        <v>23.03</v>
      </c>
      <c r="V3412" s="5">
        <v>23.03</v>
      </c>
      <c r="Y3412" s="5">
        <v>1862</v>
      </c>
      <c r="Z3412" s="5">
        <v>42025.34</v>
      </c>
      <c r="AA3412" s="5">
        <v>19</v>
      </c>
      <c r="AB3412" s="5" t="s">
        <v>85</v>
      </c>
      <c r="AC3412" s="5">
        <v>1</v>
      </c>
    </row>
    <row r="3413" spans="1:29" x14ac:dyDescent="0.3">
      <c r="A3413" s="34">
        <v>46274</v>
      </c>
      <c r="B3413" s="34">
        <v>46274</v>
      </c>
      <c r="C3413" s="5" t="s">
        <v>78</v>
      </c>
      <c r="D3413" s="5" t="s">
        <v>79</v>
      </c>
      <c r="E3413" s="5" t="s">
        <v>80</v>
      </c>
      <c r="F3413" s="5">
        <v>8998</v>
      </c>
      <c r="G3413" s="5" t="s">
        <v>10335</v>
      </c>
      <c r="H3413" s="5" t="s">
        <v>10336</v>
      </c>
      <c r="I3413" s="5" t="s">
        <v>212</v>
      </c>
      <c r="N3413" s="5" t="s">
        <v>10337</v>
      </c>
      <c r="O3413" s="5">
        <v>98</v>
      </c>
      <c r="P3413" s="5">
        <v>102.99</v>
      </c>
      <c r="Q3413" s="5">
        <v>95.4</v>
      </c>
      <c r="R3413" s="5">
        <v>99.46</v>
      </c>
      <c r="S3413" s="5">
        <v>99.89</v>
      </c>
      <c r="T3413" s="5">
        <v>98.93</v>
      </c>
      <c r="V3413" s="5">
        <v>99.57</v>
      </c>
      <c r="Y3413" s="5">
        <v>15283</v>
      </c>
      <c r="Z3413" s="5">
        <v>1514264.7</v>
      </c>
      <c r="AA3413" s="5">
        <v>519</v>
      </c>
      <c r="AB3413" s="5" t="s">
        <v>85</v>
      </c>
      <c r="AC3413" s="5">
        <v>1</v>
      </c>
    </row>
    <row r="3414" spans="1:29" x14ac:dyDescent="0.3">
      <c r="A3414" s="34">
        <v>46274</v>
      </c>
      <c r="B3414" s="34">
        <v>46274</v>
      </c>
      <c r="C3414" s="5" t="s">
        <v>78</v>
      </c>
      <c r="D3414" s="5" t="s">
        <v>79</v>
      </c>
      <c r="E3414" s="5" t="s">
        <v>80</v>
      </c>
      <c r="F3414" s="5">
        <v>16894</v>
      </c>
      <c r="G3414" s="5" t="s">
        <v>10338</v>
      </c>
      <c r="H3414" s="5" t="s">
        <v>10339</v>
      </c>
      <c r="I3414" s="5" t="s">
        <v>8795</v>
      </c>
      <c r="N3414" s="5" t="s">
        <v>10340</v>
      </c>
      <c r="O3414" s="5">
        <v>1050</v>
      </c>
      <c r="P3414" s="5">
        <v>1050</v>
      </c>
      <c r="Q3414" s="5">
        <v>1050</v>
      </c>
      <c r="R3414" s="5">
        <v>1050</v>
      </c>
      <c r="S3414" s="5">
        <v>1050</v>
      </c>
      <c r="T3414" s="5">
        <v>1090</v>
      </c>
      <c r="V3414" s="5">
        <v>1050</v>
      </c>
      <c r="Y3414" s="5">
        <v>300</v>
      </c>
      <c r="Z3414" s="5">
        <v>315000</v>
      </c>
      <c r="AA3414" s="5">
        <v>3</v>
      </c>
      <c r="AB3414" s="5" t="s">
        <v>85</v>
      </c>
      <c r="AC3414" s="5">
        <v>1</v>
      </c>
    </row>
    <row r="3415" spans="1:29" x14ac:dyDescent="0.3">
      <c r="A3415" s="34">
        <v>46274</v>
      </c>
      <c r="B3415" s="34">
        <v>46274</v>
      </c>
      <c r="C3415" s="5" t="s">
        <v>78</v>
      </c>
      <c r="D3415" s="5" t="s">
        <v>79</v>
      </c>
      <c r="E3415" s="5" t="s">
        <v>80</v>
      </c>
      <c r="F3415" s="5">
        <v>3579</v>
      </c>
      <c r="G3415" s="5" t="s">
        <v>10341</v>
      </c>
      <c r="H3415" s="5" t="s">
        <v>10342</v>
      </c>
      <c r="I3415" s="5" t="s">
        <v>212</v>
      </c>
      <c r="N3415" s="5" t="s">
        <v>10343</v>
      </c>
      <c r="O3415" s="5">
        <v>564.45000000000005</v>
      </c>
      <c r="P3415" s="5">
        <v>564.45000000000005</v>
      </c>
      <c r="Q3415" s="5">
        <v>534.15</v>
      </c>
      <c r="R3415" s="5">
        <v>542.70000000000005</v>
      </c>
      <c r="S3415" s="5">
        <v>540.1</v>
      </c>
      <c r="T3415" s="5">
        <v>555.6</v>
      </c>
      <c r="V3415" s="5">
        <v>542.69000000000005</v>
      </c>
      <c r="Y3415" s="5">
        <v>94121</v>
      </c>
      <c r="Z3415" s="5">
        <v>51166304.399999999</v>
      </c>
      <c r="AA3415" s="5">
        <v>4986</v>
      </c>
      <c r="AB3415" s="5" t="s">
        <v>85</v>
      </c>
      <c r="AC3415" s="5">
        <v>1</v>
      </c>
    </row>
    <row r="3416" spans="1:29" x14ac:dyDescent="0.3">
      <c r="A3416" s="34">
        <v>46274</v>
      </c>
      <c r="B3416" s="34">
        <v>46274</v>
      </c>
      <c r="C3416" s="5" t="s">
        <v>78</v>
      </c>
      <c r="D3416" s="5" t="s">
        <v>79</v>
      </c>
      <c r="E3416" s="5" t="s">
        <v>80</v>
      </c>
      <c r="F3416" s="5">
        <v>24809</v>
      </c>
      <c r="G3416" s="5" t="s">
        <v>10344</v>
      </c>
      <c r="H3416" s="5" t="s">
        <v>10345</v>
      </c>
      <c r="I3416" s="5" t="s">
        <v>212</v>
      </c>
      <c r="N3416" s="5" t="s">
        <v>10346</v>
      </c>
      <c r="O3416" s="5">
        <v>83.76</v>
      </c>
      <c r="P3416" s="5">
        <v>86.08</v>
      </c>
      <c r="Q3416" s="5">
        <v>82.55</v>
      </c>
      <c r="R3416" s="5">
        <v>85.5</v>
      </c>
      <c r="S3416" s="5">
        <v>85.13</v>
      </c>
      <c r="T3416" s="5">
        <v>84.13</v>
      </c>
      <c r="V3416" s="5">
        <v>85.49</v>
      </c>
      <c r="Y3416" s="5">
        <v>308642</v>
      </c>
      <c r="Z3416" s="5">
        <v>25934801.27</v>
      </c>
      <c r="AA3416" s="5">
        <v>2953</v>
      </c>
      <c r="AB3416" s="5" t="s">
        <v>85</v>
      </c>
      <c r="AC3416" s="5">
        <v>1</v>
      </c>
    </row>
    <row r="3417" spans="1:29" x14ac:dyDescent="0.3">
      <c r="A3417" s="34">
        <v>46274</v>
      </c>
      <c r="B3417" s="34">
        <v>46274</v>
      </c>
      <c r="C3417" s="5" t="s">
        <v>78</v>
      </c>
      <c r="D3417" s="5" t="s">
        <v>79</v>
      </c>
      <c r="E3417" s="5" t="s">
        <v>80</v>
      </c>
      <c r="F3417" s="5">
        <v>18582</v>
      </c>
      <c r="G3417" s="5" t="s">
        <v>10347</v>
      </c>
      <c r="H3417" s="5" t="s">
        <v>10348</v>
      </c>
      <c r="I3417" s="5" t="s">
        <v>313</v>
      </c>
      <c r="N3417" s="5" t="s">
        <v>10349</v>
      </c>
      <c r="O3417" s="5">
        <v>723</v>
      </c>
      <c r="P3417" s="5">
        <v>723</v>
      </c>
      <c r="Q3417" s="5">
        <v>706</v>
      </c>
      <c r="R3417" s="5">
        <v>720</v>
      </c>
      <c r="S3417" s="5">
        <v>720</v>
      </c>
      <c r="T3417" s="5">
        <v>717.15</v>
      </c>
      <c r="V3417" s="5">
        <v>720</v>
      </c>
      <c r="Y3417" s="5">
        <v>3500</v>
      </c>
      <c r="Z3417" s="5">
        <v>2503000</v>
      </c>
      <c r="AA3417" s="5">
        <v>7</v>
      </c>
      <c r="AB3417" s="5" t="s">
        <v>85</v>
      </c>
      <c r="AC3417" s="5">
        <v>500</v>
      </c>
    </row>
    <row r="3418" spans="1:29" x14ac:dyDescent="0.3">
      <c r="A3418" s="34">
        <v>46274</v>
      </c>
      <c r="B3418" s="34">
        <v>46274</v>
      </c>
      <c r="C3418" s="5" t="s">
        <v>78</v>
      </c>
      <c r="D3418" s="5" t="s">
        <v>79</v>
      </c>
      <c r="E3418" s="5" t="s">
        <v>80</v>
      </c>
      <c r="F3418" s="5">
        <v>7791</v>
      </c>
      <c r="G3418" s="5" t="s">
        <v>10350</v>
      </c>
      <c r="H3418" s="5" t="s">
        <v>10351</v>
      </c>
      <c r="I3418" s="5" t="s">
        <v>212</v>
      </c>
      <c r="N3418" s="5" t="s">
        <v>10352</v>
      </c>
      <c r="O3418" s="5">
        <v>11.2</v>
      </c>
      <c r="P3418" s="5">
        <v>11.25</v>
      </c>
      <c r="Q3418" s="5">
        <v>10.81</v>
      </c>
      <c r="R3418" s="5">
        <v>11.25</v>
      </c>
      <c r="S3418" s="5">
        <v>11.25</v>
      </c>
      <c r="T3418" s="5">
        <v>11.05</v>
      </c>
      <c r="V3418" s="5">
        <v>11.25</v>
      </c>
      <c r="Y3418" s="5">
        <v>2923</v>
      </c>
      <c r="Z3418" s="5">
        <v>32707.83</v>
      </c>
      <c r="AA3418" s="5">
        <v>34</v>
      </c>
      <c r="AB3418" s="5" t="s">
        <v>85</v>
      </c>
      <c r="AC3418" s="5">
        <v>1</v>
      </c>
    </row>
    <row r="3419" spans="1:29" x14ac:dyDescent="0.3">
      <c r="A3419" s="34">
        <v>46274</v>
      </c>
      <c r="B3419" s="34">
        <v>46274</v>
      </c>
      <c r="C3419" s="5" t="s">
        <v>78</v>
      </c>
      <c r="D3419" s="5" t="s">
        <v>79</v>
      </c>
      <c r="E3419" s="5" t="s">
        <v>80</v>
      </c>
      <c r="F3419" s="5">
        <v>28960</v>
      </c>
      <c r="G3419" s="5" t="s">
        <v>10353</v>
      </c>
      <c r="H3419" s="5" t="s">
        <v>10354</v>
      </c>
      <c r="I3419" s="5" t="s">
        <v>212</v>
      </c>
      <c r="N3419" s="5" t="s">
        <v>10355</v>
      </c>
      <c r="O3419" s="5">
        <v>1649</v>
      </c>
      <c r="P3419" s="5">
        <v>1652.8</v>
      </c>
      <c r="Q3419" s="5">
        <v>1542</v>
      </c>
      <c r="R3419" s="5">
        <v>1586.4</v>
      </c>
      <c r="S3419" s="5">
        <v>1587</v>
      </c>
      <c r="T3419" s="5">
        <v>1629.6</v>
      </c>
      <c r="V3419" s="5">
        <v>1586.38</v>
      </c>
      <c r="Y3419" s="5">
        <v>399949</v>
      </c>
      <c r="Z3419" s="5">
        <v>633529147</v>
      </c>
      <c r="AA3419" s="5">
        <v>40166</v>
      </c>
      <c r="AB3419" s="5" t="s">
        <v>85</v>
      </c>
      <c r="AC3419" s="5">
        <v>1</v>
      </c>
    </row>
    <row r="3420" spans="1:29" x14ac:dyDescent="0.3">
      <c r="A3420" s="34">
        <v>46274</v>
      </c>
      <c r="B3420" s="34">
        <v>46274</v>
      </c>
      <c r="C3420" s="5" t="s">
        <v>78</v>
      </c>
      <c r="D3420" s="5" t="s">
        <v>79</v>
      </c>
      <c r="E3420" s="5" t="s">
        <v>80</v>
      </c>
      <c r="F3420" s="5">
        <v>10753</v>
      </c>
      <c r="G3420" s="5" t="s">
        <v>10356</v>
      </c>
      <c r="H3420" s="5" t="s">
        <v>10357</v>
      </c>
      <c r="I3420" s="5" t="s">
        <v>212</v>
      </c>
      <c r="N3420" s="5" t="s">
        <v>10358</v>
      </c>
      <c r="O3420" s="5">
        <v>181.75</v>
      </c>
      <c r="P3420" s="5">
        <v>183.89</v>
      </c>
      <c r="Q3420" s="5">
        <v>180.82</v>
      </c>
      <c r="R3420" s="5">
        <v>183.89</v>
      </c>
      <c r="S3420" s="5">
        <v>183.89</v>
      </c>
      <c r="T3420" s="5">
        <v>183.22</v>
      </c>
      <c r="V3420" s="5">
        <v>183.89</v>
      </c>
      <c r="Y3420" s="5">
        <v>7080822</v>
      </c>
      <c r="Z3420" s="5">
        <v>1292936494.6400001</v>
      </c>
      <c r="AA3420" s="5">
        <v>28663</v>
      </c>
      <c r="AB3420" s="5" t="s">
        <v>85</v>
      </c>
      <c r="AC3420" s="5">
        <v>1</v>
      </c>
    </row>
    <row r="3421" spans="1:29" x14ac:dyDescent="0.3">
      <c r="A3421" s="34">
        <v>46274</v>
      </c>
      <c r="B3421" s="34">
        <v>46274</v>
      </c>
      <c r="C3421" s="5" t="s">
        <v>78</v>
      </c>
      <c r="D3421" s="5" t="s">
        <v>79</v>
      </c>
      <c r="E3421" s="5" t="s">
        <v>80</v>
      </c>
      <c r="F3421" s="5">
        <v>29687</v>
      </c>
      <c r="G3421" s="5" t="s">
        <v>10359</v>
      </c>
      <c r="H3421" s="5" t="s">
        <v>10360</v>
      </c>
      <c r="I3421" s="5" t="s">
        <v>212</v>
      </c>
      <c r="N3421" s="5" t="s">
        <v>10361</v>
      </c>
      <c r="O3421" s="5">
        <v>149.5</v>
      </c>
      <c r="P3421" s="5">
        <v>152.80000000000001</v>
      </c>
      <c r="Q3421" s="5">
        <v>148.4</v>
      </c>
      <c r="R3421" s="5">
        <v>149</v>
      </c>
      <c r="S3421" s="5">
        <v>149.05000000000001</v>
      </c>
      <c r="T3421" s="5">
        <v>148.85</v>
      </c>
      <c r="V3421" s="5">
        <v>149</v>
      </c>
      <c r="Y3421" s="5">
        <v>1800</v>
      </c>
      <c r="Z3421" s="5">
        <v>268666.15000000002</v>
      </c>
      <c r="AA3421" s="5">
        <v>61</v>
      </c>
      <c r="AB3421" s="5" t="s">
        <v>85</v>
      </c>
      <c r="AC3421" s="5">
        <v>1</v>
      </c>
    </row>
    <row r="3422" spans="1:29" x14ac:dyDescent="0.3">
      <c r="A3422" s="34">
        <v>46274</v>
      </c>
      <c r="B3422" s="34">
        <v>46274</v>
      </c>
      <c r="C3422" s="5" t="s">
        <v>78</v>
      </c>
      <c r="D3422" s="5" t="s">
        <v>79</v>
      </c>
      <c r="E3422" s="5" t="s">
        <v>80</v>
      </c>
      <c r="F3422" s="5">
        <v>13057</v>
      </c>
      <c r="G3422" s="5" t="s">
        <v>10362</v>
      </c>
      <c r="H3422" s="5" t="s">
        <v>10363</v>
      </c>
      <c r="I3422" s="5" t="s">
        <v>212</v>
      </c>
      <c r="N3422" s="5" t="s">
        <v>10364</v>
      </c>
      <c r="O3422" s="5">
        <v>896</v>
      </c>
      <c r="P3422" s="5">
        <v>908.95</v>
      </c>
      <c r="Q3422" s="5">
        <v>888.25</v>
      </c>
      <c r="R3422" s="5">
        <v>894.05</v>
      </c>
      <c r="S3422" s="5">
        <v>892.25</v>
      </c>
      <c r="T3422" s="5">
        <v>898</v>
      </c>
      <c r="V3422" s="5">
        <v>894.05</v>
      </c>
      <c r="Y3422" s="5">
        <v>142933</v>
      </c>
      <c r="Z3422" s="5">
        <v>128400007.59999999</v>
      </c>
      <c r="AA3422" s="5">
        <v>9203</v>
      </c>
      <c r="AB3422" s="5" t="s">
        <v>85</v>
      </c>
      <c r="AC3422" s="5">
        <v>1</v>
      </c>
    </row>
    <row r="3423" spans="1:29" x14ac:dyDescent="0.3">
      <c r="A3423" s="34">
        <v>46274</v>
      </c>
      <c r="B3423" s="34">
        <v>46274</v>
      </c>
      <c r="C3423" s="5" t="s">
        <v>78</v>
      </c>
      <c r="D3423" s="5" t="s">
        <v>79</v>
      </c>
      <c r="E3423" s="5" t="s">
        <v>80</v>
      </c>
      <c r="F3423" s="5">
        <v>11293</v>
      </c>
      <c r="G3423" s="5" t="s">
        <v>10365</v>
      </c>
      <c r="H3423" s="5" t="s">
        <v>10366</v>
      </c>
      <c r="I3423" s="5" t="s">
        <v>212</v>
      </c>
      <c r="N3423" s="5" t="s">
        <v>10367</v>
      </c>
      <c r="O3423" s="5">
        <v>94.01</v>
      </c>
      <c r="P3423" s="5">
        <v>94.99</v>
      </c>
      <c r="Q3423" s="5">
        <v>92.07</v>
      </c>
      <c r="R3423" s="5">
        <v>92.56</v>
      </c>
      <c r="S3423" s="5">
        <v>92.5</v>
      </c>
      <c r="T3423" s="5">
        <v>93.55</v>
      </c>
      <c r="V3423" s="5">
        <v>92.6</v>
      </c>
      <c r="Y3423" s="5">
        <v>11028</v>
      </c>
      <c r="Z3423" s="5">
        <v>1025115.96</v>
      </c>
      <c r="AA3423" s="5">
        <v>117</v>
      </c>
      <c r="AB3423" s="5" t="s">
        <v>85</v>
      </c>
      <c r="AC3423" s="5">
        <v>1</v>
      </c>
    </row>
    <row r="3424" spans="1:29" x14ac:dyDescent="0.3">
      <c r="A3424" s="34">
        <v>46274</v>
      </c>
      <c r="B3424" s="34">
        <v>46274</v>
      </c>
      <c r="C3424" s="5" t="s">
        <v>78</v>
      </c>
      <c r="D3424" s="5" t="s">
        <v>79</v>
      </c>
      <c r="E3424" s="5" t="s">
        <v>80</v>
      </c>
      <c r="F3424" s="5">
        <v>3594</v>
      </c>
      <c r="G3424" s="5" t="s">
        <v>10368</v>
      </c>
      <c r="H3424" s="5" t="s">
        <v>10369</v>
      </c>
      <c r="I3424" s="5" t="s">
        <v>212</v>
      </c>
      <c r="N3424" s="5" t="s">
        <v>10370</v>
      </c>
      <c r="O3424" s="5">
        <v>4.0999999999999996</v>
      </c>
      <c r="P3424" s="5">
        <v>4.0999999999999996</v>
      </c>
      <c r="Q3424" s="5">
        <v>3.88</v>
      </c>
      <c r="R3424" s="5">
        <v>3.92</v>
      </c>
      <c r="S3424" s="5">
        <v>3.92</v>
      </c>
      <c r="T3424" s="5">
        <v>4.04</v>
      </c>
      <c r="V3424" s="5">
        <v>3.92</v>
      </c>
      <c r="Y3424" s="5">
        <v>6591605</v>
      </c>
      <c r="Z3424" s="5">
        <v>25951687.149999999</v>
      </c>
      <c r="AA3424" s="5">
        <v>3270</v>
      </c>
      <c r="AB3424" s="5" t="s">
        <v>85</v>
      </c>
      <c r="AC3424" s="5">
        <v>1</v>
      </c>
    </row>
    <row r="3425" spans="1:29" x14ac:dyDescent="0.3">
      <c r="A3425" s="34">
        <v>46274</v>
      </c>
      <c r="B3425" s="34">
        <v>46274</v>
      </c>
      <c r="C3425" s="5" t="s">
        <v>78</v>
      </c>
      <c r="D3425" s="5" t="s">
        <v>79</v>
      </c>
      <c r="E3425" s="5" t="s">
        <v>80</v>
      </c>
      <c r="F3425" s="5">
        <v>16713</v>
      </c>
      <c r="G3425" s="5" t="s">
        <v>10371</v>
      </c>
      <c r="H3425" s="5" t="s">
        <v>10372</v>
      </c>
      <c r="I3425" s="5" t="s">
        <v>212</v>
      </c>
      <c r="N3425" s="5" t="s">
        <v>10373</v>
      </c>
      <c r="O3425" s="5">
        <v>1252</v>
      </c>
      <c r="P3425" s="5">
        <v>1279</v>
      </c>
      <c r="Q3425" s="5">
        <v>1245</v>
      </c>
      <c r="R3425" s="5">
        <v>1266.7</v>
      </c>
      <c r="S3425" s="5">
        <v>1260.5</v>
      </c>
      <c r="T3425" s="5">
        <v>1252.5</v>
      </c>
      <c r="V3425" s="5">
        <v>1266.75</v>
      </c>
      <c r="Y3425" s="5">
        <v>189906</v>
      </c>
      <c r="Z3425" s="5">
        <v>240714936.30000001</v>
      </c>
      <c r="AA3425" s="5">
        <v>14486</v>
      </c>
      <c r="AB3425" s="5" t="s">
        <v>85</v>
      </c>
      <c r="AC3425" s="5">
        <v>1</v>
      </c>
    </row>
    <row r="3426" spans="1:29" x14ac:dyDescent="0.3">
      <c r="A3426" s="34">
        <v>46274</v>
      </c>
      <c r="B3426" s="34">
        <v>46274</v>
      </c>
      <c r="C3426" s="5" t="s">
        <v>78</v>
      </c>
      <c r="D3426" s="5" t="s">
        <v>79</v>
      </c>
      <c r="E3426" s="5" t="s">
        <v>80</v>
      </c>
      <c r="F3426" s="5">
        <v>204</v>
      </c>
      <c r="G3426" s="5" t="s">
        <v>10374</v>
      </c>
      <c r="H3426" s="5" t="s">
        <v>10375</v>
      </c>
      <c r="I3426" s="5" t="s">
        <v>234</v>
      </c>
      <c r="N3426" s="5" t="s">
        <v>10376</v>
      </c>
      <c r="O3426" s="5">
        <v>238.95</v>
      </c>
      <c r="P3426" s="5">
        <v>239.97</v>
      </c>
      <c r="Q3426" s="5">
        <v>227</v>
      </c>
      <c r="R3426" s="5">
        <v>230.36</v>
      </c>
      <c r="S3426" s="5">
        <v>231.51</v>
      </c>
      <c r="T3426" s="5">
        <v>234.16</v>
      </c>
      <c r="V3426" s="5">
        <v>231.47</v>
      </c>
      <c r="Y3426" s="5">
        <v>22373</v>
      </c>
      <c r="Z3426" s="5">
        <v>5215488.07</v>
      </c>
      <c r="AA3426" s="5">
        <v>193</v>
      </c>
      <c r="AB3426" s="5" t="s">
        <v>85</v>
      </c>
      <c r="AC3426" s="5">
        <v>1</v>
      </c>
    </row>
    <row r="3427" spans="1:29" x14ac:dyDescent="0.3">
      <c r="A3427" s="34">
        <v>46274</v>
      </c>
      <c r="B3427" s="34">
        <v>46274</v>
      </c>
      <c r="C3427" s="5" t="s">
        <v>78</v>
      </c>
      <c r="D3427" s="5" t="s">
        <v>79</v>
      </c>
      <c r="E3427" s="5" t="s">
        <v>80</v>
      </c>
      <c r="F3427" s="5">
        <v>3133</v>
      </c>
      <c r="G3427" s="5" t="s">
        <v>10377</v>
      </c>
      <c r="H3427" s="5" t="s">
        <v>10378</v>
      </c>
      <c r="I3427" s="5" t="s">
        <v>234</v>
      </c>
      <c r="N3427" s="5" t="s">
        <v>10379</v>
      </c>
      <c r="O3427" s="5">
        <v>719.85</v>
      </c>
      <c r="P3427" s="5">
        <v>719.85</v>
      </c>
      <c r="Q3427" s="5">
        <v>695</v>
      </c>
      <c r="R3427" s="5">
        <v>704</v>
      </c>
      <c r="S3427" s="5">
        <v>695.4</v>
      </c>
      <c r="T3427" s="5">
        <v>717.6</v>
      </c>
      <c r="V3427" s="5">
        <v>703.94</v>
      </c>
      <c r="Y3427" s="5">
        <v>19392</v>
      </c>
      <c r="Z3427" s="5">
        <v>13762379</v>
      </c>
      <c r="AA3427" s="5">
        <v>830</v>
      </c>
      <c r="AB3427" s="5" t="s">
        <v>85</v>
      </c>
      <c r="AC3427" s="5">
        <v>1</v>
      </c>
    </row>
    <row r="3428" spans="1:29" x14ac:dyDescent="0.3">
      <c r="A3428" s="34">
        <v>46274</v>
      </c>
      <c r="B3428" s="34">
        <v>46274</v>
      </c>
      <c r="C3428" s="5" t="s">
        <v>78</v>
      </c>
      <c r="D3428" s="5" t="s">
        <v>79</v>
      </c>
      <c r="E3428" s="5" t="s">
        <v>80</v>
      </c>
      <c r="F3428" s="5">
        <v>25938</v>
      </c>
      <c r="G3428" s="5" t="s">
        <v>10380</v>
      </c>
      <c r="H3428" s="5" t="s">
        <v>10381</v>
      </c>
      <c r="I3428" s="5" t="s">
        <v>392</v>
      </c>
      <c r="N3428" s="5" t="s">
        <v>10382</v>
      </c>
      <c r="O3428" s="5">
        <v>168</v>
      </c>
      <c r="P3428" s="5">
        <v>168</v>
      </c>
      <c r="Q3428" s="5">
        <v>168</v>
      </c>
      <c r="R3428" s="5">
        <v>168</v>
      </c>
      <c r="S3428" s="5">
        <v>168</v>
      </c>
      <c r="T3428" s="5">
        <v>164.75</v>
      </c>
      <c r="V3428" s="5">
        <v>168</v>
      </c>
      <c r="Y3428" s="5">
        <v>10000</v>
      </c>
      <c r="Z3428" s="5">
        <v>1680000</v>
      </c>
      <c r="AA3428" s="5">
        <v>4</v>
      </c>
      <c r="AB3428" s="5" t="s">
        <v>85</v>
      </c>
      <c r="AC3428" s="5">
        <v>2000</v>
      </c>
    </row>
    <row r="3429" spans="1:29" x14ac:dyDescent="0.3">
      <c r="A3429" s="34">
        <v>46274</v>
      </c>
      <c r="B3429" s="34">
        <v>46274</v>
      </c>
      <c r="C3429" s="5" t="s">
        <v>78</v>
      </c>
      <c r="D3429" s="5" t="s">
        <v>79</v>
      </c>
      <c r="E3429" s="5" t="s">
        <v>80</v>
      </c>
      <c r="F3429" s="5">
        <v>17999</v>
      </c>
      <c r="G3429" s="5" t="s">
        <v>10383</v>
      </c>
      <c r="H3429" s="5" t="s">
        <v>10384</v>
      </c>
      <c r="I3429" s="5" t="s">
        <v>212</v>
      </c>
      <c r="N3429" s="5" t="s">
        <v>10385</v>
      </c>
      <c r="O3429" s="5">
        <v>444.35</v>
      </c>
      <c r="P3429" s="5">
        <v>445.95</v>
      </c>
      <c r="Q3429" s="5">
        <v>436.35</v>
      </c>
      <c r="R3429" s="5">
        <v>439.9</v>
      </c>
      <c r="S3429" s="5">
        <v>438</v>
      </c>
      <c r="T3429" s="5">
        <v>441.85</v>
      </c>
      <c r="V3429" s="5">
        <v>439.9</v>
      </c>
      <c r="Y3429" s="5">
        <v>5647</v>
      </c>
      <c r="Z3429" s="5">
        <v>2483964.65</v>
      </c>
      <c r="AA3429" s="5">
        <v>77</v>
      </c>
      <c r="AB3429" s="5" t="s">
        <v>85</v>
      </c>
      <c r="AC3429" s="5">
        <v>1</v>
      </c>
    </row>
    <row r="3430" spans="1:29" x14ac:dyDescent="0.3">
      <c r="A3430" s="34">
        <v>46274</v>
      </c>
      <c r="B3430" s="34">
        <v>46274</v>
      </c>
      <c r="C3430" s="5" t="s">
        <v>78</v>
      </c>
      <c r="D3430" s="5" t="s">
        <v>79</v>
      </c>
      <c r="E3430" s="5" t="s">
        <v>80</v>
      </c>
      <c r="F3430" s="5">
        <v>7560</v>
      </c>
      <c r="G3430" s="5" t="s">
        <v>10386</v>
      </c>
      <c r="H3430" s="5" t="s">
        <v>10387</v>
      </c>
      <c r="I3430" s="5" t="s">
        <v>212</v>
      </c>
      <c r="N3430" s="5" t="s">
        <v>10388</v>
      </c>
      <c r="O3430" s="5">
        <v>43</v>
      </c>
      <c r="P3430" s="5">
        <v>43</v>
      </c>
      <c r="Q3430" s="5">
        <v>41.84</v>
      </c>
      <c r="R3430" s="5">
        <v>42.93</v>
      </c>
      <c r="S3430" s="5">
        <v>42.63</v>
      </c>
      <c r="T3430" s="5">
        <v>42.78</v>
      </c>
      <c r="V3430" s="5">
        <v>42.93</v>
      </c>
      <c r="Y3430" s="5">
        <v>110087</v>
      </c>
      <c r="Z3430" s="5">
        <v>4707694.21</v>
      </c>
      <c r="AA3430" s="5">
        <v>789</v>
      </c>
      <c r="AB3430" s="5" t="s">
        <v>85</v>
      </c>
      <c r="AC3430" s="5">
        <v>1</v>
      </c>
    </row>
    <row r="3431" spans="1:29" x14ac:dyDescent="0.3">
      <c r="A3431" s="34">
        <v>46274</v>
      </c>
      <c r="B3431" s="34">
        <v>46274</v>
      </c>
      <c r="C3431" s="5" t="s">
        <v>78</v>
      </c>
      <c r="D3431" s="5" t="s">
        <v>79</v>
      </c>
      <c r="E3431" s="5" t="s">
        <v>80</v>
      </c>
      <c r="F3431" s="5">
        <v>10447</v>
      </c>
      <c r="G3431" s="5" t="s">
        <v>10389</v>
      </c>
      <c r="H3431" s="5" t="s">
        <v>10390</v>
      </c>
      <c r="I3431" s="5" t="s">
        <v>212</v>
      </c>
      <c r="N3431" s="5" t="s">
        <v>10391</v>
      </c>
      <c r="O3431" s="5">
        <v>1438</v>
      </c>
      <c r="P3431" s="5">
        <v>1439.9</v>
      </c>
      <c r="Q3431" s="5">
        <v>1395.2</v>
      </c>
      <c r="R3431" s="5">
        <v>1405.2</v>
      </c>
      <c r="S3431" s="5">
        <v>1405.2</v>
      </c>
      <c r="T3431" s="5">
        <v>1440</v>
      </c>
      <c r="V3431" s="5">
        <v>1405.19</v>
      </c>
      <c r="Y3431" s="5">
        <v>493439</v>
      </c>
      <c r="Z3431" s="5">
        <v>693353205.89999998</v>
      </c>
      <c r="AA3431" s="5">
        <v>21490</v>
      </c>
      <c r="AB3431" s="5" t="s">
        <v>85</v>
      </c>
      <c r="AC3431" s="5">
        <v>1</v>
      </c>
    </row>
    <row r="3432" spans="1:29" x14ac:dyDescent="0.3">
      <c r="A3432" s="34">
        <v>46274</v>
      </c>
      <c r="B3432" s="34">
        <v>46274</v>
      </c>
      <c r="C3432" s="5" t="s">
        <v>78</v>
      </c>
      <c r="D3432" s="5" t="s">
        <v>79</v>
      </c>
      <c r="E3432" s="5" t="s">
        <v>80</v>
      </c>
      <c r="F3432" s="5">
        <v>18979</v>
      </c>
      <c r="G3432" s="5" t="s">
        <v>10392</v>
      </c>
      <c r="H3432" s="5" t="s">
        <v>10393</v>
      </c>
      <c r="I3432" s="5" t="s">
        <v>234</v>
      </c>
      <c r="N3432" s="5" t="s">
        <v>10394</v>
      </c>
      <c r="O3432" s="5">
        <v>162.5</v>
      </c>
      <c r="P3432" s="5">
        <v>166.49</v>
      </c>
      <c r="Q3432" s="5">
        <v>160.25</v>
      </c>
      <c r="R3432" s="5">
        <v>163.35</v>
      </c>
      <c r="S3432" s="5">
        <v>163</v>
      </c>
      <c r="T3432" s="5">
        <v>164.79</v>
      </c>
      <c r="V3432" s="5">
        <v>163.35</v>
      </c>
      <c r="Y3432" s="5">
        <v>46744</v>
      </c>
      <c r="Z3432" s="5">
        <v>7624511.8600000003</v>
      </c>
      <c r="AA3432" s="5">
        <v>282</v>
      </c>
      <c r="AB3432" s="5" t="s">
        <v>85</v>
      </c>
      <c r="AC3432" s="5">
        <v>1</v>
      </c>
    </row>
    <row r="3433" spans="1:29" x14ac:dyDescent="0.3">
      <c r="A3433" s="34">
        <v>46274</v>
      </c>
      <c r="B3433" s="34">
        <v>46274</v>
      </c>
      <c r="C3433" s="5" t="s">
        <v>78</v>
      </c>
      <c r="D3433" s="5" t="s">
        <v>79</v>
      </c>
      <c r="E3433" s="5" t="s">
        <v>80</v>
      </c>
      <c r="F3433" s="5">
        <v>3607</v>
      </c>
      <c r="G3433" s="5" t="s">
        <v>10395</v>
      </c>
      <c r="H3433" s="5" t="s">
        <v>10396</v>
      </c>
      <c r="I3433" s="5" t="s">
        <v>212</v>
      </c>
      <c r="N3433" s="5" t="s">
        <v>10397</v>
      </c>
      <c r="O3433" s="5">
        <v>1536.9</v>
      </c>
      <c r="P3433" s="5">
        <v>1564</v>
      </c>
      <c r="Q3433" s="5">
        <v>1528.5</v>
      </c>
      <c r="R3433" s="5">
        <v>1543.6</v>
      </c>
      <c r="S3433" s="5">
        <v>1539</v>
      </c>
      <c r="T3433" s="5">
        <v>1524.7</v>
      </c>
      <c r="V3433" s="5">
        <v>1543.52</v>
      </c>
      <c r="Y3433" s="5">
        <v>91480</v>
      </c>
      <c r="Z3433" s="5">
        <v>141690019.40000001</v>
      </c>
      <c r="AA3433" s="5">
        <v>9606</v>
      </c>
      <c r="AB3433" s="5" t="s">
        <v>85</v>
      </c>
      <c r="AC3433" s="5">
        <v>1</v>
      </c>
    </row>
    <row r="3434" spans="1:29" x14ac:dyDescent="0.3">
      <c r="A3434" s="34">
        <v>46274</v>
      </c>
      <c r="B3434" s="34">
        <v>46274</v>
      </c>
      <c r="C3434" s="5" t="s">
        <v>78</v>
      </c>
      <c r="D3434" s="5" t="s">
        <v>79</v>
      </c>
      <c r="E3434" s="5" t="s">
        <v>80</v>
      </c>
      <c r="F3434" s="5">
        <v>17661</v>
      </c>
      <c r="G3434" s="5" t="s">
        <v>10398</v>
      </c>
      <c r="H3434" s="5" t="s">
        <v>10399</v>
      </c>
      <c r="I3434" s="5" t="s">
        <v>234</v>
      </c>
      <c r="N3434" s="5" t="s">
        <v>10400</v>
      </c>
      <c r="O3434" s="5">
        <v>555</v>
      </c>
      <c r="P3434" s="5">
        <v>567.6</v>
      </c>
      <c r="Q3434" s="5">
        <v>531</v>
      </c>
      <c r="R3434" s="5">
        <v>566.25</v>
      </c>
      <c r="S3434" s="5">
        <v>567</v>
      </c>
      <c r="T3434" s="5">
        <v>540.6</v>
      </c>
      <c r="V3434" s="5">
        <v>566.25</v>
      </c>
      <c r="Y3434" s="5">
        <v>7505</v>
      </c>
      <c r="Z3434" s="5">
        <v>4199993.55</v>
      </c>
      <c r="AA3434" s="5">
        <v>213</v>
      </c>
      <c r="AB3434" s="5" t="s">
        <v>85</v>
      </c>
      <c r="AC3434" s="5">
        <v>1</v>
      </c>
    </row>
    <row r="3435" spans="1:29" x14ac:dyDescent="0.3">
      <c r="A3435" s="34">
        <v>46274</v>
      </c>
      <c r="B3435" s="34">
        <v>46274</v>
      </c>
      <c r="C3435" s="5" t="s">
        <v>78</v>
      </c>
      <c r="D3435" s="5" t="s">
        <v>79</v>
      </c>
      <c r="E3435" s="5" t="s">
        <v>80</v>
      </c>
      <c r="F3435" s="5">
        <v>14154</v>
      </c>
      <c r="G3435" s="5" t="s">
        <v>10401</v>
      </c>
      <c r="H3435" s="5" t="s">
        <v>10402</v>
      </c>
      <c r="I3435" s="5" t="s">
        <v>212</v>
      </c>
      <c r="N3435" s="5" t="s">
        <v>10403</v>
      </c>
      <c r="O3435" s="5">
        <v>1230</v>
      </c>
      <c r="P3435" s="5">
        <v>1237</v>
      </c>
      <c r="Q3435" s="5">
        <v>1225.7</v>
      </c>
      <c r="R3435" s="5">
        <v>1229</v>
      </c>
      <c r="S3435" s="5">
        <v>1229</v>
      </c>
      <c r="T3435" s="5">
        <v>1237</v>
      </c>
      <c r="V3435" s="5">
        <v>1229</v>
      </c>
      <c r="Y3435" s="5">
        <v>375564</v>
      </c>
      <c r="Z3435" s="5">
        <v>462561073.10000002</v>
      </c>
      <c r="AA3435" s="5">
        <v>17401</v>
      </c>
      <c r="AB3435" s="5" t="s">
        <v>85</v>
      </c>
      <c r="AC3435" s="5">
        <v>1</v>
      </c>
    </row>
    <row r="3436" spans="1:29" x14ac:dyDescent="0.3">
      <c r="A3436" s="34">
        <v>46274</v>
      </c>
      <c r="B3436" s="34">
        <v>46274</v>
      </c>
      <c r="C3436" s="5" t="s">
        <v>78</v>
      </c>
      <c r="D3436" s="5" t="s">
        <v>79</v>
      </c>
      <c r="E3436" s="5" t="s">
        <v>80</v>
      </c>
      <c r="F3436" s="5">
        <v>18636</v>
      </c>
      <c r="G3436" s="5" t="s">
        <v>10404</v>
      </c>
      <c r="H3436" s="5" t="s">
        <v>10405</v>
      </c>
      <c r="I3436" s="5" t="s">
        <v>297</v>
      </c>
      <c r="N3436" s="5" t="s">
        <v>10406</v>
      </c>
      <c r="O3436" s="5">
        <v>1084.5</v>
      </c>
      <c r="P3436" s="5">
        <v>1084.5</v>
      </c>
      <c r="Q3436" s="5">
        <v>1084.5</v>
      </c>
      <c r="R3436" s="5">
        <v>1084.5</v>
      </c>
      <c r="S3436" s="5">
        <v>1084.5</v>
      </c>
      <c r="T3436" s="5">
        <v>1084.7</v>
      </c>
      <c r="V3436" s="5">
        <v>1084.5</v>
      </c>
      <c r="Y3436" s="5">
        <v>52</v>
      </c>
      <c r="Z3436" s="5">
        <v>56394</v>
      </c>
      <c r="AA3436" s="5">
        <v>2</v>
      </c>
      <c r="AB3436" s="5" t="s">
        <v>85</v>
      </c>
      <c r="AC3436" s="5">
        <v>1</v>
      </c>
    </row>
    <row r="3437" spans="1:29" x14ac:dyDescent="0.3">
      <c r="A3437" s="34">
        <v>46274</v>
      </c>
      <c r="B3437" s="34">
        <v>46274</v>
      </c>
      <c r="C3437" s="5" t="s">
        <v>78</v>
      </c>
      <c r="D3437" s="5" t="s">
        <v>79</v>
      </c>
      <c r="E3437" s="5" t="s">
        <v>80</v>
      </c>
      <c r="F3437" s="5">
        <v>2883</v>
      </c>
      <c r="G3437" s="5" t="s">
        <v>10407</v>
      </c>
      <c r="H3437" s="5" t="s">
        <v>10408</v>
      </c>
      <c r="I3437" s="5" t="s">
        <v>1837</v>
      </c>
      <c r="N3437" s="5" t="s">
        <v>10409</v>
      </c>
      <c r="O3437" s="5">
        <v>1671.46</v>
      </c>
      <c r="P3437" s="5">
        <v>1671.46</v>
      </c>
      <c r="Q3437" s="5">
        <v>1671.46</v>
      </c>
      <c r="R3437" s="5">
        <v>1671.46</v>
      </c>
      <c r="S3437" s="5">
        <v>1671.46</v>
      </c>
      <c r="T3437" s="5">
        <v>1671</v>
      </c>
      <c r="V3437" s="5">
        <v>1671.46</v>
      </c>
      <c r="Y3437" s="5">
        <v>10</v>
      </c>
      <c r="Z3437" s="5">
        <v>16714.599999999999</v>
      </c>
      <c r="AA3437" s="5">
        <v>1</v>
      </c>
      <c r="AB3437" s="5" t="s">
        <v>85</v>
      </c>
      <c r="AC3437" s="5">
        <v>1</v>
      </c>
    </row>
    <row r="3438" spans="1:29" x14ac:dyDescent="0.3">
      <c r="A3438" s="34">
        <v>46274</v>
      </c>
      <c r="B3438" s="34">
        <v>46274</v>
      </c>
      <c r="C3438" s="5" t="s">
        <v>78</v>
      </c>
      <c r="D3438" s="5" t="s">
        <v>79</v>
      </c>
      <c r="E3438" s="5" t="s">
        <v>80</v>
      </c>
      <c r="F3438" s="5">
        <v>2877</v>
      </c>
      <c r="G3438" s="5" t="s">
        <v>10410</v>
      </c>
      <c r="H3438" s="5" t="s">
        <v>10411</v>
      </c>
      <c r="I3438" s="5" t="s">
        <v>546</v>
      </c>
      <c r="N3438" s="5" t="s">
        <v>10412</v>
      </c>
      <c r="O3438" s="5">
        <v>1003</v>
      </c>
      <c r="P3438" s="5">
        <v>1004</v>
      </c>
      <c r="Q3438" s="5">
        <v>1000</v>
      </c>
      <c r="R3438" s="5">
        <v>1001.32</v>
      </c>
      <c r="S3438" s="5">
        <v>1001.63</v>
      </c>
      <c r="T3438" s="5">
        <v>1004.75</v>
      </c>
      <c r="V3438" s="5">
        <v>1001.32</v>
      </c>
      <c r="Y3438" s="5">
        <v>5641</v>
      </c>
      <c r="Z3438" s="5">
        <v>5651036.4900000002</v>
      </c>
      <c r="AA3438" s="5">
        <v>60</v>
      </c>
      <c r="AB3438" s="5" t="s">
        <v>85</v>
      </c>
      <c r="AC3438" s="5">
        <v>1</v>
      </c>
    </row>
    <row r="3439" spans="1:29" x14ac:dyDescent="0.3">
      <c r="A3439" s="34">
        <v>46274</v>
      </c>
      <c r="B3439" s="34">
        <v>46274</v>
      </c>
      <c r="C3439" s="5" t="s">
        <v>78</v>
      </c>
      <c r="D3439" s="5" t="s">
        <v>79</v>
      </c>
      <c r="E3439" s="5" t="s">
        <v>80</v>
      </c>
      <c r="F3439" s="5">
        <v>5859</v>
      </c>
      <c r="G3439" s="5" t="s">
        <v>10413</v>
      </c>
      <c r="H3439" s="5" t="s">
        <v>10414</v>
      </c>
      <c r="I3439" s="5" t="s">
        <v>10415</v>
      </c>
      <c r="N3439" s="5" t="s">
        <v>10416</v>
      </c>
      <c r="O3439" s="5">
        <v>1030.2</v>
      </c>
      <c r="P3439" s="5">
        <v>1051.8</v>
      </c>
      <c r="Q3439" s="5">
        <v>990</v>
      </c>
      <c r="R3439" s="5">
        <v>990</v>
      </c>
      <c r="S3439" s="5">
        <v>990</v>
      </c>
      <c r="T3439" s="5">
        <v>1049.8</v>
      </c>
      <c r="V3439" s="5">
        <v>990</v>
      </c>
      <c r="Y3439" s="5">
        <v>812</v>
      </c>
      <c r="Z3439" s="5">
        <v>840159.8</v>
      </c>
      <c r="AA3439" s="5">
        <v>11</v>
      </c>
      <c r="AB3439" s="5" t="s">
        <v>85</v>
      </c>
      <c r="AC3439" s="5">
        <v>1</v>
      </c>
    </row>
    <row r="3440" spans="1:29" x14ac:dyDescent="0.3">
      <c r="A3440" s="34">
        <v>46274</v>
      </c>
      <c r="B3440" s="34">
        <v>46274</v>
      </c>
      <c r="C3440" s="5" t="s">
        <v>78</v>
      </c>
      <c r="D3440" s="5" t="s">
        <v>79</v>
      </c>
      <c r="E3440" s="5" t="s">
        <v>80</v>
      </c>
      <c r="F3440" s="5">
        <v>5217</v>
      </c>
      <c r="G3440" s="5" t="s">
        <v>10417</v>
      </c>
      <c r="H3440" s="5" t="s">
        <v>10418</v>
      </c>
      <c r="I3440" s="5" t="s">
        <v>277</v>
      </c>
      <c r="N3440" s="5" t="s">
        <v>10419</v>
      </c>
      <c r="O3440" s="5">
        <v>1593.94</v>
      </c>
      <c r="P3440" s="5">
        <v>1595</v>
      </c>
      <c r="Q3440" s="5">
        <v>1593.94</v>
      </c>
      <c r="R3440" s="5">
        <v>1595</v>
      </c>
      <c r="S3440" s="5">
        <v>1595</v>
      </c>
      <c r="T3440" s="5">
        <v>1601.95</v>
      </c>
      <c r="V3440" s="5">
        <v>1595</v>
      </c>
      <c r="Y3440" s="5">
        <v>350</v>
      </c>
      <c r="Z3440" s="5">
        <v>558064.5</v>
      </c>
      <c r="AA3440" s="5">
        <v>2</v>
      </c>
      <c r="AB3440" s="5" t="s">
        <v>85</v>
      </c>
      <c r="AC3440" s="5">
        <v>1</v>
      </c>
    </row>
    <row r="3441" spans="1:29" x14ac:dyDescent="0.3">
      <c r="A3441" s="34">
        <v>46274</v>
      </c>
      <c r="B3441" s="34">
        <v>46274</v>
      </c>
      <c r="C3441" s="5" t="s">
        <v>78</v>
      </c>
      <c r="D3441" s="5" t="s">
        <v>79</v>
      </c>
      <c r="E3441" s="5" t="s">
        <v>80</v>
      </c>
      <c r="F3441" s="5">
        <v>5212</v>
      </c>
      <c r="G3441" s="5" t="s">
        <v>10420</v>
      </c>
      <c r="H3441" s="5" t="s">
        <v>10421</v>
      </c>
      <c r="I3441" s="5" t="s">
        <v>250</v>
      </c>
      <c r="N3441" s="5" t="s">
        <v>10422</v>
      </c>
      <c r="O3441" s="5">
        <v>1007.5</v>
      </c>
      <c r="P3441" s="5">
        <v>1008.99</v>
      </c>
      <c r="Q3441" s="5">
        <v>1002.61</v>
      </c>
      <c r="R3441" s="5">
        <v>1007.99</v>
      </c>
      <c r="S3441" s="5">
        <v>1008.99</v>
      </c>
      <c r="T3441" s="5">
        <v>1006</v>
      </c>
      <c r="V3441" s="5">
        <v>1007.99</v>
      </c>
      <c r="Y3441" s="5">
        <v>436</v>
      </c>
      <c r="Z3441" s="5">
        <v>438630.56</v>
      </c>
      <c r="AA3441" s="5">
        <v>12</v>
      </c>
      <c r="AB3441" s="5" t="s">
        <v>85</v>
      </c>
      <c r="AC3441" s="5">
        <v>1</v>
      </c>
    </row>
    <row r="3442" spans="1:29" x14ac:dyDescent="0.3">
      <c r="A3442" s="34">
        <v>46274</v>
      </c>
      <c r="B3442" s="34">
        <v>46274</v>
      </c>
      <c r="C3442" s="5" t="s">
        <v>78</v>
      </c>
      <c r="D3442" s="5" t="s">
        <v>79</v>
      </c>
      <c r="E3442" s="5" t="s">
        <v>80</v>
      </c>
      <c r="F3442" s="5">
        <v>5214</v>
      </c>
      <c r="G3442" s="5" t="s">
        <v>10423</v>
      </c>
      <c r="H3442" s="5" t="s">
        <v>10424</v>
      </c>
      <c r="I3442" s="5" t="s">
        <v>254</v>
      </c>
      <c r="N3442" s="5" t="s">
        <v>10425</v>
      </c>
      <c r="O3442" s="5">
        <v>1002</v>
      </c>
      <c r="P3442" s="5">
        <v>1004.5</v>
      </c>
      <c r="Q3442" s="5">
        <v>999.6</v>
      </c>
      <c r="R3442" s="5">
        <v>1000</v>
      </c>
      <c r="S3442" s="5">
        <v>1000</v>
      </c>
      <c r="T3442" s="5">
        <v>1002.5</v>
      </c>
      <c r="V3442" s="5">
        <v>1000.2</v>
      </c>
      <c r="Y3442" s="5">
        <v>6114</v>
      </c>
      <c r="Z3442" s="5">
        <v>6117289.96</v>
      </c>
      <c r="AA3442" s="5">
        <v>65</v>
      </c>
      <c r="AB3442" s="5" t="s">
        <v>85</v>
      </c>
      <c r="AC3442" s="5">
        <v>1</v>
      </c>
    </row>
    <row r="3443" spans="1:29" x14ac:dyDescent="0.3">
      <c r="A3443" s="34">
        <v>46274</v>
      </c>
      <c r="B3443" s="34">
        <v>46274</v>
      </c>
      <c r="C3443" s="5" t="s">
        <v>78</v>
      </c>
      <c r="D3443" s="5" t="s">
        <v>79</v>
      </c>
      <c r="E3443" s="5" t="s">
        <v>80</v>
      </c>
      <c r="F3443" s="5">
        <v>19047</v>
      </c>
      <c r="G3443" s="5" t="s">
        <v>10426</v>
      </c>
      <c r="H3443" s="5" t="s">
        <v>10427</v>
      </c>
      <c r="I3443" s="5" t="s">
        <v>270</v>
      </c>
      <c r="N3443" s="5" t="s">
        <v>10428</v>
      </c>
      <c r="O3443" s="5">
        <v>1055</v>
      </c>
      <c r="P3443" s="5">
        <v>1055</v>
      </c>
      <c r="Q3443" s="5">
        <v>1055</v>
      </c>
      <c r="R3443" s="5">
        <v>1055</v>
      </c>
      <c r="S3443" s="5">
        <v>1055</v>
      </c>
      <c r="T3443" s="5">
        <v>1067</v>
      </c>
      <c r="V3443" s="5">
        <v>1055</v>
      </c>
      <c r="Y3443" s="5">
        <v>65</v>
      </c>
      <c r="Z3443" s="5">
        <v>68575</v>
      </c>
      <c r="AA3443" s="5">
        <v>1</v>
      </c>
      <c r="AB3443" s="5" t="s">
        <v>85</v>
      </c>
      <c r="AC3443" s="5">
        <v>1</v>
      </c>
    </row>
    <row r="3444" spans="1:29" x14ac:dyDescent="0.3">
      <c r="A3444" s="34">
        <v>46274</v>
      </c>
      <c r="B3444" s="34">
        <v>46274</v>
      </c>
      <c r="C3444" s="5" t="s">
        <v>78</v>
      </c>
      <c r="D3444" s="5" t="s">
        <v>79</v>
      </c>
      <c r="E3444" s="5" t="s">
        <v>80</v>
      </c>
      <c r="F3444" s="5">
        <v>21221</v>
      </c>
      <c r="G3444" s="5" t="s">
        <v>10429</v>
      </c>
      <c r="H3444" s="5" t="s">
        <v>10430</v>
      </c>
      <c r="I3444" s="5" t="s">
        <v>266</v>
      </c>
      <c r="N3444" s="5" t="s">
        <v>10431</v>
      </c>
      <c r="O3444" s="5">
        <v>1070.2</v>
      </c>
      <c r="P3444" s="5">
        <v>1086.8</v>
      </c>
      <c r="Q3444" s="5">
        <v>1070.2</v>
      </c>
      <c r="R3444" s="5">
        <v>1086.8</v>
      </c>
      <c r="S3444" s="5">
        <v>1086.8</v>
      </c>
      <c r="T3444" s="5">
        <v>1000.1</v>
      </c>
      <c r="V3444" s="5">
        <v>1086.8</v>
      </c>
      <c r="Y3444" s="5">
        <v>82</v>
      </c>
      <c r="Z3444" s="5">
        <v>88437</v>
      </c>
      <c r="AA3444" s="5">
        <v>2</v>
      </c>
      <c r="AB3444" s="5" t="s">
        <v>85</v>
      </c>
      <c r="AC3444" s="5">
        <v>1</v>
      </c>
    </row>
    <row r="3445" spans="1:29" x14ac:dyDescent="0.3">
      <c r="A3445" s="34">
        <v>46274</v>
      </c>
      <c r="B3445" s="34">
        <v>46274</v>
      </c>
      <c r="C3445" s="5" t="s">
        <v>78</v>
      </c>
      <c r="D3445" s="5" t="s">
        <v>79</v>
      </c>
      <c r="E3445" s="5" t="s">
        <v>80</v>
      </c>
      <c r="F3445" s="5">
        <v>21225</v>
      </c>
      <c r="G3445" s="5" t="s">
        <v>10432</v>
      </c>
      <c r="H3445" s="5" t="s">
        <v>10433</v>
      </c>
      <c r="I3445" s="5" t="s">
        <v>1824</v>
      </c>
      <c r="N3445" s="5" t="s">
        <v>10434</v>
      </c>
      <c r="O3445" s="5">
        <v>1115</v>
      </c>
      <c r="P3445" s="5">
        <v>1115</v>
      </c>
      <c r="Q3445" s="5">
        <v>1110</v>
      </c>
      <c r="R3445" s="5">
        <v>1112.01</v>
      </c>
      <c r="S3445" s="5">
        <v>1112</v>
      </c>
      <c r="T3445" s="5">
        <v>1107</v>
      </c>
      <c r="V3445" s="5">
        <v>1112.29</v>
      </c>
      <c r="Y3445" s="5">
        <v>220</v>
      </c>
      <c r="Z3445" s="5">
        <v>244501</v>
      </c>
      <c r="AA3445" s="5">
        <v>5</v>
      </c>
      <c r="AB3445" s="5" t="s">
        <v>85</v>
      </c>
      <c r="AC3445" s="5">
        <v>1</v>
      </c>
    </row>
    <row r="3446" spans="1:29" x14ac:dyDescent="0.3">
      <c r="A3446" s="34">
        <v>46274</v>
      </c>
      <c r="B3446" s="34">
        <v>46274</v>
      </c>
      <c r="C3446" s="5" t="s">
        <v>78</v>
      </c>
      <c r="D3446" s="5" t="s">
        <v>79</v>
      </c>
      <c r="E3446" s="5" t="s">
        <v>80</v>
      </c>
      <c r="F3446" s="5">
        <v>19113</v>
      </c>
      <c r="G3446" s="5" t="s">
        <v>10435</v>
      </c>
      <c r="H3446" s="5" t="s">
        <v>10436</v>
      </c>
      <c r="I3446" s="5" t="s">
        <v>212</v>
      </c>
      <c r="N3446" s="5" t="s">
        <v>10437</v>
      </c>
      <c r="O3446" s="5">
        <v>217</v>
      </c>
      <c r="P3446" s="5">
        <v>217.02</v>
      </c>
      <c r="Q3446" s="5">
        <v>205.64</v>
      </c>
      <c r="R3446" s="5">
        <v>207.42</v>
      </c>
      <c r="S3446" s="5">
        <v>208</v>
      </c>
      <c r="T3446" s="5">
        <v>215.77</v>
      </c>
      <c r="V3446" s="5">
        <v>207.41</v>
      </c>
      <c r="Y3446" s="5">
        <v>449284</v>
      </c>
      <c r="Z3446" s="5">
        <v>95171694.909999996</v>
      </c>
      <c r="AA3446" s="5">
        <v>6289</v>
      </c>
      <c r="AB3446" s="5" t="s">
        <v>85</v>
      </c>
      <c r="AC3446" s="5">
        <v>1</v>
      </c>
    </row>
    <row r="3447" spans="1:29" x14ac:dyDescent="0.3">
      <c r="A3447" s="34">
        <v>46274</v>
      </c>
      <c r="B3447" s="34">
        <v>46274</v>
      </c>
      <c r="C3447" s="5" t="s">
        <v>78</v>
      </c>
      <c r="D3447" s="5" t="s">
        <v>79</v>
      </c>
      <c r="E3447" s="5" t="s">
        <v>80</v>
      </c>
      <c r="F3447" s="5">
        <v>11287</v>
      </c>
      <c r="G3447" s="5" t="s">
        <v>10438</v>
      </c>
      <c r="H3447" s="5" t="s">
        <v>10439</v>
      </c>
      <c r="I3447" s="5" t="s">
        <v>212</v>
      </c>
      <c r="N3447" s="5" t="s">
        <v>10440</v>
      </c>
      <c r="O3447" s="5">
        <v>573.5</v>
      </c>
      <c r="P3447" s="5">
        <v>578.35</v>
      </c>
      <c r="Q3447" s="5">
        <v>568.54999999999995</v>
      </c>
      <c r="R3447" s="5">
        <v>575.70000000000005</v>
      </c>
      <c r="S3447" s="5">
        <v>575.70000000000005</v>
      </c>
      <c r="T3447" s="5">
        <v>576.75</v>
      </c>
      <c r="V3447" s="5">
        <v>575.70000000000005</v>
      </c>
      <c r="Y3447" s="5">
        <v>1763304</v>
      </c>
      <c r="Z3447" s="5">
        <v>1010210180.2</v>
      </c>
      <c r="AA3447" s="5">
        <v>29306</v>
      </c>
      <c r="AB3447" s="5" t="s">
        <v>85</v>
      </c>
      <c r="AC3447" s="5">
        <v>1</v>
      </c>
    </row>
    <row r="3448" spans="1:29" x14ac:dyDescent="0.3">
      <c r="A3448" s="34">
        <v>46274</v>
      </c>
      <c r="B3448" s="34">
        <v>46274</v>
      </c>
      <c r="C3448" s="5" t="s">
        <v>78</v>
      </c>
      <c r="D3448" s="5" t="s">
        <v>79</v>
      </c>
      <c r="E3448" s="5" t="s">
        <v>80</v>
      </c>
      <c r="F3448" s="5">
        <v>10610</v>
      </c>
      <c r="G3448" s="5" t="s">
        <v>10441</v>
      </c>
      <c r="H3448" s="5" t="s">
        <v>10442</v>
      </c>
      <c r="I3448" s="5" t="s">
        <v>313</v>
      </c>
      <c r="N3448" s="5" t="s">
        <v>10443</v>
      </c>
      <c r="O3448" s="5">
        <v>92.1</v>
      </c>
      <c r="P3448" s="5">
        <v>92.1</v>
      </c>
      <c r="Q3448" s="5">
        <v>92.1</v>
      </c>
      <c r="R3448" s="5">
        <v>92.1</v>
      </c>
      <c r="S3448" s="5">
        <v>92.1</v>
      </c>
      <c r="T3448" s="5">
        <v>92.2</v>
      </c>
      <c r="V3448" s="5">
        <v>92.1</v>
      </c>
      <c r="Y3448" s="5">
        <v>428</v>
      </c>
      <c r="Z3448" s="5">
        <v>39418.800000000003</v>
      </c>
      <c r="AA3448" s="5">
        <v>1</v>
      </c>
      <c r="AB3448" s="5" t="s">
        <v>85</v>
      </c>
      <c r="AC3448" s="5">
        <v>428</v>
      </c>
    </row>
    <row r="3449" spans="1:29" x14ac:dyDescent="0.3">
      <c r="A3449" s="34">
        <v>46274</v>
      </c>
      <c r="B3449" s="34">
        <v>46274</v>
      </c>
      <c r="C3449" s="5" t="s">
        <v>78</v>
      </c>
      <c r="D3449" s="5" t="s">
        <v>79</v>
      </c>
      <c r="E3449" s="5" t="s">
        <v>80</v>
      </c>
      <c r="F3449" s="5">
        <v>17081</v>
      </c>
      <c r="G3449" s="5" t="s">
        <v>10444</v>
      </c>
      <c r="H3449" s="5" t="s">
        <v>10445</v>
      </c>
      <c r="I3449" s="5" t="s">
        <v>234</v>
      </c>
      <c r="N3449" s="5" t="s">
        <v>10446</v>
      </c>
      <c r="O3449" s="5">
        <v>111.26</v>
      </c>
      <c r="P3449" s="5">
        <v>115</v>
      </c>
      <c r="Q3449" s="5">
        <v>111.26</v>
      </c>
      <c r="R3449" s="5">
        <v>115</v>
      </c>
      <c r="S3449" s="5">
        <v>115</v>
      </c>
      <c r="T3449" s="5">
        <v>113.53</v>
      </c>
      <c r="V3449" s="5">
        <v>115.8</v>
      </c>
      <c r="Y3449" s="5">
        <v>2705</v>
      </c>
      <c r="Z3449" s="5">
        <v>301941.92</v>
      </c>
      <c r="AA3449" s="5">
        <v>29</v>
      </c>
      <c r="AB3449" s="5" t="s">
        <v>85</v>
      </c>
      <c r="AC3449" s="5">
        <v>1</v>
      </c>
    </row>
    <row r="3450" spans="1:29" x14ac:dyDescent="0.3">
      <c r="A3450" s="34">
        <v>46274</v>
      </c>
      <c r="B3450" s="34">
        <v>46274</v>
      </c>
      <c r="C3450" s="5" t="s">
        <v>78</v>
      </c>
      <c r="D3450" s="5" t="s">
        <v>79</v>
      </c>
      <c r="E3450" s="5" t="s">
        <v>80</v>
      </c>
      <c r="F3450" s="5">
        <v>759084</v>
      </c>
      <c r="G3450" s="5" t="s">
        <v>10447</v>
      </c>
      <c r="H3450" s="5" t="s">
        <v>10448</v>
      </c>
      <c r="I3450" s="5" t="s">
        <v>212</v>
      </c>
      <c r="N3450" s="5" t="s">
        <v>10449</v>
      </c>
      <c r="O3450" s="5">
        <v>170.5</v>
      </c>
      <c r="P3450" s="5">
        <v>173</v>
      </c>
      <c r="Q3450" s="5">
        <v>166</v>
      </c>
      <c r="R3450" s="5">
        <v>171.59</v>
      </c>
      <c r="S3450" s="5">
        <v>172.5</v>
      </c>
      <c r="T3450" s="5">
        <v>171.77</v>
      </c>
      <c r="V3450" s="5">
        <v>171.59</v>
      </c>
      <c r="Y3450" s="5">
        <v>5656330</v>
      </c>
      <c r="Z3450" s="5">
        <v>955946928.07000005</v>
      </c>
      <c r="AA3450" s="5">
        <v>52274</v>
      </c>
      <c r="AB3450" s="5" t="s">
        <v>85</v>
      </c>
      <c r="AC3450" s="5">
        <v>1</v>
      </c>
    </row>
    <row r="3451" spans="1:29" x14ac:dyDescent="0.3">
      <c r="A3451" s="34">
        <v>46274</v>
      </c>
      <c r="B3451" s="34">
        <v>46274</v>
      </c>
      <c r="C3451" s="5" t="s">
        <v>78</v>
      </c>
      <c r="D3451" s="5" t="s">
        <v>79</v>
      </c>
      <c r="E3451" s="5" t="s">
        <v>80</v>
      </c>
      <c r="F3451" s="5">
        <v>16888</v>
      </c>
      <c r="G3451" s="5" t="s">
        <v>10450</v>
      </c>
      <c r="H3451" s="5" t="s">
        <v>10451</v>
      </c>
      <c r="I3451" s="5" t="s">
        <v>313</v>
      </c>
      <c r="N3451" s="5" t="s">
        <v>10452</v>
      </c>
      <c r="O3451" s="5">
        <v>128.15</v>
      </c>
      <c r="P3451" s="5">
        <v>128.15</v>
      </c>
      <c r="Q3451" s="5">
        <v>124.55</v>
      </c>
      <c r="R3451" s="5">
        <v>125.25</v>
      </c>
      <c r="S3451" s="5">
        <v>125.1</v>
      </c>
      <c r="T3451" s="5">
        <v>128.15</v>
      </c>
      <c r="V3451" s="5">
        <v>125.25</v>
      </c>
      <c r="Y3451" s="5">
        <v>8000</v>
      </c>
      <c r="Z3451" s="5">
        <v>1010000</v>
      </c>
      <c r="AA3451" s="5">
        <v>10</v>
      </c>
      <c r="AB3451" s="5" t="s">
        <v>85</v>
      </c>
      <c r="AC3451" s="5">
        <v>800</v>
      </c>
    </row>
    <row r="3452" spans="1:29" x14ac:dyDescent="0.3">
      <c r="A3452" s="34">
        <v>46274</v>
      </c>
      <c r="B3452" s="34">
        <v>46274</v>
      </c>
      <c r="C3452" s="5" t="s">
        <v>78</v>
      </c>
      <c r="D3452" s="5" t="s">
        <v>79</v>
      </c>
      <c r="E3452" s="5" t="s">
        <v>80</v>
      </c>
      <c r="F3452" s="5">
        <v>20203</v>
      </c>
      <c r="G3452" s="5" t="s">
        <v>10453</v>
      </c>
      <c r="H3452" s="5" t="s">
        <v>10454</v>
      </c>
      <c r="I3452" s="5" t="s">
        <v>212</v>
      </c>
      <c r="N3452" s="5" t="s">
        <v>10455</v>
      </c>
      <c r="O3452" s="5">
        <v>9.08</v>
      </c>
      <c r="P3452" s="5">
        <v>9.18</v>
      </c>
      <c r="Q3452" s="5">
        <v>9.02</v>
      </c>
      <c r="R3452" s="5">
        <v>9.0500000000000007</v>
      </c>
      <c r="S3452" s="5">
        <v>9.06</v>
      </c>
      <c r="T3452" s="5">
        <v>9.08</v>
      </c>
      <c r="V3452" s="5">
        <v>9.0500000000000007</v>
      </c>
      <c r="Y3452" s="5">
        <v>777063</v>
      </c>
      <c r="Z3452" s="5">
        <v>7070917.1299999999</v>
      </c>
      <c r="AA3452" s="5">
        <v>1996</v>
      </c>
      <c r="AB3452" s="5" t="s">
        <v>85</v>
      </c>
      <c r="AC3452" s="5">
        <v>1</v>
      </c>
    </row>
    <row r="3453" spans="1:29" x14ac:dyDescent="0.3">
      <c r="A3453" s="34">
        <v>46274</v>
      </c>
      <c r="B3453" s="34">
        <v>46274</v>
      </c>
      <c r="C3453" s="5" t="s">
        <v>78</v>
      </c>
      <c r="D3453" s="5" t="s">
        <v>79</v>
      </c>
      <c r="E3453" s="5" t="s">
        <v>80</v>
      </c>
      <c r="F3453" s="5">
        <v>25952</v>
      </c>
      <c r="G3453" s="5" t="s">
        <v>10456</v>
      </c>
      <c r="H3453" s="5" t="s">
        <v>10457</v>
      </c>
      <c r="I3453" s="5" t="s">
        <v>313</v>
      </c>
      <c r="N3453" s="5" t="s">
        <v>10458</v>
      </c>
      <c r="O3453" s="5">
        <v>51.4</v>
      </c>
      <c r="P3453" s="5">
        <v>51.4</v>
      </c>
      <c r="Q3453" s="5">
        <v>43.45</v>
      </c>
      <c r="R3453" s="5">
        <v>50</v>
      </c>
      <c r="S3453" s="5">
        <v>50</v>
      </c>
      <c r="T3453" s="5">
        <v>53.75</v>
      </c>
      <c r="V3453" s="5">
        <v>50</v>
      </c>
      <c r="Y3453" s="5">
        <v>44800</v>
      </c>
      <c r="Z3453" s="5">
        <v>2123600</v>
      </c>
      <c r="AA3453" s="5">
        <v>27</v>
      </c>
      <c r="AB3453" s="5" t="s">
        <v>85</v>
      </c>
      <c r="AC3453" s="5">
        <v>1600</v>
      </c>
    </row>
    <row r="3454" spans="1:29" x14ac:dyDescent="0.3">
      <c r="A3454" s="34">
        <v>46274</v>
      </c>
      <c r="B3454" s="34">
        <v>46274</v>
      </c>
      <c r="C3454" s="5" t="s">
        <v>78</v>
      </c>
      <c r="D3454" s="5" t="s">
        <v>79</v>
      </c>
      <c r="E3454" s="5" t="s">
        <v>80</v>
      </c>
      <c r="F3454" s="5">
        <v>19142</v>
      </c>
      <c r="G3454" s="5" t="s">
        <v>10459</v>
      </c>
      <c r="H3454" s="5" t="s">
        <v>10460</v>
      </c>
      <c r="I3454" s="5" t="s">
        <v>212</v>
      </c>
      <c r="N3454" s="5" t="s">
        <v>10461</v>
      </c>
      <c r="O3454" s="5">
        <v>5.0999999999999996</v>
      </c>
      <c r="P3454" s="5">
        <v>5.13</v>
      </c>
      <c r="Q3454" s="5">
        <v>4.96</v>
      </c>
      <c r="R3454" s="5">
        <v>5.08</v>
      </c>
      <c r="S3454" s="5">
        <v>5.08</v>
      </c>
      <c r="T3454" s="5">
        <v>5.08</v>
      </c>
      <c r="V3454" s="5">
        <v>5.08</v>
      </c>
      <c r="Y3454" s="5">
        <v>1680</v>
      </c>
      <c r="Z3454" s="5">
        <v>8479.2199999999993</v>
      </c>
      <c r="AA3454" s="5">
        <v>44</v>
      </c>
      <c r="AB3454" s="5" t="s">
        <v>85</v>
      </c>
      <c r="AC3454" s="5">
        <v>1</v>
      </c>
    </row>
    <row r="3455" spans="1:29" x14ac:dyDescent="0.3">
      <c r="A3455" s="34">
        <v>46274</v>
      </c>
      <c r="B3455" s="34">
        <v>46274</v>
      </c>
      <c r="C3455" s="5" t="s">
        <v>78</v>
      </c>
      <c r="D3455" s="5" t="s">
        <v>79</v>
      </c>
      <c r="E3455" s="5" t="s">
        <v>80</v>
      </c>
      <c r="F3455" s="5">
        <v>8840</v>
      </c>
      <c r="G3455" s="5" t="s">
        <v>10462</v>
      </c>
      <c r="H3455" s="5" t="s">
        <v>10463</v>
      </c>
      <c r="I3455" s="5" t="s">
        <v>212</v>
      </c>
      <c r="N3455" s="5" t="s">
        <v>10464</v>
      </c>
      <c r="O3455" s="5">
        <v>499.8</v>
      </c>
      <c r="P3455" s="5">
        <v>502.1</v>
      </c>
      <c r="Q3455" s="5">
        <v>494.05</v>
      </c>
      <c r="R3455" s="5">
        <v>498.65</v>
      </c>
      <c r="S3455" s="5">
        <v>498</v>
      </c>
      <c r="T3455" s="5">
        <v>499.85</v>
      </c>
      <c r="V3455" s="5">
        <v>498.64</v>
      </c>
      <c r="Y3455" s="5">
        <v>273561</v>
      </c>
      <c r="Z3455" s="5">
        <v>136141531.75</v>
      </c>
      <c r="AA3455" s="5">
        <v>14993</v>
      </c>
      <c r="AB3455" s="5" t="s">
        <v>85</v>
      </c>
      <c r="AC3455" s="5">
        <v>1</v>
      </c>
    </row>
    <row r="3456" spans="1:29" x14ac:dyDescent="0.3">
      <c r="A3456" s="34">
        <v>46274</v>
      </c>
      <c r="B3456" s="34">
        <v>46274</v>
      </c>
      <c r="C3456" s="5" t="s">
        <v>78</v>
      </c>
      <c r="D3456" s="5" t="s">
        <v>79</v>
      </c>
      <c r="E3456" s="5" t="s">
        <v>80</v>
      </c>
      <c r="F3456" s="5">
        <v>4214</v>
      </c>
      <c r="G3456" s="5" t="s">
        <v>10465</v>
      </c>
      <c r="H3456" s="5" t="s">
        <v>10466</v>
      </c>
      <c r="I3456" s="5" t="s">
        <v>392</v>
      </c>
      <c r="N3456" s="5" t="s">
        <v>10467</v>
      </c>
      <c r="O3456" s="5">
        <v>239.95</v>
      </c>
      <c r="P3456" s="5">
        <v>239.95</v>
      </c>
      <c r="Q3456" s="5">
        <v>239.95</v>
      </c>
      <c r="R3456" s="5">
        <v>239.95</v>
      </c>
      <c r="S3456" s="5">
        <v>239.95</v>
      </c>
      <c r="T3456" s="5">
        <v>244.8</v>
      </c>
      <c r="V3456" s="5">
        <v>239.95</v>
      </c>
      <c r="Y3456" s="5">
        <v>8000</v>
      </c>
      <c r="Z3456" s="5">
        <v>1919600</v>
      </c>
      <c r="AA3456" s="5">
        <v>4</v>
      </c>
      <c r="AB3456" s="5" t="s">
        <v>85</v>
      </c>
      <c r="AC3456" s="5">
        <v>2000</v>
      </c>
    </row>
    <row r="3457" spans="1:29" x14ac:dyDescent="0.3">
      <c r="A3457" s="34">
        <v>46274</v>
      </c>
      <c r="B3457" s="34">
        <v>46274</v>
      </c>
      <c r="C3457" s="5" t="s">
        <v>78</v>
      </c>
      <c r="D3457" s="5" t="s">
        <v>79</v>
      </c>
      <c r="E3457" s="5" t="s">
        <v>80</v>
      </c>
      <c r="F3457" s="5">
        <v>527</v>
      </c>
      <c r="G3457" s="5" t="s">
        <v>10468</v>
      </c>
      <c r="H3457" s="5" t="s">
        <v>10469</v>
      </c>
      <c r="I3457" s="5" t="s">
        <v>212</v>
      </c>
      <c r="N3457" s="5" t="s">
        <v>10470</v>
      </c>
      <c r="O3457" s="5">
        <v>899.5</v>
      </c>
      <c r="P3457" s="5">
        <v>903.35</v>
      </c>
      <c r="Q3457" s="5">
        <v>896.55</v>
      </c>
      <c r="R3457" s="5">
        <v>900.9</v>
      </c>
      <c r="S3457" s="5">
        <v>901.1</v>
      </c>
      <c r="T3457" s="5">
        <v>900.45</v>
      </c>
      <c r="V3457" s="5">
        <v>900.87</v>
      </c>
      <c r="Y3457" s="5">
        <v>57773</v>
      </c>
      <c r="Z3457" s="5">
        <v>52022787</v>
      </c>
      <c r="AA3457" s="5">
        <v>5143</v>
      </c>
      <c r="AB3457" s="5" t="s">
        <v>85</v>
      </c>
      <c r="AC3457" s="5">
        <v>1</v>
      </c>
    </row>
    <row r="3458" spans="1:29" x14ac:dyDescent="0.3">
      <c r="A3458" s="34">
        <v>46274</v>
      </c>
      <c r="B3458" s="34">
        <v>46274</v>
      </c>
      <c r="C3458" s="5" t="s">
        <v>78</v>
      </c>
      <c r="D3458" s="5" t="s">
        <v>79</v>
      </c>
      <c r="E3458" s="5" t="s">
        <v>80</v>
      </c>
      <c r="F3458" s="5">
        <v>764180</v>
      </c>
      <c r="G3458" s="5" t="s">
        <v>10471</v>
      </c>
      <c r="H3458" s="5" t="s">
        <v>10472</v>
      </c>
      <c r="I3458" s="5" t="s">
        <v>212</v>
      </c>
      <c r="N3458" s="5" t="s">
        <v>10473</v>
      </c>
      <c r="O3458" s="5">
        <v>1007.41</v>
      </c>
      <c r="P3458" s="5">
        <v>1007.41</v>
      </c>
      <c r="Q3458" s="5">
        <v>1007.41</v>
      </c>
      <c r="R3458" s="5">
        <v>1007.41</v>
      </c>
      <c r="S3458" s="5">
        <v>1007.41</v>
      </c>
      <c r="T3458" s="5">
        <v>1007.29</v>
      </c>
      <c r="V3458" s="5">
        <v>1007.41</v>
      </c>
      <c r="Y3458" s="5">
        <v>65</v>
      </c>
      <c r="Z3458" s="5">
        <v>65481.65</v>
      </c>
      <c r="AA3458" s="5">
        <v>3</v>
      </c>
      <c r="AB3458" s="5" t="s">
        <v>85</v>
      </c>
      <c r="AC3458" s="5">
        <v>1</v>
      </c>
    </row>
    <row r="3459" spans="1:29" x14ac:dyDescent="0.3">
      <c r="A3459" s="34">
        <v>46274</v>
      </c>
      <c r="B3459" s="34">
        <v>46274</v>
      </c>
      <c r="C3459" s="5" t="s">
        <v>78</v>
      </c>
      <c r="D3459" s="5" t="s">
        <v>79</v>
      </c>
      <c r="E3459" s="5" t="s">
        <v>80</v>
      </c>
      <c r="F3459" s="5">
        <v>765431</v>
      </c>
      <c r="G3459" s="5" t="s">
        <v>10474</v>
      </c>
      <c r="H3459" s="5" t="s">
        <v>10475</v>
      </c>
      <c r="I3459" s="5" t="s">
        <v>212</v>
      </c>
      <c r="N3459" s="5" t="s">
        <v>10476</v>
      </c>
      <c r="O3459" s="5">
        <v>37.130000000000003</v>
      </c>
      <c r="P3459" s="5">
        <v>37.159999999999997</v>
      </c>
      <c r="Q3459" s="5">
        <v>37.06</v>
      </c>
      <c r="R3459" s="5">
        <v>37.08</v>
      </c>
      <c r="S3459" s="5">
        <v>37.08</v>
      </c>
      <c r="T3459" s="5">
        <v>37.270000000000003</v>
      </c>
      <c r="V3459" s="5">
        <v>37.08</v>
      </c>
      <c r="Y3459" s="5">
        <v>912</v>
      </c>
      <c r="Z3459" s="5">
        <v>33834.51</v>
      </c>
      <c r="AA3459" s="5">
        <v>18</v>
      </c>
      <c r="AB3459" s="5" t="s">
        <v>85</v>
      </c>
      <c r="AC3459" s="5">
        <v>1</v>
      </c>
    </row>
    <row r="3460" spans="1:29" x14ac:dyDescent="0.3">
      <c r="A3460" s="34">
        <v>46274</v>
      </c>
      <c r="B3460" s="34">
        <v>46274</v>
      </c>
      <c r="C3460" s="5" t="s">
        <v>78</v>
      </c>
      <c r="D3460" s="5" t="s">
        <v>79</v>
      </c>
      <c r="E3460" s="5" t="s">
        <v>80</v>
      </c>
      <c r="F3460" s="5">
        <v>22440</v>
      </c>
      <c r="G3460" s="5" t="s">
        <v>10477</v>
      </c>
      <c r="H3460" s="5" t="s">
        <v>10478</v>
      </c>
      <c r="I3460" s="5" t="s">
        <v>212</v>
      </c>
      <c r="N3460" s="5" t="s">
        <v>10479</v>
      </c>
      <c r="O3460" s="5">
        <v>60.35</v>
      </c>
      <c r="P3460" s="5">
        <v>60.35</v>
      </c>
      <c r="Q3460" s="5">
        <v>57.4</v>
      </c>
      <c r="R3460" s="5">
        <v>58.54</v>
      </c>
      <c r="S3460" s="5">
        <v>58.8</v>
      </c>
      <c r="T3460" s="5">
        <v>58.88</v>
      </c>
      <c r="V3460" s="5">
        <v>58.54</v>
      </c>
      <c r="Y3460" s="5">
        <v>182507</v>
      </c>
      <c r="Z3460" s="5">
        <v>10695965.359999999</v>
      </c>
      <c r="AA3460" s="5">
        <v>557</v>
      </c>
      <c r="AB3460" s="5" t="s">
        <v>85</v>
      </c>
      <c r="AC3460" s="5">
        <v>1</v>
      </c>
    </row>
    <row r="3461" spans="1:29" x14ac:dyDescent="0.3">
      <c r="A3461" s="34">
        <v>46274</v>
      </c>
      <c r="B3461" s="34">
        <v>46274</v>
      </c>
      <c r="C3461" s="5" t="s">
        <v>78</v>
      </c>
      <c r="D3461" s="5" t="s">
        <v>79</v>
      </c>
      <c r="E3461" s="5" t="s">
        <v>80</v>
      </c>
      <c r="F3461" s="5">
        <v>22524</v>
      </c>
      <c r="G3461" s="5" t="s">
        <v>10480</v>
      </c>
      <c r="H3461" s="5" t="s">
        <v>10481</v>
      </c>
      <c r="I3461" s="5" t="s">
        <v>212</v>
      </c>
      <c r="N3461" s="5" t="s">
        <v>10482</v>
      </c>
      <c r="O3461" s="5">
        <v>26.7</v>
      </c>
      <c r="P3461" s="5">
        <v>26.79</v>
      </c>
      <c r="Q3461" s="5">
        <v>26.37</v>
      </c>
      <c r="R3461" s="5">
        <v>26.79</v>
      </c>
      <c r="S3461" s="5">
        <v>26.79</v>
      </c>
      <c r="T3461" s="5">
        <v>26.7</v>
      </c>
      <c r="V3461" s="5">
        <v>26.79</v>
      </c>
      <c r="Y3461" s="5">
        <v>204</v>
      </c>
      <c r="Z3461" s="5">
        <v>5440.21</v>
      </c>
      <c r="AA3461" s="5">
        <v>14</v>
      </c>
      <c r="AB3461" s="5" t="s">
        <v>85</v>
      </c>
      <c r="AC3461" s="5">
        <v>1</v>
      </c>
    </row>
    <row r="3462" spans="1:29" x14ac:dyDescent="0.3">
      <c r="A3462" s="34">
        <v>46274</v>
      </c>
      <c r="B3462" s="34">
        <v>46274</v>
      </c>
      <c r="C3462" s="5" t="s">
        <v>78</v>
      </c>
      <c r="D3462" s="5" t="s">
        <v>79</v>
      </c>
      <c r="E3462" s="5" t="s">
        <v>80</v>
      </c>
      <c r="F3462" s="5">
        <v>22521</v>
      </c>
      <c r="G3462" s="5" t="s">
        <v>10483</v>
      </c>
      <c r="H3462" s="5" t="s">
        <v>10484</v>
      </c>
      <c r="I3462" s="5" t="s">
        <v>212</v>
      </c>
      <c r="N3462" s="5" t="s">
        <v>10485</v>
      </c>
      <c r="O3462" s="5">
        <v>67.13</v>
      </c>
      <c r="P3462" s="5">
        <v>67.23</v>
      </c>
      <c r="Q3462" s="5">
        <v>66.010000000000005</v>
      </c>
      <c r="R3462" s="5">
        <v>67.02</v>
      </c>
      <c r="S3462" s="5">
        <v>67.02</v>
      </c>
      <c r="T3462" s="5">
        <v>66.8</v>
      </c>
      <c r="V3462" s="5">
        <v>67.02</v>
      </c>
      <c r="Y3462" s="5">
        <v>1636</v>
      </c>
      <c r="Z3462" s="5">
        <v>109580.27</v>
      </c>
      <c r="AA3462" s="5">
        <v>23</v>
      </c>
      <c r="AB3462" s="5" t="s">
        <v>85</v>
      </c>
      <c r="AC3462" s="5">
        <v>1</v>
      </c>
    </row>
    <row r="3463" spans="1:29" x14ac:dyDescent="0.3">
      <c r="A3463" s="34">
        <v>46274</v>
      </c>
      <c r="B3463" s="34">
        <v>46274</v>
      </c>
      <c r="C3463" s="5" t="s">
        <v>78</v>
      </c>
      <c r="D3463" s="5" t="s">
        <v>79</v>
      </c>
      <c r="E3463" s="5" t="s">
        <v>80</v>
      </c>
      <c r="F3463" s="5">
        <v>22488</v>
      </c>
      <c r="G3463" s="5" t="s">
        <v>10486</v>
      </c>
      <c r="H3463" s="5" t="s">
        <v>10487</v>
      </c>
      <c r="I3463" s="5" t="s">
        <v>212</v>
      </c>
      <c r="N3463" s="5" t="s">
        <v>10488</v>
      </c>
      <c r="O3463" s="5">
        <v>310</v>
      </c>
      <c r="P3463" s="5">
        <v>310</v>
      </c>
      <c r="Q3463" s="5">
        <v>304.06</v>
      </c>
      <c r="R3463" s="5">
        <v>305.60000000000002</v>
      </c>
      <c r="S3463" s="5">
        <v>306.37</v>
      </c>
      <c r="T3463" s="5">
        <v>315</v>
      </c>
      <c r="V3463" s="5">
        <v>305.60000000000002</v>
      </c>
      <c r="Y3463" s="5">
        <v>2381</v>
      </c>
      <c r="Z3463" s="5">
        <v>727250.29</v>
      </c>
      <c r="AA3463" s="5">
        <v>63</v>
      </c>
      <c r="AB3463" s="5" t="s">
        <v>85</v>
      </c>
      <c r="AC3463" s="5">
        <v>1</v>
      </c>
    </row>
    <row r="3464" spans="1:29" x14ac:dyDescent="0.3">
      <c r="A3464" s="34">
        <v>46274</v>
      </c>
      <c r="B3464" s="34">
        <v>46274</v>
      </c>
      <c r="C3464" s="5" t="s">
        <v>78</v>
      </c>
      <c r="D3464" s="5" t="s">
        <v>79</v>
      </c>
      <c r="E3464" s="5" t="s">
        <v>80</v>
      </c>
      <c r="F3464" s="5">
        <v>18347</v>
      </c>
      <c r="G3464" s="5" t="s">
        <v>10489</v>
      </c>
      <c r="H3464" s="5" t="s">
        <v>10490</v>
      </c>
      <c r="I3464" s="5" t="s">
        <v>212</v>
      </c>
      <c r="N3464" s="5" t="s">
        <v>10491</v>
      </c>
      <c r="O3464" s="5">
        <v>233.26</v>
      </c>
      <c r="P3464" s="5">
        <v>236.8</v>
      </c>
      <c r="Q3464" s="5">
        <v>231.97</v>
      </c>
      <c r="R3464" s="5">
        <v>233.03</v>
      </c>
      <c r="S3464" s="5">
        <v>236.8</v>
      </c>
      <c r="T3464" s="5">
        <v>233.87</v>
      </c>
      <c r="V3464" s="5">
        <v>233.03</v>
      </c>
      <c r="Y3464" s="5">
        <v>774</v>
      </c>
      <c r="Z3464" s="5">
        <v>180207.29</v>
      </c>
      <c r="AA3464" s="5">
        <v>33</v>
      </c>
      <c r="AB3464" s="5" t="s">
        <v>85</v>
      </c>
      <c r="AC3464" s="5">
        <v>1</v>
      </c>
    </row>
    <row r="3465" spans="1:29" x14ac:dyDescent="0.3">
      <c r="A3465" s="34">
        <v>46274</v>
      </c>
      <c r="B3465" s="34">
        <v>46274</v>
      </c>
      <c r="C3465" s="5" t="s">
        <v>78</v>
      </c>
      <c r="D3465" s="5" t="s">
        <v>79</v>
      </c>
      <c r="E3465" s="5" t="s">
        <v>80</v>
      </c>
      <c r="F3465" s="5">
        <v>21478</v>
      </c>
      <c r="G3465" s="5" t="s">
        <v>10492</v>
      </c>
      <c r="H3465" s="5" t="s">
        <v>10493</v>
      </c>
      <c r="I3465" s="5" t="s">
        <v>212</v>
      </c>
      <c r="N3465" s="5" t="s">
        <v>10494</v>
      </c>
      <c r="O3465" s="5">
        <v>78.91</v>
      </c>
      <c r="P3465" s="5">
        <v>78.91</v>
      </c>
      <c r="Q3465" s="5">
        <v>78.510000000000005</v>
      </c>
      <c r="R3465" s="5">
        <v>78.75</v>
      </c>
      <c r="S3465" s="5">
        <v>78.52</v>
      </c>
      <c r="T3465" s="5">
        <v>78.52</v>
      </c>
      <c r="V3465" s="5">
        <v>78.75</v>
      </c>
      <c r="Y3465" s="5">
        <v>60519</v>
      </c>
      <c r="Z3465" s="5">
        <v>4765543.13</v>
      </c>
      <c r="AA3465" s="5">
        <v>541</v>
      </c>
      <c r="AB3465" s="5" t="s">
        <v>85</v>
      </c>
      <c r="AC3465" s="5">
        <v>1</v>
      </c>
    </row>
    <row r="3466" spans="1:29" x14ac:dyDescent="0.3">
      <c r="A3466" s="34">
        <v>46274</v>
      </c>
      <c r="B3466" s="34">
        <v>46274</v>
      </c>
      <c r="C3466" s="5" t="s">
        <v>78</v>
      </c>
      <c r="D3466" s="5" t="s">
        <v>79</v>
      </c>
      <c r="E3466" s="5" t="s">
        <v>80</v>
      </c>
      <c r="F3466" s="5">
        <v>10511</v>
      </c>
      <c r="G3466" s="5" t="s">
        <v>10495</v>
      </c>
      <c r="H3466" s="5" t="s">
        <v>10496</v>
      </c>
      <c r="I3466" s="5" t="s">
        <v>212</v>
      </c>
      <c r="N3466" s="5" t="s">
        <v>10497</v>
      </c>
      <c r="O3466" s="5">
        <v>262.88</v>
      </c>
      <c r="P3466" s="5">
        <v>262.88</v>
      </c>
      <c r="Q3466" s="5">
        <v>260.27999999999997</v>
      </c>
      <c r="R3466" s="5">
        <v>260.87</v>
      </c>
      <c r="S3466" s="5">
        <v>261.20999999999998</v>
      </c>
      <c r="T3466" s="5">
        <v>262.87</v>
      </c>
      <c r="V3466" s="5">
        <v>260.87</v>
      </c>
      <c r="Y3466" s="5">
        <v>65235</v>
      </c>
      <c r="Z3466" s="5">
        <v>17055654.449999999</v>
      </c>
      <c r="AA3466" s="5">
        <v>601</v>
      </c>
      <c r="AB3466" s="5" t="s">
        <v>85</v>
      </c>
      <c r="AC3466" s="5">
        <v>1</v>
      </c>
    </row>
    <row r="3467" spans="1:29" x14ac:dyDescent="0.3">
      <c r="A3467" s="34">
        <v>46274</v>
      </c>
      <c r="B3467" s="34">
        <v>46274</v>
      </c>
      <c r="C3467" s="5" t="s">
        <v>78</v>
      </c>
      <c r="D3467" s="5" t="s">
        <v>79</v>
      </c>
      <c r="E3467" s="5" t="s">
        <v>80</v>
      </c>
      <c r="F3467" s="5">
        <v>10515</v>
      </c>
      <c r="G3467" s="5" t="s">
        <v>10498</v>
      </c>
      <c r="H3467" s="5" t="s">
        <v>10499</v>
      </c>
      <c r="I3467" s="5" t="s">
        <v>212</v>
      </c>
      <c r="N3467" s="5" t="s">
        <v>10500</v>
      </c>
      <c r="O3467" s="5">
        <v>839.29</v>
      </c>
      <c r="P3467" s="5">
        <v>840</v>
      </c>
      <c r="Q3467" s="5">
        <v>831.9</v>
      </c>
      <c r="R3467" s="5">
        <v>834.77</v>
      </c>
      <c r="S3467" s="5">
        <v>837</v>
      </c>
      <c r="T3467" s="5">
        <v>841.3</v>
      </c>
      <c r="V3467" s="5">
        <v>834.73</v>
      </c>
      <c r="Y3467" s="5">
        <v>3870</v>
      </c>
      <c r="Z3467" s="5">
        <v>3228636.79</v>
      </c>
      <c r="AA3467" s="5">
        <v>181</v>
      </c>
      <c r="AB3467" s="5" t="s">
        <v>85</v>
      </c>
      <c r="AC3467" s="5">
        <v>1</v>
      </c>
    </row>
    <row r="3468" spans="1:29" x14ac:dyDescent="0.3">
      <c r="A3468" s="34">
        <v>46274</v>
      </c>
      <c r="B3468" s="34">
        <v>46274</v>
      </c>
      <c r="C3468" s="5" t="s">
        <v>78</v>
      </c>
      <c r="D3468" s="5" t="s">
        <v>79</v>
      </c>
      <c r="E3468" s="5" t="s">
        <v>80</v>
      </c>
      <c r="F3468" s="5">
        <v>15085</v>
      </c>
      <c r="G3468" s="5" t="s">
        <v>10501</v>
      </c>
      <c r="H3468" s="5" t="s">
        <v>10502</v>
      </c>
      <c r="I3468" s="5" t="s">
        <v>212</v>
      </c>
      <c r="N3468" s="5" t="s">
        <v>10503</v>
      </c>
      <c r="O3468" s="5">
        <v>221.5</v>
      </c>
      <c r="P3468" s="5">
        <v>225.83</v>
      </c>
      <c r="Q3468" s="5">
        <v>221.5</v>
      </c>
      <c r="R3468" s="5">
        <v>224.56</v>
      </c>
      <c r="S3468" s="5">
        <v>224.15</v>
      </c>
      <c r="T3468" s="5">
        <v>223.41</v>
      </c>
      <c r="V3468" s="5">
        <v>224.56</v>
      </c>
      <c r="Y3468" s="5">
        <v>301611</v>
      </c>
      <c r="Z3468" s="5">
        <v>67826104.870000005</v>
      </c>
      <c r="AA3468" s="5">
        <v>1985</v>
      </c>
      <c r="AB3468" s="5" t="s">
        <v>85</v>
      </c>
      <c r="AC3468" s="5">
        <v>1</v>
      </c>
    </row>
    <row r="3469" spans="1:29" x14ac:dyDescent="0.3">
      <c r="A3469" s="34">
        <v>46274</v>
      </c>
      <c r="B3469" s="34">
        <v>46274</v>
      </c>
      <c r="C3469" s="5" t="s">
        <v>78</v>
      </c>
      <c r="D3469" s="5" t="s">
        <v>79</v>
      </c>
      <c r="E3469" s="5" t="s">
        <v>80</v>
      </c>
      <c r="F3469" s="5">
        <v>9168</v>
      </c>
      <c r="G3469" s="5" t="s">
        <v>10504</v>
      </c>
      <c r="H3469" s="5" t="s">
        <v>10505</v>
      </c>
      <c r="I3469" s="5" t="s">
        <v>212</v>
      </c>
      <c r="N3469" s="5" t="s">
        <v>10506</v>
      </c>
      <c r="O3469" s="5">
        <v>94.83</v>
      </c>
      <c r="P3469" s="5">
        <v>95.1</v>
      </c>
      <c r="Q3469" s="5">
        <v>93.1</v>
      </c>
      <c r="R3469" s="5">
        <v>94.62</v>
      </c>
      <c r="S3469" s="5">
        <v>95.09</v>
      </c>
      <c r="T3469" s="5">
        <v>94.36</v>
      </c>
      <c r="V3469" s="5">
        <v>94.73</v>
      </c>
      <c r="Y3469" s="5">
        <v>1586</v>
      </c>
      <c r="Z3469" s="5">
        <v>149977.29</v>
      </c>
      <c r="AA3469" s="5">
        <v>73</v>
      </c>
      <c r="AB3469" s="5" t="s">
        <v>85</v>
      </c>
      <c r="AC3469" s="5">
        <v>1</v>
      </c>
    </row>
    <row r="3470" spans="1:29" x14ac:dyDescent="0.3">
      <c r="A3470" s="34">
        <v>46274</v>
      </c>
      <c r="B3470" s="34">
        <v>46274</v>
      </c>
      <c r="C3470" s="5" t="s">
        <v>78</v>
      </c>
      <c r="D3470" s="5" t="s">
        <v>79</v>
      </c>
      <c r="E3470" s="5" t="s">
        <v>80</v>
      </c>
      <c r="F3470" s="5">
        <v>14535</v>
      </c>
      <c r="G3470" s="5" t="s">
        <v>10507</v>
      </c>
      <c r="H3470" s="5" t="s">
        <v>10508</v>
      </c>
      <c r="I3470" s="5" t="s">
        <v>212</v>
      </c>
      <c r="N3470" s="5" t="s">
        <v>10509</v>
      </c>
      <c r="O3470" s="5">
        <v>128.15</v>
      </c>
      <c r="P3470" s="5">
        <v>128.6</v>
      </c>
      <c r="Q3470" s="5">
        <v>127.05</v>
      </c>
      <c r="R3470" s="5">
        <v>128.25</v>
      </c>
      <c r="S3470" s="5">
        <v>128.15</v>
      </c>
      <c r="T3470" s="5">
        <v>128.15</v>
      </c>
      <c r="V3470" s="5">
        <v>128.25</v>
      </c>
      <c r="Y3470" s="5">
        <v>523716</v>
      </c>
      <c r="Z3470" s="5">
        <v>67125482.049999997</v>
      </c>
      <c r="AA3470" s="5">
        <v>1921</v>
      </c>
      <c r="AB3470" s="5" t="s">
        <v>85</v>
      </c>
      <c r="AC3470" s="5">
        <v>1</v>
      </c>
    </row>
    <row r="3471" spans="1:29" x14ac:dyDescent="0.3">
      <c r="A3471" s="34">
        <v>46274</v>
      </c>
      <c r="B3471" s="34">
        <v>46274</v>
      </c>
      <c r="C3471" s="5" t="s">
        <v>78</v>
      </c>
      <c r="D3471" s="5" t="s">
        <v>79</v>
      </c>
      <c r="E3471" s="5" t="s">
        <v>80</v>
      </c>
      <c r="F3471" s="5">
        <v>751580</v>
      </c>
      <c r="G3471" s="5" t="s">
        <v>10510</v>
      </c>
      <c r="H3471" s="5" t="s">
        <v>10511</v>
      </c>
      <c r="I3471" s="5" t="s">
        <v>313</v>
      </c>
      <c r="N3471" s="5" t="s">
        <v>10512</v>
      </c>
      <c r="O3471" s="5">
        <v>44.25</v>
      </c>
      <c r="P3471" s="5">
        <v>44.25</v>
      </c>
      <c r="Q3471" s="5">
        <v>44.25</v>
      </c>
      <c r="R3471" s="5">
        <v>44.25</v>
      </c>
      <c r="S3471" s="5">
        <v>44.25</v>
      </c>
      <c r="T3471" s="5">
        <v>46.55</v>
      </c>
      <c r="V3471" s="5">
        <v>44.25</v>
      </c>
      <c r="Y3471" s="5">
        <v>8000</v>
      </c>
      <c r="Z3471" s="5">
        <v>354000</v>
      </c>
      <c r="AA3471" s="5">
        <v>4</v>
      </c>
      <c r="AB3471" s="5" t="s">
        <v>85</v>
      </c>
      <c r="AC3471" s="5">
        <v>2000</v>
      </c>
    </row>
    <row r="3472" spans="1:29" x14ac:dyDescent="0.3">
      <c r="A3472" s="34">
        <v>46274</v>
      </c>
      <c r="B3472" s="34">
        <v>46274</v>
      </c>
      <c r="C3472" s="5" t="s">
        <v>78</v>
      </c>
      <c r="D3472" s="5" t="s">
        <v>79</v>
      </c>
      <c r="E3472" s="5" t="s">
        <v>80</v>
      </c>
      <c r="F3472" s="5">
        <v>17358</v>
      </c>
      <c r="G3472" s="5" t="s">
        <v>10513</v>
      </c>
      <c r="H3472" s="5" t="s">
        <v>10514</v>
      </c>
      <c r="I3472" s="5" t="s">
        <v>212</v>
      </c>
      <c r="N3472" s="5" t="s">
        <v>10515</v>
      </c>
      <c r="O3472" s="5">
        <v>15.41</v>
      </c>
      <c r="P3472" s="5">
        <v>16.48</v>
      </c>
      <c r="Q3472" s="5">
        <v>15.21</v>
      </c>
      <c r="R3472" s="5">
        <v>15.9</v>
      </c>
      <c r="S3472" s="5">
        <v>16</v>
      </c>
      <c r="T3472" s="5">
        <v>15.69</v>
      </c>
      <c r="V3472" s="5">
        <v>15.9</v>
      </c>
      <c r="Y3472" s="5">
        <v>50487332</v>
      </c>
      <c r="Z3472" s="5">
        <v>799450453.97000003</v>
      </c>
      <c r="AA3472" s="5">
        <v>91311</v>
      </c>
      <c r="AB3472" s="5" t="s">
        <v>85</v>
      </c>
      <c r="AC3472" s="5">
        <v>1</v>
      </c>
    </row>
    <row r="3473" spans="1:29" x14ac:dyDescent="0.3">
      <c r="A3473" s="34">
        <v>46274</v>
      </c>
      <c r="B3473" s="34">
        <v>46274</v>
      </c>
      <c r="C3473" s="5" t="s">
        <v>78</v>
      </c>
      <c r="D3473" s="5" t="s">
        <v>79</v>
      </c>
      <c r="E3473" s="5" t="s">
        <v>80</v>
      </c>
      <c r="F3473" s="5">
        <v>24726</v>
      </c>
      <c r="G3473" s="5" t="s">
        <v>10516</v>
      </c>
      <c r="H3473" s="5" t="s">
        <v>10517</v>
      </c>
      <c r="I3473" s="5" t="s">
        <v>313</v>
      </c>
      <c r="N3473" s="5" t="s">
        <v>10518</v>
      </c>
      <c r="O3473" s="5">
        <v>470</v>
      </c>
      <c r="P3473" s="5">
        <v>493</v>
      </c>
      <c r="Q3473" s="5">
        <v>470</v>
      </c>
      <c r="R3473" s="5">
        <v>487.35</v>
      </c>
      <c r="S3473" s="5">
        <v>487.55</v>
      </c>
      <c r="T3473" s="5">
        <v>470</v>
      </c>
      <c r="V3473" s="5">
        <v>487.35</v>
      </c>
      <c r="Y3473" s="5">
        <v>19200</v>
      </c>
      <c r="Z3473" s="5">
        <v>9277590</v>
      </c>
      <c r="AA3473" s="5">
        <v>30</v>
      </c>
      <c r="AB3473" s="5" t="s">
        <v>85</v>
      </c>
      <c r="AC3473" s="5">
        <v>600</v>
      </c>
    </row>
    <row r="3474" spans="1:29" x14ac:dyDescent="0.3">
      <c r="A3474" s="34">
        <v>46274</v>
      </c>
      <c r="B3474" s="34">
        <v>46274</v>
      </c>
      <c r="C3474" s="5" t="s">
        <v>78</v>
      </c>
      <c r="D3474" s="5" t="s">
        <v>79</v>
      </c>
      <c r="E3474" s="5" t="s">
        <v>80</v>
      </c>
      <c r="F3474" s="5">
        <v>13376</v>
      </c>
      <c r="G3474" s="5" t="s">
        <v>10519</v>
      </c>
      <c r="H3474" s="5" t="s">
        <v>10520</v>
      </c>
      <c r="I3474" s="5" t="s">
        <v>212</v>
      </c>
      <c r="N3474" s="5" t="s">
        <v>10521</v>
      </c>
      <c r="O3474" s="5">
        <v>287.39999999999998</v>
      </c>
      <c r="P3474" s="5">
        <v>290</v>
      </c>
      <c r="Q3474" s="5">
        <v>279.60000000000002</v>
      </c>
      <c r="R3474" s="5">
        <v>283.75</v>
      </c>
      <c r="S3474" s="5">
        <v>284.5</v>
      </c>
      <c r="T3474" s="5">
        <v>287.55</v>
      </c>
      <c r="V3474" s="5">
        <v>283.67</v>
      </c>
      <c r="Y3474" s="5">
        <v>213906</v>
      </c>
      <c r="Z3474" s="5">
        <v>60560614.149999999</v>
      </c>
      <c r="AA3474" s="5">
        <v>4680</v>
      </c>
      <c r="AB3474" s="5" t="s">
        <v>85</v>
      </c>
      <c r="AC3474" s="5">
        <v>1</v>
      </c>
    </row>
    <row r="3475" spans="1:29" x14ac:dyDescent="0.3">
      <c r="A3475" s="34">
        <v>46274</v>
      </c>
      <c r="B3475" s="34">
        <v>46274</v>
      </c>
      <c r="C3475" s="5" t="s">
        <v>78</v>
      </c>
      <c r="D3475" s="5" t="s">
        <v>79</v>
      </c>
      <c r="E3475" s="5" t="s">
        <v>80</v>
      </c>
      <c r="F3475" s="5">
        <v>3188</v>
      </c>
      <c r="G3475" s="5" t="s">
        <v>10522</v>
      </c>
      <c r="H3475" s="5" t="s">
        <v>10523</v>
      </c>
      <c r="I3475" s="5" t="s">
        <v>313</v>
      </c>
      <c r="N3475" s="5" t="s">
        <v>10524</v>
      </c>
      <c r="O3475" s="5">
        <v>329.4</v>
      </c>
      <c r="P3475" s="5">
        <v>333.65</v>
      </c>
      <c r="Q3475" s="5">
        <v>313.3</v>
      </c>
      <c r="R3475" s="5">
        <v>329.2</v>
      </c>
      <c r="S3475" s="5">
        <v>329.1</v>
      </c>
      <c r="T3475" s="5">
        <v>321.8</v>
      </c>
      <c r="V3475" s="5">
        <v>329.2</v>
      </c>
      <c r="Y3475" s="5">
        <v>327000</v>
      </c>
      <c r="Z3475" s="5">
        <v>106683750</v>
      </c>
      <c r="AA3475" s="5">
        <v>209</v>
      </c>
      <c r="AB3475" s="5" t="s">
        <v>85</v>
      </c>
      <c r="AC3475" s="5">
        <v>1500</v>
      </c>
    </row>
    <row r="3476" spans="1:29" x14ac:dyDescent="0.3">
      <c r="A3476" s="34">
        <v>46274</v>
      </c>
      <c r="B3476" s="34">
        <v>46274</v>
      </c>
      <c r="C3476" s="5" t="s">
        <v>78</v>
      </c>
      <c r="D3476" s="5" t="s">
        <v>79</v>
      </c>
      <c r="E3476" s="5" t="s">
        <v>80</v>
      </c>
      <c r="F3476" s="5">
        <v>23018</v>
      </c>
      <c r="G3476" s="5" t="s">
        <v>10525</v>
      </c>
      <c r="H3476" s="5" t="s">
        <v>10526</v>
      </c>
      <c r="I3476" s="5" t="s">
        <v>313</v>
      </c>
      <c r="N3476" s="5" t="s">
        <v>10527</v>
      </c>
      <c r="O3476" s="5">
        <v>107</v>
      </c>
      <c r="P3476" s="5">
        <v>107</v>
      </c>
      <c r="Q3476" s="5">
        <v>106.85</v>
      </c>
      <c r="R3476" s="5">
        <v>106.85</v>
      </c>
      <c r="S3476" s="5">
        <v>106.85</v>
      </c>
      <c r="T3476" s="5">
        <v>112.45</v>
      </c>
      <c r="V3476" s="5">
        <v>106.85</v>
      </c>
      <c r="Y3476" s="5">
        <v>1600</v>
      </c>
      <c r="Z3476" s="5">
        <v>171040</v>
      </c>
      <c r="AA3476" s="5">
        <v>4</v>
      </c>
      <c r="AB3476" s="5" t="s">
        <v>85</v>
      </c>
      <c r="AC3476" s="5">
        <v>400</v>
      </c>
    </row>
    <row r="3477" spans="1:29" x14ac:dyDescent="0.3">
      <c r="A3477" s="34">
        <v>46274</v>
      </c>
      <c r="B3477" s="34">
        <v>46274</v>
      </c>
      <c r="C3477" s="5" t="s">
        <v>78</v>
      </c>
      <c r="D3477" s="5" t="s">
        <v>79</v>
      </c>
      <c r="E3477" s="5" t="s">
        <v>80</v>
      </c>
      <c r="F3477" s="5">
        <v>765220</v>
      </c>
      <c r="G3477" s="5" t="s">
        <v>10528</v>
      </c>
      <c r="H3477" s="5" t="s">
        <v>10529</v>
      </c>
      <c r="I3477" s="5" t="s">
        <v>212</v>
      </c>
      <c r="N3477" s="5" t="s">
        <v>10530</v>
      </c>
      <c r="O3477" s="5">
        <v>55.26</v>
      </c>
      <c r="P3477" s="5">
        <v>57.98</v>
      </c>
      <c r="Q3477" s="5">
        <v>54</v>
      </c>
      <c r="R3477" s="5">
        <v>55.8</v>
      </c>
      <c r="S3477" s="5">
        <v>56.1</v>
      </c>
      <c r="T3477" s="5">
        <v>56.58</v>
      </c>
      <c r="V3477" s="5">
        <v>55.83</v>
      </c>
      <c r="Y3477" s="5">
        <v>6773</v>
      </c>
      <c r="Z3477" s="5">
        <v>381051.98</v>
      </c>
      <c r="AA3477" s="5">
        <v>194</v>
      </c>
      <c r="AB3477" s="5" t="s">
        <v>85</v>
      </c>
      <c r="AC3477" s="5">
        <v>1</v>
      </c>
    </row>
    <row r="3478" spans="1:29" x14ac:dyDescent="0.3">
      <c r="A3478" s="34">
        <v>46274</v>
      </c>
      <c r="B3478" s="34">
        <v>46274</v>
      </c>
      <c r="C3478" s="5" t="s">
        <v>78</v>
      </c>
      <c r="D3478" s="5" t="s">
        <v>79</v>
      </c>
      <c r="E3478" s="5" t="s">
        <v>80</v>
      </c>
      <c r="F3478" s="5">
        <v>15362</v>
      </c>
      <c r="G3478" s="5" t="s">
        <v>10531</v>
      </c>
      <c r="H3478" s="5" t="s">
        <v>10532</v>
      </c>
      <c r="I3478" s="5" t="s">
        <v>212</v>
      </c>
      <c r="N3478" s="5" t="s">
        <v>10533</v>
      </c>
      <c r="O3478" s="5">
        <v>330.05</v>
      </c>
      <c r="P3478" s="5">
        <v>335.15</v>
      </c>
      <c r="Q3478" s="5">
        <v>326.14999999999998</v>
      </c>
      <c r="R3478" s="5">
        <v>326.95</v>
      </c>
      <c r="S3478" s="5">
        <v>327.5</v>
      </c>
      <c r="T3478" s="5">
        <v>330.05</v>
      </c>
      <c r="V3478" s="5">
        <v>327.02999999999997</v>
      </c>
      <c r="Y3478" s="5">
        <v>454074</v>
      </c>
      <c r="Z3478" s="5">
        <v>149525572.84999999</v>
      </c>
      <c r="AA3478" s="5">
        <v>12248</v>
      </c>
      <c r="AB3478" s="5" t="s">
        <v>85</v>
      </c>
      <c r="AC3478" s="5">
        <v>1</v>
      </c>
    </row>
    <row r="3479" spans="1:29" x14ac:dyDescent="0.3">
      <c r="A3479" s="34">
        <v>46274</v>
      </c>
      <c r="B3479" s="34">
        <v>46274</v>
      </c>
      <c r="C3479" s="5" t="s">
        <v>78</v>
      </c>
      <c r="D3479" s="5" t="s">
        <v>79</v>
      </c>
      <c r="E3479" s="5" t="s">
        <v>80</v>
      </c>
      <c r="F3479" s="5">
        <v>24606</v>
      </c>
      <c r="G3479" s="5" t="s">
        <v>10534</v>
      </c>
      <c r="H3479" s="5" t="s">
        <v>10535</v>
      </c>
      <c r="I3479" s="5" t="s">
        <v>313</v>
      </c>
      <c r="N3479" s="5" t="s">
        <v>10536</v>
      </c>
      <c r="O3479" s="5">
        <v>26.75</v>
      </c>
      <c r="P3479" s="5">
        <v>26.9</v>
      </c>
      <c r="Q3479" s="5">
        <v>26.55</v>
      </c>
      <c r="R3479" s="5">
        <v>26.55</v>
      </c>
      <c r="S3479" s="5">
        <v>26.55</v>
      </c>
      <c r="T3479" s="5">
        <v>27.1</v>
      </c>
      <c r="V3479" s="5">
        <v>26.55</v>
      </c>
      <c r="Y3479" s="5">
        <v>6000</v>
      </c>
      <c r="Z3479" s="5">
        <v>160575</v>
      </c>
      <c r="AA3479" s="5">
        <v>4</v>
      </c>
      <c r="AB3479" s="5" t="s">
        <v>85</v>
      </c>
      <c r="AC3479" s="5">
        <v>1500</v>
      </c>
    </row>
    <row r="3480" spans="1:29" x14ac:dyDescent="0.3">
      <c r="A3480" s="34">
        <v>46274</v>
      </c>
      <c r="B3480" s="34">
        <v>46274</v>
      </c>
      <c r="C3480" s="5" t="s">
        <v>78</v>
      </c>
      <c r="D3480" s="5" t="s">
        <v>79</v>
      </c>
      <c r="E3480" s="5" t="s">
        <v>80</v>
      </c>
      <c r="F3480" s="5">
        <v>14766</v>
      </c>
      <c r="G3480" s="5" t="s">
        <v>10537</v>
      </c>
      <c r="H3480" s="5" t="s">
        <v>10538</v>
      </c>
      <c r="I3480" s="5" t="s">
        <v>212</v>
      </c>
      <c r="N3480" s="5" t="s">
        <v>10539</v>
      </c>
      <c r="O3480" s="5">
        <v>219.08</v>
      </c>
      <c r="P3480" s="5">
        <v>220.77</v>
      </c>
      <c r="Q3480" s="5">
        <v>216.18</v>
      </c>
      <c r="R3480" s="5">
        <v>219.67</v>
      </c>
      <c r="S3480" s="5">
        <v>219</v>
      </c>
      <c r="T3480" s="5">
        <v>220.17</v>
      </c>
      <c r="V3480" s="5">
        <v>219.67</v>
      </c>
      <c r="Y3480" s="5">
        <v>1035755</v>
      </c>
      <c r="Z3480" s="5">
        <v>226903671.09</v>
      </c>
      <c r="AA3480" s="5">
        <v>17533</v>
      </c>
      <c r="AB3480" s="5" t="s">
        <v>85</v>
      </c>
      <c r="AC3480" s="5">
        <v>1</v>
      </c>
    </row>
    <row r="3481" spans="1:29" x14ac:dyDescent="0.3">
      <c r="A3481" s="34">
        <v>46274</v>
      </c>
      <c r="B3481" s="34">
        <v>46274</v>
      </c>
      <c r="C3481" s="5" t="s">
        <v>78</v>
      </c>
      <c r="D3481" s="5" t="s">
        <v>79</v>
      </c>
      <c r="E3481" s="5" t="s">
        <v>80</v>
      </c>
      <c r="F3481" s="5">
        <v>20188</v>
      </c>
      <c r="G3481" s="5" t="s">
        <v>10540</v>
      </c>
      <c r="H3481" s="5" t="s">
        <v>10541</v>
      </c>
      <c r="I3481" s="5" t="s">
        <v>212</v>
      </c>
      <c r="N3481" s="5" t="s">
        <v>10542</v>
      </c>
      <c r="O3481" s="5">
        <v>2011.3</v>
      </c>
      <c r="P3481" s="5">
        <v>2188</v>
      </c>
      <c r="Q3481" s="5">
        <v>2011.3</v>
      </c>
      <c r="R3481" s="5">
        <v>2130.9</v>
      </c>
      <c r="S3481" s="5">
        <v>2125</v>
      </c>
      <c r="T3481" s="5">
        <v>2008.4</v>
      </c>
      <c r="V3481" s="5">
        <v>2130.92</v>
      </c>
      <c r="Y3481" s="5">
        <v>2441516</v>
      </c>
      <c r="Z3481" s="5">
        <v>5236000381</v>
      </c>
      <c r="AA3481" s="5">
        <v>126294</v>
      </c>
      <c r="AB3481" s="5" t="s">
        <v>85</v>
      </c>
      <c r="AC3481" s="5">
        <v>1</v>
      </c>
    </row>
    <row r="3482" spans="1:29" x14ac:dyDescent="0.3">
      <c r="A3482" s="34">
        <v>46274</v>
      </c>
      <c r="B3482" s="34">
        <v>46274</v>
      </c>
      <c r="C3482" s="5" t="s">
        <v>78</v>
      </c>
      <c r="D3482" s="5" t="s">
        <v>79</v>
      </c>
      <c r="E3482" s="5" t="s">
        <v>80</v>
      </c>
      <c r="F3482" s="5">
        <v>764975</v>
      </c>
      <c r="G3482" s="5" t="s">
        <v>10543</v>
      </c>
      <c r="H3482" s="5" t="s">
        <v>10544</v>
      </c>
      <c r="I3482" s="5" t="s">
        <v>212</v>
      </c>
      <c r="N3482" s="5" t="s">
        <v>10545</v>
      </c>
      <c r="O3482" s="5">
        <v>10590</v>
      </c>
      <c r="P3482" s="5">
        <v>10590</v>
      </c>
      <c r="Q3482" s="5">
        <v>10400</v>
      </c>
      <c r="R3482" s="5">
        <v>10401</v>
      </c>
      <c r="S3482" s="5">
        <v>10400</v>
      </c>
      <c r="T3482" s="5">
        <v>10364</v>
      </c>
      <c r="V3482" s="5">
        <v>10439.33</v>
      </c>
      <c r="Y3482" s="5">
        <v>51</v>
      </c>
      <c r="Z3482" s="5">
        <v>534939</v>
      </c>
      <c r="AA3482" s="5">
        <v>27</v>
      </c>
      <c r="AB3482" s="5" t="s">
        <v>85</v>
      </c>
      <c r="AC3482" s="5">
        <v>1</v>
      </c>
    </row>
    <row r="3483" spans="1:29" x14ac:dyDescent="0.3">
      <c r="A3483" s="34">
        <v>46274</v>
      </c>
      <c r="B3483" s="34">
        <v>46274</v>
      </c>
      <c r="C3483" s="5" t="s">
        <v>78</v>
      </c>
      <c r="D3483" s="5" t="s">
        <v>79</v>
      </c>
      <c r="E3483" s="5" t="s">
        <v>80</v>
      </c>
      <c r="F3483" s="5">
        <v>24196</v>
      </c>
      <c r="G3483" s="5" t="s">
        <v>10546</v>
      </c>
      <c r="H3483" s="5" t="s">
        <v>33</v>
      </c>
      <c r="I3483" s="5" t="s">
        <v>212</v>
      </c>
      <c r="N3483" s="5" t="s">
        <v>10547</v>
      </c>
      <c r="O3483" s="5">
        <v>7499</v>
      </c>
      <c r="P3483" s="5">
        <v>7594.5</v>
      </c>
      <c r="Q3483" s="5">
        <v>7422.5</v>
      </c>
      <c r="R3483" s="5">
        <v>7462</v>
      </c>
      <c r="S3483" s="5">
        <v>7426.5</v>
      </c>
      <c r="T3483" s="5">
        <v>7534.5</v>
      </c>
      <c r="V3483" s="5">
        <v>7455.8</v>
      </c>
      <c r="Y3483" s="5">
        <v>8592</v>
      </c>
      <c r="Z3483" s="5">
        <v>64604111</v>
      </c>
      <c r="AA3483" s="5">
        <v>2938</v>
      </c>
      <c r="AB3483" s="5" t="s">
        <v>85</v>
      </c>
      <c r="AC3483" s="5">
        <v>1</v>
      </c>
    </row>
    <row r="3484" spans="1:29" x14ac:dyDescent="0.3">
      <c r="A3484" s="34">
        <v>46274</v>
      </c>
      <c r="B3484" s="34">
        <v>46274</v>
      </c>
      <c r="C3484" s="5" t="s">
        <v>78</v>
      </c>
      <c r="D3484" s="5" t="s">
        <v>79</v>
      </c>
      <c r="E3484" s="5" t="s">
        <v>80</v>
      </c>
      <c r="F3484" s="5">
        <v>11364</v>
      </c>
      <c r="G3484" s="5" t="s">
        <v>10548</v>
      </c>
      <c r="H3484" s="5" t="s">
        <v>10549</v>
      </c>
      <c r="I3484" s="5" t="s">
        <v>212</v>
      </c>
      <c r="N3484" s="5" t="s">
        <v>10550</v>
      </c>
      <c r="O3484" s="5">
        <v>215.98</v>
      </c>
      <c r="P3484" s="5">
        <v>218.12</v>
      </c>
      <c r="Q3484" s="5">
        <v>213.1</v>
      </c>
      <c r="R3484" s="5">
        <v>214.25</v>
      </c>
      <c r="S3484" s="5">
        <v>214.7</v>
      </c>
      <c r="T3484" s="5">
        <v>215.98</v>
      </c>
      <c r="V3484" s="5">
        <v>214.26</v>
      </c>
      <c r="Y3484" s="5">
        <v>178200</v>
      </c>
      <c r="Z3484" s="5">
        <v>38436523.990000002</v>
      </c>
      <c r="AA3484" s="5">
        <v>6021</v>
      </c>
      <c r="AB3484" s="5" t="s">
        <v>85</v>
      </c>
      <c r="AC3484" s="5">
        <v>1</v>
      </c>
    </row>
    <row r="3485" spans="1:29" x14ac:dyDescent="0.3">
      <c r="A3485" s="34">
        <v>46274</v>
      </c>
      <c r="B3485" s="34">
        <v>46274</v>
      </c>
      <c r="C3485" s="5" t="s">
        <v>78</v>
      </c>
      <c r="D3485" s="5" t="s">
        <v>79</v>
      </c>
      <c r="E3485" s="5" t="s">
        <v>80</v>
      </c>
      <c r="F3485" s="5">
        <v>8262</v>
      </c>
      <c r="G3485" s="5" t="s">
        <v>10551</v>
      </c>
      <c r="H3485" s="5" t="s">
        <v>10552</v>
      </c>
      <c r="I3485" s="5" t="s">
        <v>392</v>
      </c>
      <c r="N3485" s="5" t="s">
        <v>10553</v>
      </c>
      <c r="O3485" s="5">
        <v>148.5</v>
      </c>
      <c r="P3485" s="5">
        <v>157</v>
      </c>
      <c r="Q3485" s="5">
        <v>148.5</v>
      </c>
      <c r="R3485" s="5">
        <v>154</v>
      </c>
      <c r="S3485" s="5">
        <v>154</v>
      </c>
      <c r="T3485" s="5">
        <v>150</v>
      </c>
      <c r="V3485" s="5">
        <v>154</v>
      </c>
      <c r="Y3485" s="5">
        <v>13200</v>
      </c>
      <c r="Z3485" s="5">
        <v>2021080</v>
      </c>
      <c r="AA3485" s="5">
        <v>22</v>
      </c>
      <c r="AB3485" s="5" t="s">
        <v>85</v>
      </c>
      <c r="AC3485" s="5">
        <v>400</v>
      </c>
    </row>
    <row r="3486" spans="1:29" x14ac:dyDescent="0.3">
      <c r="A3486" s="34">
        <v>46274</v>
      </c>
      <c r="B3486" s="34">
        <v>46274</v>
      </c>
      <c r="C3486" s="5" t="s">
        <v>78</v>
      </c>
      <c r="D3486" s="5" t="s">
        <v>79</v>
      </c>
      <c r="E3486" s="5" t="s">
        <v>80</v>
      </c>
      <c r="F3486" s="5">
        <v>16589</v>
      </c>
      <c r="G3486" s="5" t="s">
        <v>10554</v>
      </c>
      <c r="H3486" s="5" t="s">
        <v>10555</v>
      </c>
      <c r="I3486" s="5" t="s">
        <v>212</v>
      </c>
      <c r="N3486" s="5" t="s">
        <v>10556</v>
      </c>
      <c r="O3486" s="5">
        <v>8.4700000000000006</v>
      </c>
      <c r="P3486" s="5">
        <v>8.4700000000000006</v>
      </c>
      <c r="Q3486" s="5">
        <v>8.0500000000000007</v>
      </c>
      <c r="R3486" s="5">
        <v>8.14</v>
      </c>
      <c r="S3486" s="5">
        <v>8.1</v>
      </c>
      <c r="T3486" s="5">
        <v>8.34</v>
      </c>
      <c r="V3486" s="5">
        <v>8.14</v>
      </c>
      <c r="Y3486" s="5">
        <v>166181</v>
      </c>
      <c r="Z3486" s="5">
        <v>1355804.76</v>
      </c>
      <c r="AA3486" s="5">
        <v>254</v>
      </c>
      <c r="AB3486" s="5" t="s">
        <v>85</v>
      </c>
      <c r="AC3486" s="5">
        <v>1</v>
      </c>
    </row>
    <row r="3487" spans="1:29" x14ac:dyDescent="0.3">
      <c r="A3487" s="34">
        <v>46274</v>
      </c>
      <c r="B3487" s="34">
        <v>46274</v>
      </c>
      <c r="C3487" s="5" t="s">
        <v>78</v>
      </c>
      <c r="D3487" s="5" t="s">
        <v>79</v>
      </c>
      <c r="E3487" s="5" t="s">
        <v>80</v>
      </c>
      <c r="F3487" s="5">
        <v>13342</v>
      </c>
      <c r="G3487" s="5" t="s">
        <v>10557</v>
      </c>
      <c r="H3487" s="5" t="s">
        <v>10558</v>
      </c>
      <c r="I3487" s="5" t="s">
        <v>212</v>
      </c>
      <c r="N3487" s="5" t="s">
        <v>10559</v>
      </c>
      <c r="O3487" s="5">
        <v>5.62</v>
      </c>
      <c r="P3487" s="5">
        <v>5.66</v>
      </c>
      <c r="Q3487" s="5">
        <v>5.5</v>
      </c>
      <c r="R3487" s="5">
        <v>5.52</v>
      </c>
      <c r="S3487" s="5">
        <v>5.5</v>
      </c>
      <c r="T3487" s="5">
        <v>5.62</v>
      </c>
      <c r="V3487" s="5">
        <v>5.52</v>
      </c>
      <c r="Y3487" s="5">
        <v>1423887</v>
      </c>
      <c r="Z3487" s="5">
        <v>7904229.1399999997</v>
      </c>
      <c r="AA3487" s="5">
        <v>1961</v>
      </c>
      <c r="AB3487" s="5" t="s">
        <v>85</v>
      </c>
      <c r="AC3487" s="5">
        <v>1</v>
      </c>
    </row>
    <row r="3488" spans="1:29" x14ac:dyDescent="0.3">
      <c r="A3488" s="34">
        <v>46274</v>
      </c>
      <c r="B3488" s="34">
        <v>46274</v>
      </c>
      <c r="C3488" s="5" t="s">
        <v>78</v>
      </c>
      <c r="D3488" s="5" t="s">
        <v>79</v>
      </c>
      <c r="E3488" s="5" t="s">
        <v>80</v>
      </c>
      <c r="F3488" s="5">
        <v>19220</v>
      </c>
      <c r="G3488" s="5" t="s">
        <v>10560</v>
      </c>
      <c r="H3488" s="5" t="s">
        <v>10561</v>
      </c>
      <c r="I3488" s="5" t="s">
        <v>234</v>
      </c>
      <c r="N3488" s="5" t="s">
        <v>10562</v>
      </c>
      <c r="O3488" s="5">
        <v>116.6</v>
      </c>
      <c r="P3488" s="5">
        <v>119.83</v>
      </c>
      <c r="Q3488" s="5">
        <v>115.27</v>
      </c>
      <c r="R3488" s="5">
        <v>119.83</v>
      </c>
      <c r="S3488" s="5">
        <v>119.83</v>
      </c>
      <c r="T3488" s="5">
        <v>114.13</v>
      </c>
      <c r="V3488" s="5">
        <v>119.83</v>
      </c>
      <c r="Y3488" s="5">
        <v>118328</v>
      </c>
      <c r="Z3488" s="5">
        <v>14103106.390000001</v>
      </c>
      <c r="AA3488" s="5">
        <v>532</v>
      </c>
      <c r="AB3488" s="5" t="s">
        <v>85</v>
      </c>
      <c r="AC3488" s="5">
        <v>1</v>
      </c>
    </row>
    <row r="3489" spans="1:29" x14ac:dyDescent="0.3">
      <c r="A3489" s="34">
        <v>46274</v>
      </c>
      <c r="B3489" s="34">
        <v>46274</v>
      </c>
      <c r="C3489" s="5" t="s">
        <v>78</v>
      </c>
      <c r="D3489" s="5" t="s">
        <v>79</v>
      </c>
      <c r="E3489" s="5" t="s">
        <v>80</v>
      </c>
      <c r="F3489" s="5">
        <v>334</v>
      </c>
      <c r="G3489" s="5" t="s">
        <v>10563</v>
      </c>
      <c r="H3489" s="5" t="s">
        <v>10564</v>
      </c>
      <c r="I3489" s="5" t="s">
        <v>234</v>
      </c>
      <c r="N3489" s="5" t="s">
        <v>10565</v>
      </c>
      <c r="O3489" s="5">
        <v>354.5</v>
      </c>
      <c r="P3489" s="5">
        <v>359.5</v>
      </c>
      <c r="Q3489" s="5">
        <v>346.05</v>
      </c>
      <c r="R3489" s="5">
        <v>359.5</v>
      </c>
      <c r="S3489" s="5">
        <v>359.5</v>
      </c>
      <c r="T3489" s="5">
        <v>342.4</v>
      </c>
      <c r="V3489" s="5">
        <v>359.5</v>
      </c>
      <c r="Y3489" s="5">
        <v>61630</v>
      </c>
      <c r="Z3489" s="5">
        <v>22072484.449999999</v>
      </c>
      <c r="AA3489" s="5">
        <v>528</v>
      </c>
      <c r="AB3489" s="5" t="s">
        <v>85</v>
      </c>
      <c r="AC3489" s="5">
        <v>1</v>
      </c>
    </row>
    <row r="3490" spans="1:29" x14ac:dyDescent="0.3">
      <c r="A3490" s="34">
        <v>46274</v>
      </c>
      <c r="B3490" s="34">
        <v>46274</v>
      </c>
      <c r="C3490" s="5" t="s">
        <v>78</v>
      </c>
      <c r="D3490" s="5" t="s">
        <v>79</v>
      </c>
      <c r="E3490" s="5" t="s">
        <v>80</v>
      </c>
      <c r="F3490" s="5">
        <v>18124</v>
      </c>
      <c r="G3490" s="5" t="s">
        <v>10566</v>
      </c>
      <c r="H3490" s="5" t="s">
        <v>10567</v>
      </c>
      <c r="I3490" s="5" t="s">
        <v>212</v>
      </c>
      <c r="N3490" s="5" t="s">
        <v>10568</v>
      </c>
      <c r="O3490" s="5">
        <v>102.45</v>
      </c>
      <c r="P3490" s="5">
        <v>102.45</v>
      </c>
      <c r="Q3490" s="5">
        <v>99.01</v>
      </c>
      <c r="R3490" s="5">
        <v>99.26</v>
      </c>
      <c r="S3490" s="5">
        <v>99.46</v>
      </c>
      <c r="T3490" s="5">
        <v>101.19</v>
      </c>
      <c r="V3490" s="5">
        <v>99.26</v>
      </c>
      <c r="Y3490" s="5">
        <v>1060583</v>
      </c>
      <c r="Z3490" s="5">
        <v>106772376.64</v>
      </c>
      <c r="AA3490" s="5">
        <v>6236</v>
      </c>
      <c r="AB3490" s="5" t="s">
        <v>85</v>
      </c>
      <c r="AC3490" s="5">
        <v>1</v>
      </c>
    </row>
    <row r="3491" spans="1:29" x14ac:dyDescent="0.3">
      <c r="A3491" s="34">
        <v>46274</v>
      </c>
      <c r="B3491" s="34">
        <v>46274</v>
      </c>
      <c r="C3491" s="5" t="s">
        <v>78</v>
      </c>
      <c r="D3491" s="5" t="s">
        <v>79</v>
      </c>
      <c r="E3491" s="5" t="s">
        <v>80</v>
      </c>
      <c r="F3491" s="5">
        <v>763304</v>
      </c>
      <c r="G3491" s="5" t="s">
        <v>10569</v>
      </c>
      <c r="H3491" s="5" t="s">
        <v>10570</v>
      </c>
      <c r="I3491" s="5" t="s">
        <v>313</v>
      </c>
      <c r="N3491" s="5" t="s">
        <v>10571</v>
      </c>
      <c r="O3491" s="5">
        <v>68</v>
      </c>
      <c r="P3491" s="5">
        <v>76.45</v>
      </c>
      <c r="Q3491" s="5">
        <v>65</v>
      </c>
      <c r="R3491" s="5">
        <v>71.3</v>
      </c>
      <c r="S3491" s="5">
        <v>70</v>
      </c>
      <c r="T3491" s="5">
        <v>69</v>
      </c>
      <c r="V3491" s="5">
        <v>71.3</v>
      </c>
      <c r="Y3491" s="5">
        <v>15600</v>
      </c>
      <c r="Z3491" s="5">
        <v>1092420</v>
      </c>
      <c r="AA3491" s="5">
        <v>12</v>
      </c>
      <c r="AB3491" s="5" t="s">
        <v>85</v>
      </c>
      <c r="AC3491" s="5">
        <v>1200</v>
      </c>
    </row>
    <row r="3492" spans="1:29" x14ac:dyDescent="0.3">
      <c r="A3492" s="34">
        <v>46274</v>
      </c>
      <c r="B3492" s="34">
        <v>46274</v>
      </c>
      <c r="C3492" s="5" t="s">
        <v>78</v>
      </c>
      <c r="D3492" s="5" t="s">
        <v>79</v>
      </c>
      <c r="E3492" s="5" t="s">
        <v>80</v>
      </c>
      <c r="F3492" s="5">
        <v>13403</v>
      </c>
      <c r="G3492" s="5" t="s">
        <v>10572</v>
      </c>
      <c r="H3492" s="5" t="s">
        <v>10573</v>
      </c>
      <c r="I3492" s="5" t="s">
        <v>234</v>
      </c>
      <c r="N3492" s="5" t="s">
        <v>10574</v>
      </c>
      <c r="O3492" s="5">
        <v>44.18</v>
      </c>
      <c r="P3492" s="5">
        <v>44.75</v>
      </c>
      <c r="Q3492" s="5">
        <v>43.65</v>
      </c>
      <c r="R3492" s="5">
        <v>44.02</v>
      </c>
      <c r="S3492" s="5">
        <v>44.3</v>
      </c>
      <c r="T3492" s="5">
        <v>44.18</v>
      </c>
      <c r="V3492" s="5">
        <v>44.02</v>
      </c>
      <c r="Y3492" s="5">
        <v>24251</v>
      </c>
      <c r="Z3492" s="5">
        <v>1070770.22</v>
      </c>
      <c r="AA3492" s="5">
        <v>132</v>
      </c>
      <c r="AB3492" s="5" t="s">
        <v>85</v>
      </c>
      <c r="AC3492" s="5">
        <v>1</v>
      </c>
    </row>
    <row r="3493" spans="1:29" x14ac:dyDescent="0.3">
      <c r="A3493" s="34">
        <v>46274</v>
      </c>
      <c r="B3493" s="34">
        <v>46274</v>
      </c>
      <c r="C3493" s="5" t="s">
        <v>78</v>
      </c>
      <c r="D3493" s="5" t="s">
        <v>79</v>
      </c>
      <c r="E3493" s="5" t="s">
        <v>80</v>
      </c>
      <c r="F3493" s="5">
        <v>11892</v>
      </c>
      <c r="G3493" s="5" t="s">
        <v>10575</v>
      </c>
      <c r="H3493" s="5" t="s">
        <v>10576</v>
      </c>
      <c r="I3493" s="5" t="s">
        <v>212</v>
      </c>
      <c r="N3493" s="5" t="s">
        <v>10577</v>
      </c>
      <c r="O3493" s="5">
        <v>3600</v>
      </c>
      <c r="P3493" s="5">
        <v>3681</v>
      </c>
      <c r="Q3493" s="5">
        <v>3420.2</v>
      </c>
      <c r="R3493" s="5">
        <v>3453.6</v>
      </c>
      <c r="S3493" s="5">
        <v>3469.8</v>
      </c>
      <c r="T3493" s="5">
        <v>3631.4</v>
      </c>
      <c r="V3493" s="5">
        <v>3453.46</v>
      </c>
      <c r="Y3493" s="5">
        <v>3434</v>
      </c>
      <c r="Z3493" s="5">
        <v>11984729</v>
      </c>
      <c r="AA3493" s="5">
        <v>500</v>
      </c>
      <c r="AB3493" s="5" t="s">
        <v>85</v>
      </c>
      <c r="AC3493" s="5">
        <v>1</v>
      </c>
    </row>
    <row r="3494" spans="1:29" x14ac:dyDescent="0.3">
      <c r="A3494" s="34">
        <v>46274</v>
      </c>
      <c r="B3494" s="34">
        <v>46274</v>
      </c>
      <c r="C3494" s="5" t="s">
        <v>78</v>
      </c>
      <c r="D3494" s="5" t="s">
        <v>79</v>
      </c>
      <c r="E3494" s="5" t="s">
        <v>80</v>
      </c>
      <c r="F3494" s="5">
        <v>3646</v>
      </c>
      <c r="G3494" s="5" t="s">
        <v>10578</v>
      </c>
      <c r="H3494" s="5" t="s">
        <v>10579</v>
      </c>
      <c r="I3494" s="5" t="s">
        <v>212</v>
      </c>
      <c r="N3494" s="5" t="s">
        <v>10580</v>
      </c>
      <c r="O3494" s="5">
        <v>5.89</v>
      </c>
      <c r="P3494" s="5">
        <v>6</v>
      </c>
      <c r="Q3494" s="5">
        <v>5.82</v>
      </c>
      <c r="R3494" s="5">
        <v>5.91</v>
      </c>
      <c r="S3494" s="5">
        <v>5.95</v>
      </c>
      <c r="T3494" s="5">
        <v>5.89</v>
      </c>
      <c r="V3494" s="5">
        <v>5.93</v>
      </c>
      <c r="Y3494" s="5">
        <v>188275</v>
      </c>
      <c r="Z3494" s="5">
        <v>1109667.6599999999</v>
      </c>
      <c r="AA3494" s="5">
        <v>301</v>
      </c>
      <c r="AB3494" s="5" t="s">
        <v>85</v>
      </c>
      <c r="AC3494" s="5">
        <v>1</v>
      </c>
    </row>
    <row r="3495" spans="1:29" x14ac:dyDescent="0.3">
      <c r="A3495" s="34">
        <v>46274</v>
      </c>
      <c r="B3495" s="34">
        <v>46274</v>
      </c>
      <c r="C3495" s="5" t="s">
        <v>78</v>
      </c>
      <c r="D3495" s="5" t="s">
        <v>79</v>
      </c>
      <c r="E3495" s="5" t="s">
        <v>80</v>
      </c>
      <c r="F3495" s="5">
        <v>27067</v>
      </c>
      <c r="G3495" s="5" t="s">
        <v>10581</v>
      </c>
      <c r="H3495" s="5" t="s">
        <v>10582</v>
      </c>
      <c r="I3495" s="5" t="s">
        <v>212</v>
      </c>
      <c r="N3495" s="5" t="s">
        <v>10583</v>
      </c>
      <c r="O3495" s="5">
        <v>358.6</v>
      </c>
      <c r="P3495" s="5">
        <v>368.1</v>
      </c>
      <c r="Q3495" s="5">
        <v>352.8</v>
      </c>
      <c r="R3495" s="5">
        <v>362.75</v>
      </c>
      <c r="S3495" s="5">
        <v>368</v>
      </c>
      <c r="T3495" s="5">
        <v>356.6</v>
      </c>
      <c r="V3495" s="5">
        <v>362.74</v>
      </c>
      <c r="Y3495" s="5">
        <v>78919</v>
      </c>
      <c r="Z3495" s="5">
        <v>28371648</v>
      </c>
      <c r="AA3495" s="5">
        <v>3307</v>
      </c>
      <c r="AB3495" s="5" t="s">
        <v>85</v>
      </c>
      <c r="AC3495" s="5">
        <v>1</v>
      </c>
    </row>
    <row r="3496" spans="1:29" x14ac:dyDescent="0.3">
      <c r="A3496" s="34">
        <v>46274</v>
      </c>
      <c r="B3496" s="34">
        <v>46274</v>
      </c>
      <c r="C3496" s="5" t="s">
        <v>78</v>
      </c>
      <c r="D3496" s="5" t="s">
        <v>79</v>
      </c>
      <c r="E3496" s="5" t="s">
        <v>80</v>
      </c>
      <c r="F3496" s="5">
        <v>2073</v>
      </c>
      <c r="G3496" s="5" t="s">
        <v>10584</v>
      </c>
      <c r="H3496" s="5" t="s">
        <v>10585</v>
      </c>
      <c r="I3496" s="5" t="s">
        <v>212</v>
      </c>
      <c r="N3496" s="5" t="s">
        <v>10586</v>
      </c>
      <c r="O3496" s="5">
        <v>587.95000000000005</v>
      </c>
      <c r="P3496" s="5">
        <v>591.85</v>
      </c>
      <c r="Q3496" s="5">
        <v>579.1</v>
      </c>
      <c r="R3496" s="5">
        <v>583</v>
      </c>
      <c r="S3496" s="5">
        <v>583.1</v>
      </c>
      <c r="T3496" s="5">
        <v>584.4</v>
      </c>
      <c r="V3496" s="5">
        <v>583</v>
      </c>
      <c r="Y3496" s="5">
        <v>175793</v>
      </c>
      <c r="Z3496" s="5">
        <v>102587233.15000001</v>
      </c>
      <c r="AA3496" s="5">
        <v>10792</v>
      </c>
      <c r="AB3496" s="5" t="s">
        <v>85</v>
      </c>
      <c r="AC3496" s="5">
        <v>1</v>
      </c>
    </row>
    <row r="3497" spans="1:29" x14ac:dyDescent="0.3">
      <c r="A3497" s="34">
        <v>46274</v>
      </c>
      <c r="B3497" s="34">
        <v>46274</v>
      </c>
      <c r="C3497" s="5" t="s">
        <v>78</v>
      </c>
      <c r="D3497" s="5" t="s">
        <v>79</v>
      </c>
      <c r="E3497" s="5" t="s">
        <v>80</v>
      </c>
      <c r="F3497" s="5">
        <v>3857</v>
      </c>
      <c r="G3497" s="5" t="s">
        <v>10587</v>
      </c>
      <c r="H3497" s="5" t="s">
        <v>10588</v>
      </c>
      <c r="I3497" s="5" t="s">
        <v>212</v>
      </c>
      <c r="N3497" s="5" t="s">
        <v>10589</v>
      </c>
      <c r="O3497" s="5">
        <v>851</v>
      </c>
      <c r="P3497" s="5">
        <v>862.2</v>
      </c>
      <c r="Q3497" s="5">
        <v>832.75</v>
      </c>
      <c r="R3497" s="5">
        <v>839.4</v>
      </c>
      <c r="S3497" s="5">
        <v>837.5</v>
      </c>
      <c r="T3497" s="5">
        <v>849.45</v>
      </c>
      <c r="V3497" s="5">
        <v>839.37</v>
      </c>
      <c r="Y3497" s="5">
        <v>163818</v>
      </c>
      <c r="Z3497" s="5">
        <v>138079992.19999999</v>
      </c>
      <c r="AA3497" s="5">
        <v>11490</v>
      </c>
      <c r="AB3497" s="5" t="s">
        <v>85</v>
      </c>
      <c r="AC3497" s="5">
        <v>1</v>
      </c>
    </row>
    <row r="3498" spans="1:29" x14ac:dyDescent="0.3">
      <c r="A3498" s="34">
        <v>46274</v>
      </c>
      <c r="B3498" s="34">
        <v>46274</v>
      </c>
      <c r="C3498" s="5" t="s">
        <v>78</v>
      </c>
      <c r="D3498" s="5" t="s">
        <v>79</v>
      </c>
      <c r="E3498" s="5" t="s">
        <v>80</v>
      </c>
      <c r="F3498" s="5">
        <v>18921</v>
      </c>
      <c r="G3498" s="5" t="s">
        <v>10590</v>
      </c>
      <c r="H3498" s="5" t="s">
        <v>10591</v>
      </c>
      <c r="I3498" s="5" t="s">
        <v>212</v>
      </c>
      <c r="N3498" s="5" t="s">
        <v>10592</v>
      </c>
      <c r="O3498" s="5">
        <v>396.2</v>
      </c>
      <c r="P3498" s="5">
        <v>407</v>
      </c>
      <c r="Q3498" s="5">
        <v>396.2</v>
      </c>
      <c r="R3498" s="5">
        <v>407</v>
      </c>
      <c r="S3498" s="5">
        <v>407</v>
      </c>
      <c r="T3498" s="5">
        <v>405.7</v>
      </c>
      <c r="V3498" s="5">
        <v>406.98</v>
      </c>
      <c r="Y3498" s="5">
        <v>11284331</v>
      </c>
      <c r="Z3498" s="5">
        <v>4530477266.1000004</v>
      </c>
      <c r="AA3498" s="5">
        <v>86731</v>
      </c>
      <c r="AB3498" s="5" t="s">
        <v>85</v>
      </c>
      <c r="AC3498" s="5">
        <v>1</v>
      </c>
    </row>
    <row r="3499" spans="1:29" x14ac:dyDescent="0.3">
      <c r="A3499" s="34">
        <v>46274</v>
      </c>
      <c r="B3499" s="34">
        <v>46274</v>
      </c>
      <c r="C3499" s="5" t="s">
        <v>78</v>
      </c>
      <c r="D3499" s="5" t="s">
        <v>79</v>
      </c>
      <c r="E3499" s="5" t="s">
        <v>80</v>
      </c>
      <c r="F3499" s="5">
        <v>13771</v>
      </c>
      <c r="G3499" s="5" t="s">
        <v>10593</v>
      </c>
      <c r="H3499" s="5" t="s">
        <v>10594</v>
      </c>
      <c r="I3499" s="5" t="s">
        <v>212</v>
      </c>
      <c r="N3499" s="5" t="s">
        <v>10595</v>
      </c>
      <c r="O3499" s="5">
        <v>53</v>
      </c>
      <c r="P3499" s="5">
        <v>55.45</v>
      </c>
      <c r="Q3499" s="5">
        <v>51.62</v>
      </c>
      <c r="R3499" s="5">
        <v>54.77</v>
      </c>
      <c r="S3499" s="5">
        <v>55.01</v>
      </c>
      <c r="T3499" s="5">
        <v>53.26</v>
      </c>
      <c r="V3499" s="5">
        <v>54.78</v>
      </c>
      <c r="Y3499" s="5">
        <v>37102</v>
      </c>
      <c r="Z3499" s="5">
        <v>2004299.74</v>
      </c>
      <c r="AA3499" s="5">
        <v>500</v>
      </c>
      <c r="AB3499" s="5" t="s">
        <v>85</v>
      </c>
      <c r="AC3499" s="5">
        <v>1</v>
      </c>
    </row>
    <row r="3500" spans="1:29" x14ac:dyDescent="0.3">
      <c r="A3500" s="34">
        <v>46274</v>
      </c>
      <c r="B3500" s="34">
        <v>46274</v>
      </c>
      <c r="C3500" s="5" t="s">
        <v>78</v>
      </c>
      <c r="D3500" s="5" t="s">
        <v>79</v>
      </c>
      <c r="E3500" s="5" t="s">
        <v>80</v>
      </c>
      <c r="F3500" s="5">
        <v>16454</v>
      </c>
      <c r="G3500" s="5" t="s">
        <v>10596</v>
      </c>
      <c r="H3500" s="5" t="s">
        <v>10597</v>
      </c>
      <c r="I3500" s="5" t="s">
        <v>313</v>
      </c>
      <c r="N3500" s="5" t="s">
        <v>10598</v>
      </c>
      <c r="O3500" s="5">
        <v>418.95</v>
      </c>
      <c r="P3500" s="5">
        <v>418.95</v>
      </c>
      <c r="Q3500" s="5">
        <v>393.25</v>
      </c>
      <c r="R3500" s="5">
        <v>399.2</v>
      </c>
      <c r="S3500" s="5">
        <v>398</v>
      </c>
      <c r="T3500" s="5">
        <v>404.4</v>
      </c>
      <c r="V3500" s="5">
        <v>399.2</v>
      </c>
      <c r="Y3500" s="5">
        <v>21000</v>
      </c>
      <c r="Z3500" s="5">
        <v>8441475</v>
      </c>
      <c r="AA3500" s="5">
        <v>74</v>
      </c>
      <c r="AB3500" s="5" t="s">
        <v>85</v>
      </c>
      <c r="AC3500" s="5">
        <v>250</v>
      </c>
    </row>
    <row r="3501" spans="1:29" x14ac:dyDescent="0.3">
      <c r="A3501" s="34">
        <v>46274</v>
      </c>
      <c r="B3501" s="34">
        <v>46274</v>
      </c>
      <c r="C3501" s="5" t="s">
        <v>78</v>
      </c>
      <c r="D3501" s="5" t="s">
        <v>79</v>
      </c>
      <c r="E3501" s="5" t="s">
        <v>80</v>
      </c>
      <c r="F3501" s="5">
        <v>1274</v>
      </c>
      <c r="G3501" s="5" t="s">
        <v>10599</v>
      </c>
      <c r="H3501" s="5" t="s">
        <v>10600</v>
      </c>
      <c r="I3501" s="5" t="s">
        <v>313</v>
      </c>
      <c r="N3501" s="5" t="s">
        <v>10601</v>
      </c>
      <c r="O3501" s="5">
        <v>3.55</v>
      </c>
      <c r="P3501" s="5">
        <v>3.55</v>
      </c>
      <c r="Q3501" s="5">
        <v>3.55</v>
      </c>
      <c r="R3501" s="5">
        <v>3.55</v>
      </c>
      <c r="S3501" s="5">
        <v>3.55</v>
      </c>
      <c r="T3501" s="5">
        <v>3.7</v>
      </c>
      <c r="V3501" s="5">
        <v>3.55</v>
      </c>
      <c r="Y3501" s="5">
        <v>4000</v>
      </c>
      <c r="Z3501" s="5">
        <v>14200</v>
      </c>
      <c r="AA3501" s="5">
        <v>1</v>
      </c>
      <c r="AB3501" s="5" t="s">
        <v>85</v>
      </c>
      <c r="AC3501" s="5">
        <v>4000</v>
      </c>
    </row>
    <row r="3502" spans="1:29" x14ac:dyDescent="0.3">
      <c r="A3502" s="34">
        <v>46274</v>
      </c>
      <c r="B3502" s="34">
        <v>46274</v>
      </c>
      <c r="C3502" s="5" t="s">
        <v>78</v>
      </c>
      <c r="D3502" s="5" t="s">
        <v>79</v>
      </c>
      <c r="E3502" s="5" t="s">
        <v>80</v>
      </c>
      <c r="F3502" s="5">
        <v>18110</v>
      </c>
      <c r="G3502" s="5" t="s">
        <v>10602</v>
      </c>
      <c r="H3502" s="5" t="s">
        <v>10603</v>
      </c>
      <c r="I3502" s="5" t="s">
        <v>212</v>
      </c>
      <c r="N3502" s="5" t="s">
        <v>10604</v>
      </c>
      <c r="O3502" s="5">
        <v>29.89</v>
      </c>
      <c r="P3502" s="5">
        <v>30.69</v>
      </c>
      <c r="Q3502" s="5">
        <v>29.6</v>
      </c>
      <c r="R3502" s="5">
        <v>29.7</v>
      </c>
      <c r="S3502" s="5">
        <v>29.8</v>
      </c>
      <c r="T3502" s="5">
        <v>29.87</v>
      </c>
      <c r="V3502" s="5">
        <v>29.7</v>
      </c>
      <c r="Y3502" s="5">
        <v>236751</v>
      </c>
      <c r="Z3502" s="5">
        <v>7058371.7199999997</v>
      </c>
      <c r="AA3502" s="5">
        <v>971</v>
      </c>
      <c r="AB3502" s="5" t="s">
        <v>85</v>
      </c>
      <c r="AC3502" s="5">
        <v>1</v>
      </c>
    </row>
    <row r="3503" spans="1:29" x14ac:dyDescent="0.3">
      <c r="A3503" s="34">
        <v>46274</v>
      </c>
      <c r="B3503" s="34">
        <v>46274</v>
      </c>
      <c r="C3503" s="5" t="s">
        <v>78</v>
      </c>
      <c r="D3503" s="5" t="s">
        <v>79</v>
      </c>
      <c r="E3503" s="5" t="s">
        <v>80</v>
      </c>
      <c r="F3503" s="5">
        <v>25340</v>
      </c>
      <c r="G3503" s="5" t="s">
        <v>10605</v>
      </c>
      <c r="H3503" s="5" t="s">
        <v>10606</v>
      </c>
      <c r="I3503" s="5" t="s">
        <v>212</v>
      </c>
      <c r="N3503" s="5" t="s">
        <v>10607</v>
      </c>
      <c r="O3503" s="5">
        <v>46.09</v>
      </c>
      <c r="P3503" s="5">
        <v>46.5</v>
      </c>
      <c r="Q3503" s="5">
        <v>45</v>
      </c>
      <c r="R3503" s="5">
        <v>45.75</v>
      </c>
      <c r="S3503" s="5">
        <v>46.5</v>
      </c>
      <c r="T3503" s="5">
        <v>46.5</v>
      </c>
      <c r="V3503" s="5">
        <v>45.74</v>
      </c>
      <c r="Y3503" s="5">
        <v>14935</v>
      </c>
      <c r="Z3503" s="5">
        <v>681393.04</v>
      </c>
      <c r="AA3503" s="5">
        <v>179</v>
      </c>
      <c r="AB3503" s="5" t="s">
        <v>85</v>
      </c>
      <c r="AC3503" s="5">
        <v>1</v>
      </c>
    </row>
    <row r="3504" spans="1:29" x14ac:dyDescent="0.3">
      <c r="A3504" s="34">
        <v>46274</v>
      </c>
      <c r="B3504" s="34">
        <v>46274</v>
      </c>
      <c r="C3504" s="5" t="s">
        <v>78</v>
      </c>
      <c r="D3504" s="5" t="s">
        <v>79</v>
      </c>
      <c r="E3504" s="5" t="s">
        <v>80</v>
      </c>
      <c r="F3504" s="5">
        <v>9027</v>
      </c>
      <c r="G3504" s="5" t="s">
        <v>10608</v>
      </c>
      <c r="H3504" s="5" t="s">
        <v>10609</v>
      </c>
      <c r="I3504" s="5" t="s">
        <v>234</v>
      </c>
      <c r="N3504" s="5" t="s">
        <v>10610</v>
      </c>
      <c r="O3504" s="5">
        <v>1.65</v>
      </c>
      <c r="P3504" s="5">
        <v>1.65</v>
      </c>
      <c r="Q3504" s="5">
        <v>1.65</v>
      </c>
      <c r="R3504" s="5">
        <v>1.65</v>
      </c>
      <c r="S3504" s="5">
        <v>1.65</v>
      </c>
      <c r="T3504" s="5">
        <v>1.58</v>
      </c>
      <c r="V3504" s="5">
        <v>1.65</v>
      </c>
      <c r="Y3504" s="5">
        <v>302169</v>
      </c>
      <c r="Z3504" s="5">
        <v>498578.85</v>
      </c>
      <c r="AA3504" s="5">
        <v>84</v>
      </c>
      <c r="AB3504" s="5" t="s">
        <v>85</v>
      </c>
      <c r="AC3504" s="5">
        <v>1</v>
      </c>
    </row>
    <row r="3505" spans="1:29" x14ac:dyDescent="0.3">
      <c r="A3505" s="34">
        <v>46274</v>
      </c>
      <c r="B3505" s="34">
        <v>46274</v>
      </c>
      <c r="C3505" s="5" t="s">
        <v>78</v>
      </c>
      <c r="D3505" s="5" t="s">
        <v>79</v>
      </c>
      <c r="E3505" s="5" t="s">
        <v>80</v>
      </c>
      <c r="F3505" s="5">
        <v>756916</v>
      </c>
      <c r="G3505" s="5" t="s">
        <v>10611</v>
      </c>
      <c r="H3505" s="5" t="s">
        <v>10612</v>
      </c>
      <c r="I3505" s="5" t="s">
        <v>580</v>
      </c>
      <c r="N3505" s="5" t="s">
        <v>10613</v>
      </c>
      <c r="O3505" s="5">
        <v>98900</v>
      </c>
      <c r="P3505" s="5">
        <v>98900</v>
      </c>
      <c r="Q3505" s="5">
        <v>98900</v>
      </c>
      <c r="R3505" s="5">
        <v>98900</v>
      </c>
      <c r="S3505" s="5">
        <v>98900</v>
      </c>
      <c r="T3505" s="5">
        <v>99989</v>
      </c>
      <c r="V3505" s="5">
        <v>98900</v>
      </c>
      <c r="Y3505" s="5">
        <v>1</v>
      </c>
      <c r="Z3505" s="5">
        <v>98900</v>
      </c>
      <c r="AA3505" s="5">
        <v>1</v>
      </c>
      <c r="AB3505" s="5" t="s">
        <v>85</v>
      </c>
      <c r="AC3505" s="5">
        <v>1</v>
      </c>
    </row>
    <row r="3506" spans="1:29" x14ac:dyDescent="0.3">
      <c r="A3506" s="34">
        <v>46274</v>
      </c>
      <c r="B3506" s="34">
        <v>46274</v>
      </c>
      <c r="C3506" s="5" t="s">
        <v>78</v>
      </c>
      <c r="D3506" s="5" t="s">
        <v>79</v>
      </c>
      <c r="E3506" s="5" t="s">
        <v>80</v>
      </c>
      <c r="F3506" s="5">
        <v>760558</v>
      </c>
      <c r="G3506" s="5" t="s">
        <v>10614</v>
      </c>
      <c r="H3506" s="5" t="s">
        <v>10615</v>
      </c>
      <c r="I3506" s="5" t="s">
        <v>580</v>
      </c>
      <c r="N3506" s="5" t="s">
        <v>10616</v>
      </c>
      <c r="O3506" s="5">
        <v>97000</v>
      </c>
      <c r="P3506" s="5">
        <v>97000</v>
      </c>
      <c r="Q3506" s="5">
        <v>97000</v>
      </c>
      <c r="R3506" s="5">
        <v>97000</v>
      </c>
      <c r="S3506" s="5">
        <v>97000</v>
      </c>
      <c r="T3506" s="5">
        <v>97000</v>
      </c>
      <c r="V3506" s="5">
        <v>97000</v>
      </c>
      <c r="Y3506" s="5">
        <v>4</v>
      </c>
      <c r="Z3506" s="5">
        <v>388000</v>
      </c>
      <c r="AA3506" s="5">
        <v>4</v>
      </c>
      <c r="AB3506" s="5" t="s">
        <v>85</v>
      </c>
      <c r="AC3506" s="5">
        <v>1</v>
      </c>
    </row>
    <row r="3507" spans="1:29" x14ac:dyDescent="0.3">
      <c r="A3507" s="34">
        <v>46274</v>
      </c>
      <c r="B3507" s="34">
        <v>46274</v>
      </c>
      <c r="C3507" s="5" t="s">
        <v>78</v>
      </c>
      <c r="D3507" s="5" t="s">
        <v>79</v>
      </c>
      <c r="E3507" s="5" t="s">
        <v>80</v>
      </c>
      <c r="F3507" s="5">
        <v>763380</v>
      </c>
      <c r="G3507" s="5" t="s">
        <v>10617</v>
      </c>
      <c r="H3507" s="5" t="s">
        <v>10618</v>
      </c>
      <c r="I3507" s="5" t="s">
        <v>580</v>
      </c>
      <c r="N3507" s="5" t="s">
        <v>10619</v>
      </c>
      <c r="O3507" s="5">
        <v>9899.15</v>
      </c>
      <c r="P3507" s="5">
        <v>9899.15</v>
      </c>
      <c r="Q3507" s="5">
        <v>9899.15</v>
      </c>
      <c r="R3507" s="5">
        <v>9899.15</v>
      </c>
      <c r="S3507" s="5">
        <v>9899.15</v>
      </c>
      <c r="T3507" s="5">
        <v>9999.14</v>
      </c>
      <c r="V3507" s="5">
        <v>9899.15</v>
      </c>
      <c r="Y3507" s="5">
        <v>10</v>
      </c>
      <c r="Z3507" s="5">
        <v>98991.5</v>
      </c>
      <c r="AA3507" s="5">
        <v>3</v>
      </c>
      <c r="AB3507" s="5" t="s">
        <v>85</v>
      </c>
      <c r="AC3507" s="5">
        <v>1</v>
      </c>
    </row>
    <row r="3508" spans="1:29" x14ac:dyDescent="0.3">
      <c r="A3508" s="34">
        <v>46274</v>
      </c>
      <c r="B3508" s="34">
        <v>46274</v>
      </c>
      <c r="C3508" s="5" t="s">
        <v>78</v>
      </c>
      <c r="D3508" s="5" t="s">
        <v>79</v>
      </c>
      <c r="E3508" s="5" t="s">
        <v>80</v>
      </c>
      <c r="F3508" s="5">
        <v>25054</v>
      </c>
      <c r="G3508" s="5" t="s">
        <v>10620</v>
      </c>
      <c r="H3508" s="5" t="s">
        <v>10621</v>
      </c>
      <c r="I3508" s="5" t="s">
        <v>313</v>
      </c>
      <c r="N3508" s="5" t="s">
        <v>10622</v>
      </c>
      <c r="O3508" s="5">
        <v>154</v>
      </c>
      <c r="P3508" s="5">
        <v>154</v>
      </c>
      <c r="Q3508" s="5">
        <v>137</v>
      </c>
      <c r="R3508" s="5">
        <v>138.5</v>
      </c>
      <c r="S3508" s="5">
        <v>138.5</v>
      </c>
      <c r="T3508" s="5">
        <v>146.15</v>
      </c>
      <c r="V3508" s="5">
        <v>138.5</v>
      </c>
      <c r="Y3508" s="5">
        <v>24000</v>
      </c>
      <c r="Z3508" s="5">
        <v>3382500</v>
      </c>
      <c r="AA3508" s="5">
        <v>39</v>
      </c>
      <c r="AB3508" s="5" t="s">
        <v>85</v>
      </c>
      <c r="AC3508" s="5">
        <v>600</v>
      </c>
    </row>
    <row r="3509" spans="1:29" x14ac:dyDescent="0.3">
      <c r="A3509" s="34">
        <v>46274</v>
      </c>
      <c r="B3509" s="34">
        <v>46274</v>
      </c>
      <c r="C3509" s="5" t="s">
        <v>78</v>
      </c>
      <c r="D3509" s="5" t="s">
        <v>79</v>
      </c>
      <c r="E3509" s="5" t="s">
        <v>80</v>
      </c>
      <c r="F3509" s="5">
        <v>8167</v>
      </c>
      <c r="G3509" s="5" t="s">
        <v>10623</v>
      </c>
      <c r="H3509" s="5" t="s">
        <v>10624</v>
      </c>
      <c r="I3509" s="5" t="s">
        <v>212</v>
      </c>
      <c r="N3509" s="5" t="s">
        <v>10625</v>
      </c>
      <c r="O3509" s="5">
        <v>575.95000000000005</v>
      </c>
      <c r="P3509" s="5">
        <v>588.9</v>
      </c>
      <c r="Q3509" s="5">
        <v>562.65</v>
      </c>
      <c r="R3509" s="5">
        <v>581.35</v>
      </c>
      <c r="S3509" s="5">
        <v>586.70000000000005</v>
      </c>
      <c r="T3509" s="5">
        <v>579.54999999999995</v>
      </c>
      <c r="V3509" s="5">
        <v>581.37</v>
      </c>
      <c r="Y3509" s="5">
        <v>305840</v>
      </c>
      <c r="Z3509" s="5">
        <v>176489982.25</v>
      </c>
      <c r="AA3509" s="5">
        <v>17157</v>
      </c>
      <c r="AB3509" s="5" t="s">
        <v>85</v>
      </c>
      <c r="AC3509" s="5">
        <v>1</v>
      </c>
    </row>
    <row r="3510" spans="1:29" x14ac:dyDescent="0.3">
      <c r="A3510" s="34">
        <v>46274</v>
      </c>
      <c r="B3510" s="34">
        <v>46274</v>
      </c>
      <c r="C3510" s="5" t="s">
        <v>78</v>
      </c>
      <c r="D3510" s="5" t="s">
        <v>79</v>
      </c>
      <c r="E3510" s="5" t="s">
        <v>80</v>
      </c>
      <c r="F3510" s="5">
        <v>750174</v>
      </c>
      <c r="G3510" s="5" t="s">
        <v>10626</v>
      </c>
      <c r="H3510" s="5" t="s">
        <v>10627</v>
      </c>
      <c r="I3510" s="5" t="s">
        <v>212</v>
      </c>
      <c r="N3510" s="5" t="s">
        <v>10628</v>
      </c>
      <c r="O3510" s="5">
        <v>436.2</v>
      </c>
      <c r="P3510" s="5">
        <v>449.7</v>
      </c>
      <c r="Q3510" s="5">
        <v>434</v>
      </c>
      <c r="R3510" s="5">
        <v>445.3</v>
      </c>
      <c r="S3510" s="5">
        <v>445.65</v>
      </c>
      <c r="T3510" s="5">
        <v>436.6</v>
      </c>
      <c r="V3510" s="5">
        <v>445.31</v>
      </c>
      <c r="Y3510" s="5">
        <v>6748411</v>
      </c>
      <c r="Z3510" s="5">
        <v>3000481489.9499998</v>
      </c>
      <c r="AA3510" s="5">
        <v>88596</v>
      </c>
      <c r="AB3510" s="5" t="s">
        <v>85</v>
      </c>
      <c r="AC3510" s="5">
        <v>1</v>
      </c>
    </row>
    <row r="3511" spans="1:29" x14ac:dyDescent="0.3">
      <c r="A3511" s="34">
        <v>46274</v>
      </c>
      <c r="B3511" s="34">
        <v>46274</v>
      </c>
      <c r="C3511" s="5" t="s">
        <v>78</v>
      </c>
      <c r="D3511" s="5" t="s">
        <v>79</v>
      </c>
      <c r="E3511" s="5" t="s">
        <v>80</v>
      </c>
      <c r="F3511" s="5">
        <v>750290</v>
      </c>
      <c r="G3511" s="5" t="s">
        <v>10629</v>
      </c>
      <c r="H3511" s="5" t="s">
        <v>10630</v>
      </c>
      <c r="I3511" s="5" t="s">
        <v>212</v>
      </c>
      <c r="N3511" s="5" t="s">
        <v>10631</v>
      </c>
      <c r="O3511" s="5">
        <v>34.08</v>
      </c>
      <c r="P3511" s="5">
        <v>34.340000000000003</v>
      </c>
      <c r="Q3511" s="5">
        <v>33.26</v>
      </c>
      <c r="R3511" s="5">
        <v>33.380000000000003</v>
      </c>
      <c r="S3511" s="5">
        <v>33.44</v>
      </c>
      <c r="T3511" s="5">
        <v>33.97</v>
      </c>
      <c r="V3511" s="5">
        <v>33.380000000000003</v>
      </c>
      <c r="Y3511" s="5">
        <v>30736292</v>
      </c>
      <c r="Z3511" s="5">
        <v>1031534978.78</v>
      </c>
      <c r="AA3511" s="5">
        <v>43225</v>
      </c>
      <c r="AB3511" s="5" t="s">
        <v>85</v>
      </c>
      <c r="AC3511" s="5">
        <v>1</v>
      </c>
    </row>
    <row r="3512" spans="1:29" x14ac:dyDescent="0.3">
      <c r="A3512" s="34">
        <v>46274</v>
      </c>
      <c r="B3512" s="34">
        <v>46274</v>
      </c>
      <c r="C3512" s="5" t="s">
        <v>78</v>
      </c>
      <c r="D3512" s="5" t="s">
        <v>79</v>
      </c>
      <c r="E3512" s="5" t="s">
        <v>80</v>
      </c>
      <c r="F3512" s="5">
        <v>3063</v>
      </c>
      <c r="G3512" s="5" t="s">
        <v>10632</v>
      </c>
      <c r="H3512" s="5" t="s">
        <v>10633</v>
      </c>
      <c r="I3512" s="5" t="s">
        <v>212</v>
      </c>
      <c r="N3512" s="5" t="s">
        <v>10634</v>
      </c>
      <c r="O3512" s="5">
        <v>271.5</v>
      </c>
      <c r="P3512" s="5">
        <v>275.75</v>
      </c>
      <c r="Q3512" s="5">
        <v>268.55</v>
      </c>
      <c r="R3512" s="5">
        <v>272.5</v>
      </c>
      <c r="S3512" s="5">
        <v>272.5</v>
      </c>
      <c r="T3512" s="5">
        <v>272</v>
      </c>
      <c r="V3512" s="5">
        <v>272.51</v>
      </c>
      <c r="Y3512" s="5">
        <v>8634652</v>
      </c>
      <c r="Z3512" s="5">
        <v>2362187560.8499999</v>
      </c>
      <c r="AA3512" s="5">
        <v>53235</v>
      </c>
      <c r="AB3512" s="5" t="s">
        <v>85</v>
      </c>
      <c r="AC3512" s="5">
        <v>1</v>
      </c>
    </row>
    <row r="3513" spans="1:29" x14ac:dyDescent="0.3">
      <c r="A3513" s="34">
        <v>46274</v>
      </c>
      <c r="B3513" s="34">
        <v>46274</v>
      </c>
      <c r="C3513" s="5" t="s">
        <v>78</v>
      </c>
      <c r="D3513" s="5" t="s">
        <v>79</v>
      </c>
      <c r="E3513" s="5" t="s">
        <v>80</v>
      </c>
      <c r="F3513" s="5">
        <v>750368</v>
      </c>
      <c r="G3513" s="5" t="s">
        <v>10635</v>
      </c>
      <c r="H3513" s="5" t="s">
        <v>10636</v>
      </c>
      <c r="I3513" s="5" t="s">
        <v>212</v>
      </c>
      <c r="N3513" s="5" t="s">
        <v>10637</v>
      </c>
      <c r="O3513" s="5">
        <v>36.5</v>
      </c>
      <c r="P3513" s="5">
        <v>37.04</v>
      </c>
      <c r="Q3513" s="5">
        <v>36.200000000000003</v>
      </c>
      <c r="R3513" s="5">
        <v>36.270000000000003</v>
      </c>
      <c r="S3513" s="5">
        <v>36.43</v>
      </c>
      <c r="T3513" s="5">
        <v>36.65</v>
      </c>
      <c r="V3513" s="5">
        <v>36.270000000000003</v>
      </c>
      <c r="Y3513" s="5">
        <v>28877181</v>
      </c>
      <c r="Z3513" s="5">
        <v>1052907455.34</v>
      </c>
      <c r="AA3513" s="5">
        <v>45222</v>
      </c>
      <c r="AB3513" s="5" t="s">
        <v>85</v>
      </c>
      <c r="AC3513" s="5">
        <v>1</v>
      </c>
    </row>
    <row r="3514" spans="1:29" x14ac:dyDescent="0.3">
      <c r="A3514" s="34">
        <v>46274</v>
      </c>
      <c r="B3514" s="34">
        <v>46274</v>
      </c>
      <c r="C3514" s="5" t="s">
        <v>78</v>
      </c>
      <c r="D3514" s="5" t="s">
        <v>79</v>
      </c>
      <c r="E3514" s="5" t="s">
        <v>80</v>
      </c>
      <c r="F3514" s="5">
        <v>750518</v>
      </c>
      <c r="G3514" s="5" t="s">
        <v>10638</v>
      </c>
      <c r="H3514" s="5" t="s">
        <v>10639</v>
      </c>
      <c r="I3514" s="5" t="s">
        <v>212</v>
      </c>
      <c r="N3514" s="5" t="s">
        <v>10640</v>
      </c>
      <c r="O3514" s="5">
        <v>34.340000000000003</v>
      </c>
      <c r="P3514" s="5">
        <v>34.75</v>
      </c>
      <c r="Q3514" s="5">
        <v>34.020000000000003</v>
      </c>
      <c r="R3514" s="5">
        <v>34.28</v>
      </c>
      <c r="S3514" s="5">
        <v>34.31</v>
      </c>
      <c r="T3514" s="5">
        <v>34.28</v>
      </c>
      <c r="V3514" s="5">
        <v>34.28</v>
      </c>
      <c r="Y3514" s="5">
        <v>8453812</v>
      </c>
      <c r="Z3514" s="5">
        <v>290965646.70999998</v>
      </c>
      <c r="AA3514" s="5">
        <v>25254</v>
      </c>
      <c r="AB3514" s="5" t="s">
        <v>85</v>
      </c>
      <c r="AC3514" s="5">
        <v>1</v>
      </c>
    </row>
    <row r="3515" spans="1:29" x14ac:dyDescent="0.3">
      <c r="A3515" s="34">
        <v>46274</v>
      </c>
      <c r="B3515" s="34">
        <v>46274</v>
      </c>
      <c r="C3515" s="5" t="s">
        <v>78</v>
      </c>
      <c r="D3515" s="5" t="s">
        <v>79</v>
      </c>
      <c r="E3515" s="5" t="s">
        <v>80</v>
      </c>
      <c r="F3515" s="5">
        <v>764980</v>
      </c>
      <c r="G3515" s="5" t="s">
        <v>10641</v>
      </c>
      <c r="H3515" s="5" t="s">
        <v>10642</v>
      </c>
      <c r="I3515" s="5" t="s">
        <v>212</v>
      </c>
      <c r="N3515" s="5" t="s">
        <v>10643</v>
      </c>
      <c r="O3515" s="5">
        <v>18.989999999999998</v>
      </c>
      <c r="P3515" s="5">
        <v>19.079999999999998</v>
      </c>
      <c r="Q3515" s="5">
        <v>18.16</v>
      </c>
      <c r="R3515" s="5">
        <v>18.510000000000002</v>
      </c>
      <c r="S3515" s="5">
        <v>18.489999999999998</v>
      </c>
      <c r="T3515" s="5">
        <v>18.829999999999998</v>
      </c>
      <c r="V3515" s="5">
        <v>18.510000000000002</v>
      </c>
      <c r="Y3515" s="5">
        <v>7155</v>
      </c>
      <c r="Z3515" s="5">
        <v>132798.24</v>
      </c>
      <c r="AA3515" s="5">
        <v>104</v>
      </c>
      <c r="AB3515" s="5" t="s">
        <v>85</v>
      </c>
      <c r="AC3515" s="5">
        <v>1</v>
      </c>
    </row>
    <row r="3516" spans="1:29" x14ac:dyDescent="0.3">
      <c r="A3516" s="34">
        <v>46274</v>
      </c>
      <c r="B3516" s="34">
        <v>46274</v>
      </c>
      <c r="C3516" s="5" t="s">
        <v>78</v>
      </c>
      <c r="D3516" s="5" t="s">
        <v>79</v>
      </c>
      <c r="E3516" s="5" t="s">
        <v>80</v>
      </c>
      <c r="F3516" s="5">
        <v>14019</v>
      </c>
      <c r="G3516" s="5" t="s">
        <v>10644</v>
      </c>
      <c r="H3516" s="5" t="s">
        <v>10645</v>
      </c>
      <c r="I3516" s="5" t="s">
        <v>212</v>
      </c>
      <c r="N3516" s="5" t="s">
        <v>10646</v>
      </c>
      <c r="O3516" s="5">
        <v>1457.5</v>
      </c>
      <c r="P3516" s="5">
        <v>1467.1</v>
      </c>
      <c r="Q3516" s="5">
        <v>1435.6</v>
      </c>
      <c r="R3516" s="5">
        <v>1437</v>
      </c>
      <c r="S3516" s="5">
        <v>1435.6</v>
      </c>
      <c r="T3516" s="5">
        <v>1454</v>
      </c>
      <c r="V3516" s="5">
        <v>1437.12</v>
      </c>
      <c r="Y3516" s="5">
        <v>8441</v>
      </c>
      <c r="Z3516" s="5">
        <v>12178969.9</v>
      </c>
      <c r="AA3516" s="5">
        <v>1141</v>
      </c>
      <c r="AB3516" s="5" t="s">
        <v>85</v>
      </c>
      <c r="AC3516" s="5">
        <v>1</v>
      </c>
    </row>
    <row r="3517" spans="1:29" x14ac:dyDescent="0.3">
      <c r="A3517" s="34">
        <v>46274</v>
      </c>
      <c r="B3517" s="34">
        <v>46274</v>
      </c>
      <c r="C3517" s="5" t="s">
        <v>78</v>
      </c>
      <c r="D3517" s="5" t="s">
        <v>79</v>
      </c>
      <c r="E3517" s="5" t="s">
        <v>80</v>
      </c>
      <c r="F3517" s="5">
        <v>10710</v>
      </c>
      <c r="G3517" s="5" t="s">
        <v>10647</v>
      </c>
      <c r="H3517" s="5" t="s">
        <v>10648</v>
      </c>
      <c r="I3517" s="5" t="s">
        <v>313</v>
      </c>
      <c r="N3517" s="5" t="s">
        <v>10649</v>
      </c>
      <c r="O3517" s="5">
        <v>100.85</v>
      </c>
      <c r="P3517" s="5">
        <v>108.9</v>
      </c>
      <c r="Q3517" s="5">
        <v>100.85</v>
      </c>
      <c r="R3517" s="5">
        <v>105.95</v>
      </c>
      <c r="S3517" s="5">
        <v>108.9</v>
      </c>
      <c r="T3517" s="5">
        <v>106.15</v>
      </c>
      <c r="V3517" s="5">
        <v>105.95</v>
      </c>
      <c r="Y3517" s="5">
        <v>2500</v>
      </c>
      <c r="Z3517" s="5">
        <v>257300</v>
      </c>
      <c r="AA3517" s="5">
        <v>5</v>
      </c>
      <c r="AB3517" s="5" t="s">
        <v>85</v>
      </c>
      <c r="AC3517" s="5">
        <v>500</v>
      </c>
    </row>
    <row r="3518" spans="1:29" x14ac:dyDescent="0.3">
      <c r="A3518" s="34">
        <v>46274</v>
      </c>
      <c r="B3518" s="34">
        <v>46274</v>
      </c>
      <c r="C3518" s="5" t="s">
        <v>78</v>
      </c>
      <c r="D3518" s="5" t="s">
        <v>79</v>
      </c>
      <c r="E3518" s="5" t="s">
        <v>80</v>
      </c>
      <c r="F3518" s="5">
        <v>762969</v>
      </c>
      <c r="G3518" s="5" t="s">
        <v>10650</v>
      </c>
      <c r="H3518" s="5" t="s">
        <v>10651</v>
      </c>
      <c r="I3518" s="5" t="s">
        <v>234</v>
      </c>
      <c r="N3518" s="5" t="s">
        <v>10652</v>
      </c>
      <c r="O3518" s="5">
        <v>1880.6</v>
      </c>
      <c r="P3518" s="5">
        <v>1915</v>
      </c>
      <c r="Q3518" s="5">
        <v>1841</v>
      </c>
      <c r="R3518" s="5">
        <v>1885.2</v>
      </c>
      <c r="S3518" s="5">
        <v>1866.6</v>
      </c>
      <c r="T3518" s="5">
        <v>1890</v>
      </c>
      <c r="V3518" s="5">
        <v>1864.37</v>
      </c>
      <c r="Y3518" s="5">
        <v>153</v>
      </c>
      <c r="Z3518" s="5">
        <v>285372.40000000002</v>
      </c>
      <c r="AA3518" s="5">
        <v>22</v>
      </c>
      <c r="AB3518" s="5" t="s">
        <v>85</v>
      </c>
      <c r="AC3518" s="5">
        <v>1</v>
      </c>
    </row>
    <row r="3519" spans="1:29" x14ac:dyDescent="0.3">
      <c r="A3519" s="34">
        <v>46274</v>
      </c>
      <c r="B3519" s="34">
        <v>46274</v>
      </c>
      <c r="C3519" s="5" t="s">
        <v>78</v>
      </c>
      <c r="D3519" s="5" t="s">
        <v>79</v>
      </c>
      <c r="E3519" s="5" t="s">
        <v>80</v>
      </c>
      <c r="F3519" s="5">
        <v>3757</v>
      </c>
      <c r="G3519" s="5" t="s">
        <v>10653</v>
      </c>
      <c r="H3519" s="5" t="s">
        <v>10654</v>
      </c>
      <c r="I3519" s="5" t="s">
        <v>212</v>
      </c>
      <c r="N3519" s="5" t="s">
        <v>10655</v>
      </c>
      <c r="O3519" s="5">
        <v>1710</v>
      </c>
      <c r="P3519" s="5">
        <v>1727.8</v>
      </c>
      <c r="Q3519" s="5">
        <v>1680</v>
      </c>
      <c r="R3519" s="5">
        <v>1694.7</v>
      </c>
      <c r="S3519" s="5">
        <v>1698.7</v>
      </c>
      <c r="T3519" s="5">
        <v>1709</v>
      </c>
      <c r="V3519" s="5">
        <v>1694.68</v>
      </c>
      <c r="Y3519" s="5">
        <v>62910</v>
      </c>
      <c r="Z3519" s="5">
        <v>106787361.90000001</v>
      </c>
      <c r="AA3519" s="5">
        <v>5733</v>
      </c>
      <c r="AB3519" s="5" t="s">
        <v>85</v>
      </c>
      <c r="AC3519" s="5">
        <v>1</v>
      </c>
    </row>
    <row r="3520" spans="1:29" x14ac:dyDescent="0.3">
      <c r="A3520" s="34">
        <v>46274</v>
      </c>
      <c r="B3520" s="34">
        <v>46274</v>
      </c>
      <c r="C3520" s="5" t="s">
        <v>78</v>
      </c>
      <c r="D3520" s="5" t="s">
        <v>79</v>
      </c>
      <c r="E3520" s="5" t="s">
        <v>80</v>
      </c>
      <c r="F3520" s="5">
        <v>28847</v>
      </c>
      <c r="G3520" s="5" t="s">
        <v>10656</v>
      </c>
      <c r="H3520" s="5" t="s">
        <v>10657</v>
      </c>
      <c r="I3520" s="5" t="s">
        <v>212</v>
      </c>
      <c r="N3520" s="5" t="s">
        <v>10658</v>
      </c>
      <c r="O3520" s="5">
        <v>572.54999999999995</v>
      </c>
      <c r="P3520" s="5">
        <v>574</v>
      </c>
      <c r="Q3520" s="5">
        <v>554.85</v>
      </c>
      <c r="R3520" s="5">
        <v>569.70000000000005</v>
      </c>
      <c r="S3520" s="5">
        <v>565</v>
      </c>
      <c r="T3520" s="5">
        <v>571.5</v>
      </c>
      <c r="V3520" s="5">
        <v>569.70000000000005</v>
      </c>
      <c r="Y3520" s="5">
        <v>66140</v>
      </c>
      <c r="Z3520" s="5">
        <v>37340313.950000003</v>
      </c>
      <c r="AA3520" s="5">
        <v>2768</v>
      </c>
      <c r="AB3520" s="5" t="s">
        <v>85</v>
      </c>
      <c r="AC3520" s="5">
        <v>1</v>
      </c>
    </row>
    <row r="3521" spans="1:29" x14ac:dyDescent="0.3">
      <c r="A3521" s="34">
        <v>46274</v>
      </c>
      <c r="B3521" s="34">
        <v>46274</v>
      </c>
      <c r="C3521" s="5" t="s">
        <v>78</v>
      </c>
      <c r="D3521" s="5" t="s">
        <v>79</v>
      </c>
      <c r="E3521" s="5" t="s">
        <v>80</v>
      </c>
      <c r="F3521" s="5">
        <v>9592</v>
      </c>
      <c r="G3521" s="5" t="s">
        <v>10659</v>
      </c>
      <c r="H3521" s="5" t="s">
        <v>10660</v>
      </c>
      <c r="I3521" s="5" t="s">
        <v>212</v>
      </c>
      <c r="N3521" s="5" t="s">
        <v>10661</v>
      </c>
      <c r="O3521" s="5">
        <v>1945</v>
      </c>
      <c r="P3521" s="5">
        <v>1998</v>
      </c>
      <c r="Q3521" s="5">
        <v>1907</v>
      </c>
      <c r="R3521" s="5">
        <v>1930.1</v>
      </c>
      <c r="S3521" s="5">
        <v>1942</v>
      </c>
      <c r="T3521" s="5">
        <v>1949.9</v>
      </c>
      <c r="V3521" s="5">
        <v>1930.09</v>
      </c>
      <c r="Y3521" s="5">
        <v>287398</v>
      </c>
      <c r="Z3521" s="5">
        <v>564160198.89999998</v>
      </c>
      <c r="AA3521" s="5">
        <v>21236</v>
      </c>
      <c r="AB3521" s="5" t="s">
        <v>85</v>
      </c>
      <c r="AC3521" s="5">
        <v>1</v>
      </c>
    </row>
    <row r="3522" spans="1:29" x14ac:dyDescent="0.3">
      <c r="A3522" s="34">
        <v>46274</v>
      </c>
      <c r="B3522" s="34">
        <v>46274</v>
      </c>
      <c r="C3522" s="5" t="s">
        <v>78</v>
      </c>
      <c r="D3522" s="5" t="s">
        <v>79</v>
      </c>
      <c r="E3522" s="5" t="s">
        <v>80</v>
      </c>
      <c r="F3522" s="5">
        <v>13856</v>
      </c>
      <c r="G3522" s="5" t="s">
        <v>10662</v>
      </c>
      <c r="H3522" s="5" t="s">
        <v>10663</v>
      </c>
      <c r="I3522" s="5" t="s">
        <v>234</v>
      </c>
      <c r="N3522" s="5" t="s">
        <v>10664</v>
      </c>
      <c r="O3522" s="5">
        <v>1620</v>
      </c>
      <c r="P3522" s="5">
        <v>1700</v>
      </c>
      <c r="Q3522" s="5">
        <v>1620</v>
      </c>
      <c r="R3522" s="5">
        <v>1650.2</v>
      </c>
      <c r="S3522" s="5">
        <v>1645</v>
      </c>
      <c r="T3522" s="5">
        <v>1625.2</v>
      </c>
      <c r="V3522" s="5">
        <v>1650.52</v>
      </c>
      <c r="Y3522" s="5">
        <v>25233</v>
      </c>
      <c r="Z3522" s="5">
        <v>42103498</v>
      </c>
      <c r="AA3522" s="5">
        <v>1179</v>
      </c>
      <c r="AB3522" s="5" t="s">
        <v>85</v>
      </c>
      <c r="AC3522" s="5">
        <v>1</v>
      </c>
    </row>
    <row r="3523" spans="1:29" x14ac:dyDescent="0.3">
      <c r="A3523" s="34">
        <v>46274</v>
      </c>
      <c r="B3523" s="34">
        <v>46274</v>
      </c>
      <c r="C3523" s="5" t="s">
        <v>78</v>
      </c>
      <c r="D3523" s="5" t="s">
        <v>79</v>
      </c>
      <c r="E3523" s="5" t="s">
        <v>80</v>
      </c>
      <c r="F3523" s="5">
        <v>8890</v>
      </c>
      <c r="G3523" s="5" t="s">
        <v>10665</v>
      </c>
      <c r="H3523" s="5" t="s">
        <v>10666</v>
      </c>
      <c r="I3523" s="5" t="s">
        <v>212</v>
      </c>
      <c r="N3523" s="5" t="s">
        <v>10667</v>
      </c>
      <c r="O3523" s="5">
        <v>234.16</v>
      </c>
      <c r="P3523" s="5">
        <v>236.7</v>
      </c>
      <c r="Q3523" s="5">
        <v>230.49</v>
      </c>
      <c r="R3523" s="5">
        <v>233.79</v>
      </c>
      <c r="S3523" s="5">
        <v>236</v>
      </c>
      <c r="T3523" s="5">
        <v>232.73</v>
      </c>
      <c r="V3523" s="5">
        <v>233.85</v>
      </c>
      <c r="Y3523" s="5">
        <v>146699</v>
      </c>
      <c r="Z3523" s="5">
        <v>34190403.210000001</v>
      </c>
      <c r="AA3523" s="5">
        <v>2198</v>
      </c>
      <c r="AB3523" s="5" t="s">
        <v>85</v>
      </c>
      <c r="AC3523" s="5">
        <v>1</v>
      </c>
    </row>
    <row r="3524" spans="1:29" x14ac:dyDescent="0.3">
      <c r="A3524" s="34">
        <v>46274</v>
      </c>
      <c r="B3524" s="34">
        <v>46274</v>
      </c>
      <c r="C3524" s="5" t="s">
        <v>78</v>
      </c>
      <c r="D3524" s="5" t="s">
        <v>79</v>
      </c>
      <c r="E3524" s="5" t="s">
        <v>80</v>
      </c>
      <c r="F3524" s="5">
        <v>14491</v>
      </c>
      <c r="G3524" s="5" t="s">
        <v>10668</v>
      </c>
      <c r="H3524" s="5" t="s">
        <v>10669</v>
      </c>
      <c r="I3524" s="5" t="s">
        <v>313</v>
      </c>
      <c r="N3524" s="5" t="s">
        <v>10670</v>
      </c>
      <c r="O3524" s="5">
        <v>57.4</v>
      </c>
      <c r="P3524" s="5">
        <v>63.35</v>
      </c>
      <c r="Q3524" s="5">
        <v>57.4</v>
      </c>
      <c r="R3524" s="5">
        <v>63.35</v>
      </c>
      <c r="S3524" s="5">
        <v>63.35</v>
      </c>
      <c r="T3524" s="5">
        <v>60.35</v>
      </c>
      <c r="V3524" s="5">
        <v>63.35</v>
      </c>
      <c r="Y3524" s="5">
        <v>3000</v>
      </c>
      <c r="Z3524" s="5">
        <v>185790</v>
      </c>
      <c r="AA3524" s="5">
        <v>4</v>
      </c>
      <c r="AB3524" s="5" t="s">
        <v>85</v>
      </c>
      <c r="AC3524" s="5">
        <v>600</v>
      </c>
    </row>
    <row r="3525" spans="1:29" x14ac:dyDescent="0.3">
      <c r="A3525" s="34">
        <v>46274</v>
      </c>
      <c r="B3525" s="34">
        <v>46274</v>
      </c>
      <c r="C3525" s="5" t="s">
        <v>78</v>
      </c>
      <c r="D3525" s="5" t="s">
        <v>79</v>
      </c>
      <c r="E3525" s="5" t="s">
        <v>80</v>
      </c>
      <c r="F3525" s="5">
        <v>10757</v>
      </c>
      <c r="G3525" s="5" t="s">
        <v>10671</v>
      </c>
      <c r="H3525" s="5" t="s">
        <v>10672</v>
      </c>
      <c r="I3525" s="5" t="s">
        <v>822</v>
      </c>
      <c r="N3525" s="5" t="s">
        <v>10673</v>
      </c>
      <c r="O3525" s="5">
        <v>116.75</v>
      </c>
      <c r="P3525" s="5">
        <v>116.99</v>
      </c>
      <c r="Q3525" s="5">
        <v>116.65</v>
      </c>
      <c r="R3525" s="5">
        <v>116.65</v>
      </c>
      <c r="S3525" s="5">
        <v>116.65</v>
      </c>
      <c r="T3525" s="5">
        <v>116.74</v>
      </c>
      <c r="V3525" s="5">
        <v>116.65</v>
      </c>
      <c r="Y3525" s="5">
        <v>100000</v>
      </c>
      <c r="Z3525" s="5">
        <v>11676000</v>
      </c>
      <c r="AA3525" s="5">
        <v>4</v>
      </c>
      <c r="AB3525" s="5" t="s">
        <v>85</v>
      </c>
      <c r="AC3525" s="5">
        <v>25000</v>
      </c>
    </row>
    <row r="3526" spans="1:29" x14ac:dyDescent="0.3">
      <c r="A3526" s="34">
        <v>46274</v>
      </c>
      <c r="B3526" s="34">
        <v>46274</v>
      </c>
      <c r="C3526" s="5" t="s">
        <v>78</v>
      </c>
      <c r="D3526" s="5" t="s">
        <v>79</v>
      </c>
      <c r="E3526" s="5" t="s">
        <v>80</v>
      </c>
      <c r="F3526" s="5">
        <v>18863</v>
      </c>
      <c r="G3526" s="5" t="s">
        <v>10674</v>
      </c>
      <c r="H3526" s="5" t="s">
        <v>10675</v>
      </c>
      <c r="I3526" s="5" t="s">
        <v>212</v>
      </c>
      <c r="N3526" s="5" t="s">
        <v>10676</v>
      </c>
      <c r="O3526" s="5">
        <v>38.799999999999997</v>
      </c>
      <c r="P3526" s="5">
        <v>39</v>
      </c>
      <c r="Q3526" s="5">
        <v>37.799999999999997</v>
      </c>
      <c r="R3526" s="5">
        <v>38.1</v>
      </c>
      <c r="S3526" s="5">
        <v>38.450000000000003</v>
      </c>
      <c r="T3526" s="5">
        <v>38.380000000000003</v>
      </c>
      <c r="V3526" s="5">
        <v>38.1</v>
      </c>
      <c r="Y3526" s="5">
        <v>26874</v>
      </c>
      <c r="Z3526" s="5">
        <v>1030366.89</v>
      </c>
      <c r="AA3526" s="5">
        <v>456</v>
      </c>
      <c r="AB3526" s="5" t="s">
        <v>85</v>
      </c>
      <c r="AC3526" s="5">
        <v>1</v>
      </c>
    </row>
    <row r="3527" spans="1:29" x14ac:dyDescent="0.3">
      <c r="A3527" s="34">
        <v>46274</v>
      </c>
      <c r="B3527" s="34">
        <v>46274</v>
      </c>
      <c r="C3527" s="5" t="s">
        <v>78</v>
      </c>
      <c r="D3527" s="5" t="s">
        <v>79</v>
      </c>
      <c r="E3527" s="5" t="s">
        <v>80</v>
      </c>
      <c r="F3527" s="5">
        <v>3676</v>
      </c>
      <c r="G3527" s="5" t="s">
        <v>10677</v>
      </c>
      <c r="H3527" s="5" t="s">
        <v>10678</v>
      </c>
      <c r="I3527" s="5" t="s">
        <v>212</v>
      </c>
      <c r="N3527" s="5" t="s">
        <v>10679</v>
      </c>
      <c r="O3527" s="5">
        <v>423</v>
      </c>
      <c r="P3527" s="5">
        <v>438</v>
      </c>
      <c r="Q3527" s="5">
        <v>419.75</v>
      </c>
      <c r="R3527" s="5">
        <v>420.85</v>
      </c>
      <c r="S3527" s="5">
        <v>420.35</v>
      </c>
      <c r="T3527" s="5">
        <v>421.85</v>
      </c>
      <c r="V3527" s="5">
        <v>420.85</v>
      </c>
      <c r="Y3527" s="5">
        <v>175627</v>
      </c>
      <c r="Z3527" s="5">
        <v>75507651.049999997</v>
      </c>
      <c r="AA3527" s="5">
        <v>9444</v>
      </c>
      <c r="AB3527" s="5" t="s">
        <v>85</v>
      </c>
      <c r="AC3527" s="5">
        <v>1</v>
      </c>
    </row>
    <row r="3528" spans="1:29" x14ac:dyDescent="0.3">
      <c r="A3528" s="34">
        <v>46274</v>
      </c>
      <c r="B3528" s="34">
        <v>46274</v>
      </c>
      <c r="C3528" s="5" t="s">
        <v>78</v>
      </c>
      <c r="D3528" s="5" t="s">
        <v>79</v>
      </c>
      <c r="E3528" s="5" t="s">
        <v>80</v>
      </c>
      <c r="F3528" s="5">
        <v>8660</v>
      </c>
      <c r="G3528" s="5" t="s">
        <v>10680</v>
      </c>
      <c r="H3528" s="5" t="s">
        <v>10681</v>
      </c>
      <c r="I3528" s="5" t="s">
        <v>234</v>
      </c>
      <c r="N3528" s="5" t="s">
        <v>10682</v>
      </c>
      <c r="O3528" s="5">
        <v>123.56</v>
      </c>
      <c r="P3528" s="5">
        <v>127.89</v>
      </c>
      <c r="Q3528" s="5">
        <v>123.2</v>
      </c>
      <c r="R3528" s="5">
        <v>124.63</v>
      </c>
      <c r="S3528" s="5">
        <v>124.2</v>
      </c>
      <c r="T3528" s="5">
        <v>125.71</v>
      </c>
      <c r="V3528" s="5">
        <v>124.61</v>
      </c>
      <c r="Y3528" s="5">
        <v>24705</v>
      </c>
      <c r="Z3528" s="5">
        <v>3084190.37</v>
      </c>
      <c r="AA3528" s="5">
        <v>201</v>
      </c>
      <c r="AB3528" s="5" t="s">
        <v>85</v>
      </c>
      <c r="AC3528" s="5">
        <v>1</v>
      </c>
    </row>
    <row r="3529" spans="1:29" x14ac:dyDescent="0.3">
      <c r="A3529" s="34">
        <v>46274</v>
      </c>
      <c r="B3529" s="34">
        <v>46274</v>
      </c>
      <c r="C3529" s="5" t="s">
        <v>78</v>
      </c>
      <c r="D3529" s="5" t="s">
        <v>79</v>
      </c>
      <c r="E3529" s="5" t="s">
        <v>80</v>
      </c>
      <c r="F3529" s="5">
        <v>14316</v>
      </c>
      <c r="G3529" s="5" t="s">
        <v>10683</v>
      </c>
      <c r="H3529" s="5" t="s">
        <v>10684</v>
      </c>
      <c r="I3529" s="5" t="s">
        <v>313</v>
      </c>
      <c r="N3529" s="5" t="s">
        <v>10685</v>
      </c>
      <c r="O3529" s="5">
        <v>74.3</v>
      </c>
      <c r="P3529" s="5">
        <v>75.3</v>
      </c>
      <c r="Q3529" s="5">
        <v>71</v>
      </c>
      <c r="R3529" s="5">
        <v>75.3</v>
      </c>
      <c r="S3529" s="5">
        <v>75.3</v>
      </c>
      <c r="T3529" s="5">
        <v>74.3</v>
      </c>
      <c r="V3529" s="5">
        <v>75.3</v>
      </c>
      <c r="Y3529" s="5">
        <v>8000</v>
      </c>
      <c r="Z3529" s="5">
        <v>583300</v>
      </c>
      <c r="AA3529" s="5">
        <v>4</v>
      </c>
      <c r="AB3529" s="5" t="s">
        <v>85</v>
      </c>
      <c r="AC3529" s="5">
        <v>2000</v>
      </c>
    </row>
    <row r="3530" spans="1:29" x14ac:dyDescent="0.3">
      <c r="A3530" s="34">
        <v>46274</v>
      </c>
      <c r="B3530" s="34">
        <v>46274</v>
      </c>
      <c r="C3530" s="5" t="s">
        <v>78</v>
      </c>
      <c r="D3530" s="5" t="s">
        <v>79</v>
      </c>
      <c r="E3530" s="5" t="s">
        <v>80</v>
      </c>
      <c r="F3530" s="5">
        <v>22730</v>
      </c>
      <c r="G3530" s="5" t="s">
        <v>10686</v>
      </c>
      <c r="H3530" s="5" t="s">
        <v>10687</v>
      </c>
      <c r="I3530" s="5" t="s">
        <v>212</v>
      </c>
      <c r="N3530" s="5" t="s">
        <v>10688</v>
      </c>
      <c r="O3530" s="5">
        <v>126</v>
      </c>
      <c r="P3530" s="5">
        <v>126</v>
      </c>
      <c r="Q3530" s="5">
        <v>121.5</v>
      </c>
      <c r="R3530" s="5">
        <v>123.41</v>
      </c>
      <c r="S3530" s="5">
        <v>123.5</v>
      </c>
      <c r="T3530" s="5">
        <v>124.44</v>
      </c>
      <c r="V3530" s="5">
        <v>123.41</v>
      </c>
      <c r="Y3530" s="5">
        <v>12007</v>
      </c>
      <c r="Z3530" s="5">
        <v>1484264.1</v>
      </c>
      <c r="AA3530" s="5">
        <v>303</v>
      </c>
      <c r="AB3530" s="5" t="s">
        <v>85</v>
      </c>
      <c r="AC3530" s="5">
        <v>1</v>
      </c>
    </row>
    <row r="3531" spans="1:29" x14ac:dyDescent="0.3">
      <c r="A3531" s="34">
        <v>46274</v>
      </c>
      <c r="B3531" s="34">
        <v>46274</v>
      </c>
      <c r="C3531" s="5" t="s">
        <v>78</v>
      </c>
      <c r="D3531" s="5" t="s">
        <v>79</v>
      </c>
      <c r="E3531" s="5" t="s">
        <v>80</v>
      </c>
      <c r="F3531" s="5">
        <v>765252</v>
      </c>
      <c r="G3531" s="5" t="s">
        <v>10689</v>
      </c>
      <c r="H3531" s="5" t="s">
        <v>10690</v>
      </c>
      <c r="I3531" s="5" t="s">
        <v>212</v>
      </c>
      <c r="N3531" s="5" t="s">
        <v>10691</v>
      </c>
      <c r="O3531" s="5">
        <v>52</v>
      </c>
      <c r="P3531" s="5">
        <v>52</v>
      </c>
      <c r="Q3531" s="5">
        <v>48.15</v>
      </c>
      <c r="R3531" s="5">
        <v>48.27</v>
      </c>
      <c r="S3531" s="5">
        <v>50.32</v>
      </c>
      <c r="T3531" s="5">
        <v>50.66</v>
      </c>
      <c r="V3531" s="5">
        <v>48.12</v>
      </c>
      <c r="Y3531" s="5">
        <v>8103</v>
      </c>
      <c r="Z3531" s="5">
        <v>398683.34</v>
      </c>
      <c r="AA3531" s="5">
        <v>98</v>
      </c>
      <c r="AB3531" s="5" t="s">
        <v>85</v>
      </c>
      <c r="AC3531" s="5">
        <v>1</v>
      </c>
    </row>
    <row r="3532" spans="1:29" x14ac:dyDescent="0.3">
      <c r="A3532" s="34">
        <v>46274</v>
      </c>
      <c r="B3532" s="34">
        <v>46274</v>
      </c>
      <c r="C3532" s="5" t="s">
        <v>78</v>
      </c>
      <c r="D3532" s="5" t="s">
        <v>79</v>
      </c>
      <c r="E3532" s="5" t="s">
        <v>80</v>
      </c>
      <c r="F3532" s="5">
        <v>23386</v>
      </c>
      <c r="G3532" s="5" t="s">
        <v>10692</v>
      </c>
      <c r="H3532" s="5" t="s">
        <v>10693</v>
      </c>
      <c r="I3532" s="5" t="s">
        <v>234</v>
      </c>
      <c r="N3532" s="5" t="s">
        <v>10694</v>
      </c>
      <c r="O3532" s="5">
        <v>120.6</v>
      </c>
      <c r="P3532" s="5">
        <v>122.04</v>
      </c>
      <c r="Q3532" s="5">
        <v>117.53</v>
      </c>
      <c r="R3532" s="5">
        <v>119.2</v>
      </c>
      <c r="S3532" s="5">
        <v>120.29</v>
      </c>
      <c r="T3532" s="5">
        <v>120.57</v>
      </c>
      <c r="V3532" s="5">
        <v>119.24</v>
      </c>
      <c r="Y3532" s="5">
        <v>25699</v>
      </c>
      <c r="Z3532" s="5">
        <v>3085497.27</v>
      </c>
      <c r="AA3532" s="5">
        <v>196</v>
      </c>
      <c r="AB3532" s="5" t="s">
        <v>85</v>
      </c>
      <c r="AC3532" s="5">
        <v>1</v>
      </c>
    </row>
    <row r="3533" spans="1:29" x14ac:dyDescent="0.3">
      <c r="A3533" s="34">
        <v>46274</v>
      </c>
      <c r="B3533" s="34">
        <v>46274</v>
      </c>
      <c r="C3533" s="5" t="s">
        <v>78</v>
      </c>
      <c r="D3533" s="5" t="s">
        <v>79</v>
      </c>
      <c r="E3533" s="5" t="s">
        <v>80</v>
      </c>
      <c r="F3533" s="5">
        <v>760691</v>
      </c>
      <c r="G3533" s="5" t="s">
        <v>10695</v>
      </c>
      <c r="H3533" s="5" t="s">
        <v>10696</v>
      </c>
      <c r="I3533" s="5" t="s">
        <v>313</v>
      </c>
      <c r="N3533" s="5" t="s">
        <v>10697</v>
      </c>
      <c r="O3533" s="5">
        <v>15.55</v>
      </c>
      <c r="P3533" s="5">
        <v>15.55</v>
      </c>
      <c r="Q3533" s="5">
        <v>15.15</v>
      </c>
      <c r="R3533" s="5">
        <v>15.55</v>
      </c>
      <c r="S3533" s="5">
        <v>15.55</v>
      </c>
      <c r="T3533" s="5">
        <v>15.65</v>
      </c>
      <c r="V3533" s="5">
        <v>15.55</v>
      </c>
      <c r="Y3533" s="5">
        <v>9000</v>
      </c>
      <c r="Z3533" s="5">
        <v>138750</v>
      </c>
      <c r="AA3533" s="5">
        <v>3</v>
      </c>
      <c r="AB3533" s="5" t="s">
        <v>85</v>
      </c>
      <c r="AC3533" s="5">
        <v>3000</v>
      </c>
    </row>
    <row r="3534" spans="1:29" x14ac:dyDescent="0.3">
      <c r="A3534" s="34">
        <v>46274</v>
      </c>
      <c r="B3534" s="34">
        <v>46274</v>
      </c>
      <c r="C3534" s="5" t="s">
        <v>78</v>
      </c>
      <c r="D3534" s="5" t="s">
        <v>79</v>
      </c>
      <c r="E3534" s="5" t="s">
        <v>80</v>
      </c>
      <c r="F3534" s="5">
        <v>13536</v>
      </c>
      <c r="G3534" s="5" t="s">
        <v>10698</v>
      </c>
      <c r="H3534" s="5" t="s">
        <v>10699</v>
      </c>
      <c r="I3534" s="5" t="s">
        <v>212</v>
      </c>
      <c r="N3534" s="5" t="s">
        <v>10700</v>
      </c>
      <c r="O3534" s="5">
        <v>358.4</v>
      </c>
      <c r="P3534" s="5">
        <v>365</v>
      </c>
      <c r="Q3534" s="5">
        <v>347.55</v>
      </c>
      <c r="R3534" s="5">
        <v>350.2</v>
      </c>
      <c r="S3534" s="5">
        <v>347.55</v>
      </c>
      <c r="T3534" s="5">
        <v>356.45</v>
      </c>
      <c r="V3534" s="5">
        <v>349.41</v>
      </c>
      <c r="Y3534" s="5">
        <v>59111</v>
      </c>
      <c r="Z3534" s="5">
        <v>20978365.449999999</v>
      </c>
      <c r="AA3534" s="5">
        <v>2385</v>
      </c>
      <c r="AB3534" s="5" t="s">
        <v>85</v>
      </c>
      <c r="AC3534" s="5">
        <v>1</v>
      </c>
    </row>
    <row r="3535" spans="1:29" x14ac:dyDescent="0.3">
      <c r="A3535" s="34">
        <v>46274</v>
      </c>
      <c r="B3535" s="34">
        <v>46274</v>
      </c>
      <c r="C3535" s="5" t="s">
        <v>78</v>
      </c>
      <c r="D3535" s="5" t="s">
        <v>79</v>
      </c>
      <c r="E3535" s="5" t="s">
        <v>80</v>
      </c>
      <c r="F3535" s="5">
        <v>760224</v>
      </c>
      <c r="G3535" s="5" t="s">
        <v>10701</v>
      </c>
      <c r="H3535" s="5" t="s">
        <v>10702</v>
      </c>
      <c r="I3535" s="5" t="s">
        <v>212</v>
      </c>
      <c r="N3535" s="5" t="s">
        <v>10703</v>
      </c>
      <c r="O3535" s="5">
        <v>89.09</v>
      </c>
      <c r="P3535" s="5">
        <v>91.7</v>
      </c>
      <c r="Q3535" s="5">
        <v>88.67</v>
      </c>
      <c r="R3535" s="5">
        <v>89.76</v>
      </c>
      <c r="S3535" s="5">
        <v>90</v>
      </c>
      <c r="T3535" s="5">
        <v>89.09</v>
      </c>
      <c r="V3535" s="5">
        <v>89.76</v>
      </c>
      <c r="Y3535" s="5">
        <v>974594</v>
      </c>
      <c r="Z3535" s="5">
        <v>87924942.099999994</v>
      </c>
      <c r="AA3535" s="5">
        <v>8247</v>
      </c>
      <c r="AB3535" s="5" t="s">
        <v>85</v>
      </c>
      <c r="AC3535" s="5">
        <v>1</v>
      </c>
    </row>
    <row r="3536" spans="1:29" x14ac:dyDescent="0.3">
      <c r="A3536" s="34">
        <v>46274</v>
      </c>
      <c r="B3536" s="34">
        <v>46274</v>
      </c>
      <c r="C3536" s="5" t="s">
        <v>78</v>
      </c>
      <c r="D3536" s="5" t="s">
        <v>79</v>
      </c>
      <c r="E3536" s="5" t="s">
        <v>80</v>
      </c>
      <c r="F3536" s="5">
        <v>758898</v>
      </c>
      <c r="G3536" s="5" t="s">
        <v>10704</v>
      </c>
      <c r="H3536" s="5" t="s">
        <v>10705</v>
      </c>
      <c r="I3536" s="5" t="s">
        <v>313</v>
      </c>
      <c r="N3536" s="5" t="s">
        <v>10706</v>
      </c>
      <c r="O3536" s="5">
        <v>116.5</v>
      </c>
      <c r="P3536" s="5">
        <v>117</v>
      </c>
      <c r="Q3536" s="5">
        <v>114.5</v>
      </c>
      <c r="R3536" s="5">
        <v>117</v>
      </c>
      <c r="S3536" s="5">
        <v>117</v>
      </c>
      <c r="T3536" s="5">
        <v>115.55</v>
      </c>
      <c r="V3536" s="5">
        <v>117</v>
      </c>
      <c r="Y3536" s="5">
        <v>22400</v>
      </c>
      <c r="Z3536" s="5">
        <v>2609520</v>
      </c>
      <c r="AA3536" s="5">
        <v>13</v>
      </c>
      <c r="AB3536" s="5" t="s">
        <v>85</v>
      </c>
      <c r="AC3536" s="5">
        <v>1600</v>
      </c>
    </row>
    <row r="3537" spans="1:29" x14ac:dyDescent="0.3">
      <c r="A3537" s="34">
        <v>46274</v>
      </c>
      <c r="B3537" s="34">
        <v>46274</v>
      </c>
      <c r="C3537" s="5" t="s">
        <v>78</v>
      </c>
      <c r="D3537" s="5" t="s">
        <v>79</v>
      </c>
      <c r="E3537" s="5" t="s">
        <v>80</v>
      </c>
      <c r="F3537" s="5">
        <v>764985</v>
      </c>
      <c r="G3537" s="5" t="s">
        <v>10707</v>
      </c>
      <c r="H3537" s="5" t="s">
        <v>10708</v>
      </c>
      <c r="I3537" s="5" t="s">
        <v>212</v>
      </c>
      <c r="N3537" s="5" t="s">
        <v>10709</v>
      </c>
      <c r="O3537" s="5">
        <v>670</v>
      </c>
      <c r="P3537" s="5">
        <v>676.65</v>
      </c>
      <c r="Q3537" s="5">
        <v>632</v>
      </c>
      <c r="R3537" s="5">
        <v>642.5</v>
      </c>
      <c r="S3537" s="5">
        <v>640</v>
      </c>
      <c r="T3537" s="5">
        <v>663.9</v>
      </c>
      <c r="V3537" s="5">
        <v>642.5</v>
      </c>
      <c r="Y3537" s="5">
        <v>1478</v>
      </c>
      <c r="Z3537" s="5">
        <v>952487.3</v>
      </c>
      <c r="AA3537" s="5">
        <v>119</v>
      </c>
      <c r="AB3537" s="5" t="s">
        <v>85</v>
      </c>
      <c r="AC3537" s="5">
        <v>1</v>
      </c>
    </row>
    <row r="3538" spans="1:29" x14ac:dyDescent="0.3">
      <c r="A3538" s="34">
        <v>46274</v>
      </c>
      <c r="B3538" s="34">
        <v>46274</v>
      </c>
      <c r="C3538" s="5" t="s">
        <v>78</v>
      </c>
      <c r="D3538" s="5" t="s">
        <v>79</v>
      </c>
      <c r="E3538" s="5" t="s">
        <v>80</v>
      </c>
      <c r="F3538" s="5">
        <v>5585</v>
      </c>
      <c r="G3538" s="5" t="s">
        <v>10710</v>
      </c>
      <c r="H3538" s="5" t="s">
        <v>10711</v>
      </c>
      <c r="I3538" s="5" t="s">
        <v>212</v>
      </c>
      <c r="N3538" s="5" t="s">
        <v>10712</v>
      </c>
      <c r="O3538" s="5">
        <v>1501.8</v>
      </c>
      <c r="P3538" s="5">
        <v>1578</v>
      </c>
      <c r="Q3538" s="5">
        <v>1476.7</v>
      </c>
      <c r="R3538" s="5">
        <v>1498.9</v>
      </c>
      <c r="S3538" s="5">
        <v>1495</v>
      </c>
      <c r="T3538" s="5">
        <v>1503</v>
      </c>
      <c r="V3538" s="5">
        <v>1498.82</v>
      </c>
      <c r="Y3538" s="5">
        <v>569495</v>
      </c>
      <c r="Z3538" s="5">
        <v>870731262.20000005</v>
      </c>
      <c r="AA3538" s="5">
        <v>42425</v>
      </c>
      <c r="AB3538" s="5" t="s">
        <v>85</v>
      </c>
      <c r="AC3538" s="5">
        <v>1</v>
      </c>
    </row>
    <row r="3539" spans="1:29" x14ac:dyDescent="0.3">
      <c r="A3539" s="34">
        <v>46274</v>
      </c>
      <c r="B3539" s="34">
        <v>46274</v>
      </c>
      <c r="C3539" s="5" t="s">
        <v>78</v>
      </c>
      <c r="D3539" s="5" t="s">
        <v>79</v>
      </c>
      <c r="E3539" s="5" t="s">
        <v>80</v>
      </c>
      <c r="F3539" s="5">
        <v>760121</v>
      </c>
      <c r="G3539" s="5" t="s">
        <v>10713</v>
      </c>
      <c r="H3539" s="5" t="s">
        <v>10714</v>
      </c>
      <c r="I3539" s="5" t="s">
        <v>313</v>
      </c>
      <c r="N3539" s="5" t="s">
        <v>10715</v>
      </c>
      <c r="O3539" s="5">
        <v>65</v>
      </c>
      <c r="P3539" s="5">
        <v>65</v>
      </c>
      <c r="Q3539" s="5">
        <v>63</v>
      </c>
      <c r="R3539" s="5">
        <v>63</v>
      </c>
      <c r="S3539" s="5">
        <v>63</v>
      </c>
      <c r="T3539" s="5">
        <v>65</v>
      </c>
      <c r="V3539" s="5">
        <v>63</v>
      </c>
      <c r="Y3539" s="5">
        <v>8000</v>
      </c>
      <c r="Z3539" s="5">
        <v>508000</v>
      </c>
      <c r="AA3539" s="5">
        <v>4</v>
      </c>
      <c r="AB3539" s="5" t="s">
        <v>85</v>
      </c>
      <c r="AC3539" s="5">
        <v>2000</v>
      </c>
    </row>
    <row r="3540" spans="1:29" x14ac:dyDescent="0.3">
      <c r="A3540" s="34">
        <v>46274</v>
      </c>
      <c r="B3540" s="34">
        <v>46274</v>
      </c>
      <c r="C3540" s="5" t="s">
        <v>78</v>
      </c>
      <c r="D3540" s="5" t="s">
        <v>79</v>
      </c>
      <c r="E3540" s="5" t="s">
        <v>80</v>
      </c>
      <c r="F3540" s="5">
        <v>17695</v>
      </c>
      <c r="G3540" s="5" t="s">
        <v>10716</v>
      </c>
      <c r="H3540" s="5" t="s">
        <v>10717</v>
      </c>
      <c r="I3540" s="5" t="s">
        <v>234</v>
      </c>
      <c r="N3540" s="5" t="s">
        <v>10718</v>
      </c>
      <c r="O3540" s="5">
        <v>16.25</v>
      </c>
      <c r="P3540" s="5">
        <v>16.25</v>
      </c>
      <c r="Q3540" s="5">
        <v>16.25</v>
      </c>
      <c r="R3540" s="5">
        <v>16.25</v>
      </c>
      <c r="S3540" s="5">
        <v>16.25</v>
      </c>
      <c r="T3540" s="5">
        <v>16.579999999999998</v>
      </c>
      <c r="V3540" s="5">
        <v>16.36</v>
      </c>
      <c r="Y3540" s="5">
        <v>271832</v>
      </c>
      <c r="Z3540" s="5">
        <v>4417270</v>
      </c>
      <c r="AA3540" s="5">
        <v>242</v>
      </c>
      <c r="AB3540" s="5" t="s">
        <v>85</v>
      </c>
      <c r="AC3540" s="5">
        <v>1</v>
      </c>
    </row>
    <row r="3541" spans="1:29" x14ac:dyDescent="0.3">
      <c r="A3541" s="34">
        <v>46274</v>
      </c>
      <c r="B3541" s="34">
        <v>46274</v>
      </c>
      <c r="C3541" s="5" t="s">
        <v>78</v>
      </c>
      <c r="D3541" s="5" t="s">
        <v>79</v>
      </c>
      <c r="E3541" s="5" t="s">
        <v>80</v>
      </c>
      <c r="F3541" s="5">
        <v>25756</v>
      </c>
      <c r="G3541" s="5" t="s">
        <v>10719</v>
      </c>
      <c r="H3541" s="5" t="s">
        <v>10720</v>
      </c>
      <c r="I3541" s="5" t="s">
        <v>212</v>
      </c>
      <c r="N3541" s="5" t="s">
        <v>10721</v>
      </c>
      <c r="O3541" s="5">
        <v>1.05</v>
      </c>
      <c r="P3541" s="5">
        <v>1.08</v>
      </c>
      <c r="Q3541" s="5">
        <v>1.05</v>
      </c>
      <c r="R3541" s="5">
        <v>1.06</v>
      </c>
      <c r="S3541" s="5">
        <v>1.06</v>
      </c>
      <c r="T3541" s="5">
        <v>1.05</v>
      </c>
      <c r="V3541" s="5">
        <v>1.06</v>
      </c>
      <c r="Y3541" s="5">
        <v>1762614</v>
      </c>
      <c r="Z3541" s="5">
        <v>1882826.76</v>
      </c>
      <c r="AA3541" s="5">
        <v>967</v>
      </c>
      <c r="AB3541" s="5" t="s">
        <v>85</v>
      </c>
      <c r="AC3541" s="5">
        <v>1</v>
      </c>
    </row>
    <row r="3542" spans="1:29" x14ac:dyDescent="0.3">
      <c r="A3542" s="34">
        <v>46274</v>
      </c>
      <c r="B3542" s="34">
        <v>46274</v>
      </c>
      <c r="C3542" s="5" t="s">
        <v>78</v>
      </c>
      <c r="D3542" s="5" t="s">
        <v>79</v>
      </c>
      <c r="E3542" s="5" t="s">
        <v>80</v>
      </c>
      <c r="F3542" s="5">
        <v>9931</v>
      </c>
      <c r="G3542" s="5" t="s">
        <v>10722</v>
      </c>
      <c r="H3542" s="5" t="s">
        <v>10723</v>
      </c>
      <c r="I3542" s="5" t="s">
        <v>212</v>
      </c>
      <c r="N3542" s="5" t="s">
        <v>10724</v>
      </c>
      <c r="O3542" s="5">
        <v>1.28</v>
      </c>
      <c r="P3542" s="5">
        <v>1.29</v>
      </c>
      <c r="Q3542" s="5">
        <v>1.25</v>
      </c>
      <c r="R3542" s="5">
        <v>1.25</v>
      </c>
      <c r="S3542" s="5">
        <v>1.26</v>
      </c>
      <c r="T3542" s="5">
        <v>1.28</v>
      </c>
      <c r="V3542" s="5">
        <v>1.25</v>
      </c>
      <c r="Y3542" s="5">
        <v>1436150</v>
      </c>
      <c r="Z3542" s="5">
        <v>1823902.79</v>
      </c>
      <c r="AA3542" s="5">
        <v>8400</v>
      </c>
      <c r="AB3542" s="5" t="s">
        <v>85</v>
      </c>
      <c r="AC3542" s="5">
        <v>1</v>
      </c>
    </row>
    <row r="3543" spans="1:29" x14ac:dyDescent="0.3">
      <c r="A3543" s="34">
        <v>46274</v>
      </c>
      <c r="B3543" s="34">
        <v>46274</v>
      </c>
      <c r="C3543" s="5" t="s">
        <v>78</v>
      </c>
      <c r="D3543" s="5" t="s">
        <v>79</v>
      </c>
      <c r="E3543" s="5" t="s">
        <v>80</v>
      </c>
      <c r="F3543" s="5">
        <v>759453</v>
      </c>
      <c r="G3543" s="5" t="s">
        <v>10725</v>
      </c>
      <c r="H3543" s="5" t="s">
        <v>10726</v>
      </c>
      <c r="I3543" s="5" t="s">
        <v>212</v>
      </c>
      <c r="N3543" s="5" t="s">
        <v>10727</v>
      </c>
      <c r="O3543" s="5">
        <v>167.55</v>
      </c>
      <c r="P3543" s="5">
        <v>169.43</v>
      </c>
      <c r="Q3543" s="5">
        <v>166.1</v>
      </c>
      <c r="R3543" s="5">
        <v>166.59</v>
      </c>
      <c r="S3543" s="5">
        <v>166.89</v>
      </c>
      <c r="T3543" s="5">
        <v>169.28</v>
      </c>
      <c r="V3543" s="5">
        <v>166.59</v>
      </c>
      <c r="Y3543" s="5">
        <v>1713809</v>
      </c>
      <c r="Z3543" s="5">
        <v>286235024.33999997</v>
      </c>
      <c r="AA3543" s="5">
        <v>13520</v>
      </c>
      <c r="AB3543" s="5" t="s">
        <v>85</v>
      </c>
      <c r="AC3543" s="5">
        <v>1</v>
      </c>
    </row>
    <row r="3544" spans="1:29" x14ac:dyDescent="0.3">
      <c r="A3544" s="34">
        <v>46274</v>
      </c>
      <c r="B3544" s="34">
        <v>46274</v>
      </c>
      <c r="C3544" s="5" t="s">
        <v>78</v>
      </c>
      <c r="D3544" s="5" t="s">
        <v>79</v>
      </c>
      <c r="E3544" s="5" t="s">
        <v>80</v>
      </c>
      <c r="F3544" s="5">
        <v>758973</v>
      </c>
      <c r="G3544" s="5" t="s">
        <v>10728</v>
      </c>
      <c r="H3544" s="5" t="s">
        <v>10729</v>
      </c>
      <c r="I3544" s="5" t="s">
        <v>212</v>
      </c>
      <c r="N3544" s="5" t="s">
        <v>10730</v>
      </c>
      <c r="O3544" s="5">
        <v>59</v>
      </c>
      <c r="P3544" s="5">
        <v>59.19</v>
      </c>
      <c r="Q3544" s="5">
        <v>58.3</v>
      </c>
      <c r="R3544" s="5">
        <v>58.5</v>
      </c>
      <c r="S3544" s="5">
        <v>58.6</v>
      </c>
      <c r="T3544" s="5">
        <v>59.14</v>
      </c>
      <c r="V3544" s="5">
        <v>58.5</v>
      </c>
      <c r="Y3544" s="5">
        <v>589225</v>
      </c>
      <c r="Z3544" s="5">
        <v>34641431.140000001</v>
      </c>
      <c r="AA3544" s="5">
        <v>3338</v>
      </c>
      <c r="AB3544" s="5" t="s">
        <v>85</v>
      </c>
      <c r="AC3544" s="5">
        <v>1</v>
      </c>
    </row>
    <row r="3545" spans="1:29" x14ac:dyDescent="0.3">
      <c r="A3545" s="34">
        <v>46274</v>
      </c>
      <c r="B3545" s="34">
        <v>46274</v>
      </c>
      <c r="C3545" s="5" t="s">
        <v>78</v>
      </c>
      <c r="D3545" s="5" t="s">
        <v>79</v>
      </c>
      <c r="E3545" s="5" t="s">
        <v>80</v>
      </c>
      <c r="F3545" s="5">
        <v>23909</v>
      </c>
      <c r="G3545" s="5" t="s">
        <v>10731</v>
      </c>
      <c r="H3545" s="5" t="s">
        <v>10732</v>
      </c>
      <c r="I3545" s="5" t="s">
        <v>313</v>
      </c>
      <c r="N3545" s="5" t="s">
        <v>10733</v>
      </c>
      <c r="O3545" s="5">
        <v>353</v>
      </c>
      <c r="P3545" s="5">
        <v>353.75</v>
      </c>
      <c r="Q3545" s="5">
        <v>344</v>
      </c>
      <c r="R3545" s="5">
        <v>349.45</v>
      </c>
      <c r="S3545" s="5">
        <v>350</v>
      </c>
      <c r="T3545" s="5">
        <v>353.6</v>
      </c>
      <c r="V3545" s="5">
        <v>349.45</v>
      </c>
      <c r="Y3545" s="5">
        <v>30500</v>
      </c>
      <c r="Z3545" s="5">
        <v>10663937.5</v>
      </c>
      <c r="AA3545" s="5">
        <v>91</v>
      </c>
      <c r="AB3545" s="5" t="s">
        <v>85</v>
      </c>
      <c r="AC3545" s="5">
        <v>250</v>
      </c>
    </row>
    <row r="3546" spans="1:29" x14ac:dyDescent="0.3">
      <c r="A3546" s="34">
        <v>46274</v>
      </c>
      <c r="B3546" s="34">
        <v>46274</v>
      </c>
      <c r="C3546" s="5" t="s">
        <v>78</v>
      </c>
      <c r="D3546" s="5" t="s">
        <v>79</v>
      </c>
      <c r="E3546" s="5" t="s">
        <v>80</v>
      </c>
      <c r="F3546" s="5">
        <v>16954</v>
      </c>
      <c r="G3546" s="5" t="s">
        <v>10734</v>
      </c>
      <c r="H3546" s="5" t="s">
        <v>10735</v>
      </c>
      <c r="I3546" s="5" t="s">
        <v>313</v>
      </c>
      <c r="N3546" s="5" t="s">
        <v>10736</v>
      </c>
      <c r="O3546" s="5">
        <v>60.95</v>
      </c>
      <c r="P3546" s="5">
        <v>60.95</v>
      </c>
      <c r="Q3546" s="5">
        <v>56.8</v>
      </c>
      <c r="R3546" s="5">
        <v>57.85</v>
      </c>
      <c r="S3546" s="5">
        <v>56.8</v>
      </c>
      <c r="T3546" s="5">
        <v>59.75</v>
      </c>
      <c r="V3546" s="5">
        <v>57.85</v>
      </c>
      <c r="Y3546" s="5">
        <v>40000</v>
      </c>
      <c r="Z3546" s="5">
        <v>2325200</v>
      </c>
      <c r="AA3546" s="5">
        <v>10</v>
      </c>
      <c r="AB3546" s="5" t="s">
        <v>85</v>
      </c>
      <c r="AC3546" s="5">
        <v>4000</v>
      </c>
    </row>
    <row r="3547" spans="1:29" x14ac:dyDescent="0.3">
      <c r="A3547" s="34">
        <v>46274</v>
      </c>
      <c r="B3547" s="34">
        <v>46274</v>
      </c>
      <c r="C3547" s="5" t="s">
        <v>78</v>
      </c>
      <c r="D3547" s="5" t="s">
        <v>79</v>
      </c>
      <c r="E3547" s="5" t="s">
        <v>80</v>
      </c>
      <c r="F3547" s="5">
        <v>13101</v>
      </c>
      <c r="G3547" s="5" t="s">
        <v>10737</v>
      </c>
      <c r="H3547" s="5" t="s">
        <v>10738</v>
      </c>
      <c r="I3547" s="5" t="s">
        <v>212</v>
      </c>
      <c r="N3547" s="5" t="s">
        <v>10739</v>
      </c>
      <c r="O3547" s="5">
        <v>625</v>
      </c>
      <c r="P3547" s="5">
        <v>638.75</v>
      </c>
      <c r="Q3547" s="5">
        <v>617.35</v>
      </c>
      <c r="R3547" s="5">
        <v>628.15</v>
      </c>
      <c r="S3547" s="5">
        <v>626</v>
      </c>
      <c r="T3547" s="5">
        <v>625.79999999999995</v>
      </c>
      <c r="V3547" s="5">
        <v>628.16999999999996</v>
      </c>
      <c r="Y3547" s="5">
        <v>176456</v>
      </c>
      <c r="Z3547" s="5">
        <v>110624275.59999999</v>
      </c>
      <c r="AA3547" s="5">
        <v>7771</v>
      </c>
      <c r="AB3547" s="5" t="s">
        <v>85</v>
      </c>
      <c r="AC3547" s="5">
        <v>1</v>
      </c>
    </row>
    <row r="3548" spans="1:29" x14ac:dyDescent="0.3">
      <c r="A3548" s="34">
        <v>46274</v>
      </c>
      <c r="B3548" s="34">
        <v>46274</v>
      </c>
      <c r="C3548" s="5" t="s">
        <v>78</v>
      </c>
      <c r="D3548" s="5" t="s">
        <v>79</v>
      </c>
      <c r="E3548" s="5" t="s">
        <v>80</v>
      </c>
      <c r="F3548" s="5">
        <v>17364</v>
      </c>
      <c r="G3548" s="5" t="s">
        <v>10740</v>
      </c>
      <c r="H3548" s="5" t="s">
        <v>10741</v>
      </c>
      <c r="I3548" s="5" t="s">
        <v>212</v>
      </c>
      <c r="N3548" s="5" t="s">
        <v>10742</v>
      </c>
      <c r="O3548" s="5">
        <v>1347.8</v>
      </c>
      <c r="P3548" s="5">
        <v>1348</v>
      </c>
      <c r="Q3548" s="5">
        <v>1323.1</v>
      </c>
      <c r="R3548" s="5">
        <v>1334.4</v>
      </c>
      <c r="S3548" s="5">
        <v>1327</v>
      </c>
      <c r="T3548" s="5">
        <v>1347.8</v>
      </c>
      <c r="V3548" s="5">
        <v>1334.85</v>
      </c>
      <c r="Y3548" s="5">
        <v>42455</v>
      </c>
      <c r="Z3548" s="5">
        <v>56778056.799999997</v>
      </c>
      <c r="AA3548" s="5">
        <v>8513</v>
      </c>
      <c r="AB3548" s="5" t="s">
        <v>85</v>
      </c>
      <c r="AC3548" s="5">
        <v>1</v>
      </c>
    </row>
    <row r="3549" spans="1:29" x14ac:dyDescent="0.3">
      <c r="A3549" s="34">
        <v>46274</v>
      </c>
      <c r="B3549" s="34">
        <v>46274</v>
      </c>
      <c r="C3549" s="5" t="s">
        <v>78</v>
      </c>
      <c r="D3549" s="5" t="s">
        <v>79</v>
      </c>
      <c r="E3549" s="5" t="s">
        <v>80</v>
      </c>
      <c r="F3549" s="5">
        <v>3694</v>
      </c>
      <c r="G3549" s="5" t="s">
        <v>10743</v>
      </c>
      <c r="H3549" s="5" t="s">
        <v>10744</v>
      </c>
      <c r="I3549" s="5" t="s">
        <v>212</v>
      </c>
      <c r="N3549" s="5" t="s">
        <v>10745</v>
      </c>
      <c r="O3549" s="5">
        <v>2794</v>
      </c>
      <c r="P3549" s="5">
        <v>2951</v>
      </c>
      <c r="Q3549" s="5">
        <v>2777.8</v>
      </c>
      <c r="R3549" s="5">
        <v>2916.4</v>
      </c>
      <c r="S3549" s="5">
        <v>2944.9</v>
      </c>
      <c r="T3549" s="5">
        <v>2793.7</v>
      </c>
      <c r="V3549" s="5">
        <v>2916.73</v>
      </c>
      <c r="Y3549" s="5">
        <v>163314</v>
      </c>
      <c r="Z3549" s="5">
        <v>473440295.60000002</v>
      </c>
      <c r="AA3549" s="5">
        <v>20499</v>
      </c>
      <c r="AB3549" s="5" t="s">
        <v>85</v>
      </c>
      <c r="AC3549" s="5">
        <v>1</v>
      </c>
    </row>
    <row r="3550" spans="1:29" x14ac:dyDescent="0.3">
      <c r="A3550" s="34">
        <v>46274</v>
      </c>
      <c r="B3550" s="34">
        <v>46274</v>
      </c>
      <c r="C3550" s="5" t="s">
        <v>78</v>
      </c>
      <c r="D3550" s="5" t="s">
        <v>79</v>
      </c>
      <c r="E3550" s="5" t="s">
        <v>80</v>
      </c>
      <c r="F3550" s="5">
        <v>3807</v>
      </c>
      <c r="G3550" s="5" t="s">
        <v>10746</v>
      </c>
      <c r="H3550" s="5" t="s">
        <v>10747</v>
      </c>
      <c r="I3550" s="5" t="s">
        <v>212</v>
      </c>
      <c r="N3550" s="5" t="s">
        <v>10748</v>
      </c>
      <c r="O3550" s="5">
        <v>37.9</v>
      </c>
      <c r="P3550" s="5">
        <v>38.78</v>
      </c>
      <c r="Q3550" s="5">
        <v>36.880000000000003</v>
      </c>
      <c r="R3550" s="5">
        <v>37.14</v>
      </c>
      <c r="S3550" s="5">
        <v>37.39</v>
      </c>
      <c r="T3550" s="5">
        <v>36.94</v>
      </c>
      <c r="V3550" s="5">
        <v>37.14</v>
      </c>
      <c r="Y3550" s="5">
        <v>73018</v>
      </c>
      <c r="Z3550" s="5">
        <v>2753067.92</v>
      </c>
      <c r="AA3550" s="5">
        <v>673</v>
      </c>
      <c r="AB3550" s="5" t="s">
        <v>85</v>
      </c>
      <c r="AC3550" s="5">
        <v>1</v>
      </c>
    </row>
    <row r="3551" spans="1:29" x14ac:dyDescent="0.3">
      <c r="A3551" s="34">
        <v>46274</v>
      </c>
      <c r="B3551" s="34">
        <v>46274</v>
      </c>
      <c r="C3551" s="5" t="s">
        <v>78</v>
      </c>
      <c r="D3551" s="5" t="s">
        <v>79</v>
      </c>
      <c r="E3551" s="5" t="s">
        <v>80</v>
      </c>
      <c r="F3551" s="5">
        <v>763821</v>
      </c>
      <c r="G3551" s="5" t="s">
        <v>10749</v>
      </c>
      <c r="H3551" s="5" t="s">
        <v>10750</v>
      </c>
      <c r="I3551" s="5" t="s">
        <v>313</v>
      </c>
      <c r="N3551" s="5" t="s">
        <v>10751</v>
      </c>
      <c r="O3551" s="5">
        <v>52.05</v>
      </c>
      <c r="P3551" s="5">
        <v>55.5</v>
      </c>
      <c r="Q3551" s="5">
        <v>52</v>
      </c>
      <c r="R3551" s="5">
        <v>55.35</v>
      </c>
      <c r="S3551" s="5">
        <v>55.35</v>
      </c>
      <c r="T3551" s="5">
        <v>54</v>
      </c>
      <c r="V3551" s="5">
        <v>55.35</v>
      </c>
      <c r="Y3551" s="5">
        <v>17600</v>
      </c>
      <c r="Z3551" s="5">
        <v>936160</v>
      </c>
      <c r="AA3551" s="5">
        <v>22</v>
      </c>
      <c r="AB3551" s="5" t="s">
        <v>85</v>
      </c>
      <c r="AC3551" s="5">
        <v>800</v>
      </c>
    </row>
    <row r="3552" spans="1:29" x14ac:dyDescent="0.3">
      <c r="A3552" s="34">
        <v>46274</v>
      </c>
      <c r="B3552" s="34">
        <v>46274</v>
      </c>
      <c r="C3552" s="5" t="s">
        <v>78</v>
      </c>
      <c r="D3552" s="5" t="s">
        <v>79</v>
      </c>
      <c r="E3552" s="5" t="s">
        <v>80</v>
      </c>
      <c r="F3552" s="5">
        <v>12490</v>
      </c>
      <c r="G3552" s="5" t="s">
        <v>10752</v>
      </c>
      <c r="H3552" s="5" t="s">
        <v>10753</v>
      </c>
      <c r="I3552" s="5" t="s">
        <v>212</v>
      </c>
      <c r="N3552" s="5" t="s">
        <v>10754</v>
      </c>
      <c r="O3552" s="5">
        <v>1</v>
      </c>
      <c r="P3552" s="5">
        <v>1.02</v>
      </c>
      <c r="Q3552" s="5">
        <v>0.99</v>
      </c>
      <c r="R3552" s="5">
        <v>1</v>
      </c>
      <c r="S3552" s="5">
        <v>1.01</v>
      </c>
      <c r="T3552" s="5">
        <v>1</v>
      </c>
      <c r="V3552" s="5">
        <v>1.01</v>
      </c>
      <c r="Y3552" s="5">
        <v>234737</v>
      </c>
      <c r="Z3552" s="5">
        <v>236049</v>
      </c>
      <c r="AA3552" s="5">
        <v>188</v>
      </c>
      <c r="AB3552" s="5" t="s">
        <v>85</v>
      </c>
      <c r="AC3552" s="5">
        <v>1</v>
      </c>
    </row>
    <row r="3553" spans="1:29" x14ac:dyDescent="0.3">
      <c r="A3553" s="34">
        <v>46274</v>
      </c>
      <c r="B3553" s="34">
        <v>46274</v>
      </c>
      <c r="C3553" s="5" t="s">
        <v>78</v>
      </c>
      <c r="D3553" s="5" t="s">
        <v>79</v>
      </c>
      <c r="E3553" s="5" t="s">
        <v>80</v>
      </c>
      <c r="F3553" s="5">
        <v>17905</v>
      </c>
      <c r="G3553" s="5" t="s">
        <v>10755</v>
      </c>
      <c r="H3553" s="5" t="s">
        <v>10756</v>
      </c>
      <c r="I3553" s="5" t="s">
        <v>392</v>
      </c>
      <c r="N3553" s="5" t="s">
        <v>10757</v>
      </c>
      <c r="O3553" s="5">
        <v>593</v>
      </c>
      <c r="P3553" s="5">
        <v>593</v>
      </c>
      <c r="Q3553" s="5">
        <v>590</v>
      </c>
      <c r="R3553" s="5">
        <v>590</v>
      </c>
      <c r="S3553" s="5">
        <v>590</v>
      </c>
      <c r="T3553" s="5">
        <v>593.20000000000005</v>
      </c>
      <c r="V3553" s="5">
        <v>590</v>
      </c>
      <c r="Y3553" s="5">
        <v>1000</v>
      </c>
      <c r="Z3553" s="5">
        <v>591500</v>
      </c>
      <c r="AA3553" s="5">
        <v>4</v>
      </c>
      <c r="AB3553" s="5" t="s">
        <v>85</v>
      </c>
      <c r="AC3553" s="5">
        <v>250</v>
      </c>
    </row>
    <row r="3554" spans="1:29" x14ac:dyDescent="0.3">
      <c r="A3554" s="34">
        <v>46274</v>
      </c>
      <c r="B3554" s="34">
        <v>46274</v>
      </c>
      <c r="C3554" s="5" t="s">
        <v>78</v>
      </c>
      <c r="D3554" s="5" t="s">
        <v>79</v>
      </c>
      <c r="E3554" s="5" t="s">
        <v>80</v>
      </c>
      <c r="F3554" s="5">
        <v>25835</v>
      </c>
      <c r="G3554" s="5" t="s">
        <v>10758</v>
      </c>
      <c r="H3554" s="5" t="s">
        <v>10759</v>
      </c>
      <c r="I3554" s="5" t="s">
        <v>212</v>
      </c>
      <c r="N3554" s="5" t="s">
        <v>10760</v>
      </c>
      <c r="O3554" s="5">
        <v>177.9</v>
      </c>
      <c r="P3554" s="5">
        <v>179.7</v>
      </c>
      <c r="Q3554" s="5">
        <v>174.67</v>
      </c>
      <c r="R3554" s="5">
        <v>178.4</v>
      </c>
      <c r="S3554" s="5">
        <v>179</v>
      </c>
      <c r="T3554" s="5">
        <v>178.34</v>
      </c>
      <c r="V3554" s="5">
        <v>178.22</v>
      </c>
      <c r="Y3554" s="5">
        <v>2464634</v>
      </c>
      <c r="Z3554" s="5">
        <v>436377125.81</v>
      </c>
      <c r="AA3554" s="5">
        <v>17425</v>
      </c>
      <c r="AB3554" s="5" t="s">
        <v>85</v>
      </c>
      <c r="AC3554" s="5">
        <v>1</v>
      </c>
    </row>
    <row r="3555" spans="1:29" x14ac:dyDescent="0.3">
      <c r="A3555" s="34">
        <v>46274</v>
      </c>
      <c r="B3555" s="34">
        <v>46274</v>
      </c>
      <c r="C3555" s="5" t="s">
        <v>78</v>
      </c>
      <c r="D3555" s="5" t="s">
        <v>79</v>
      </c>
      <c r="E3555" s="5" t="s">
        <v>80</v>
      </c>
      <c r="F3555" s="5">
        <v>19206</v>
      </c>
      <c r="G3555" s="5" t="s">
        <v>10761</v>
      </c>
      <c r="H3555" s="5" t="s">
        <v>10762</v>
      </c>
      <c r="I3555" s="5" t="s">
        <v>313</v>
      </c>
      <c r="N3555" s="5" t="s">
        <v>10763</v>
      </c>
      <c r="O3555" s="5">
        <v>1587.5</v>
      </c>
      <c r="P3555" s="5">
        <v>1619.35</v>
      </c>
      <c r="Q3555" s="5">
        <v>1570.35</v>
      </c>
      <c r="R3555" s="5">
        <v>1592.45</v>
      </c>
      <c r="S3555" s="5">
        <v>1597.8</v>
      </c>
      <c r="T3555" s="5">
        <v>1587.5</v>
      </c>
      <c r="V3555" s="5">
        <v>1592.45</v>
      </c>
      <c r="Y3555" s="5">
        <v>8800</v>
      </c>
      <c r="Z3555" s="5">
        <v>13952620</v>
      </c>
      <c r="AA3555" s="5">
        <v>74</v>
      </c>
      <c r="AB3555" s="5" t="s">
        <v>85</v>
      </c>
      <c r="AC3555" s="5">
        <v>100</v>
      </c>
    </row>
    <row r="3556" spans="1:29" x14ac:dyDescent="0.3">
      <c r="A3556" s="34">
        <v>46274</v>
      </c>
      <c r="B3556" s="34">
        <v>46274</v>
      </c>
      <c r="C3556" s="5" t="s">
        <v>78</v>
      </c>
      <c r="D3556" s="5" t="s">
        <v>79</v>
      </c>
      <c r="E3556" s="5" t="s">
        <v>80</v>
      </c>
      <c r="F3556" s="5">
        <v>16821</v>
      </c>
      <c r="G3556" s="5" t="s">
        <v>10764</v>
      </c>
      <c r="H3556" s="5" t="s">
        <v>10765</v>
      </c>
      <c r="I3556" s="5" t="s">
        <v>212</v>
      </c>
      <c r="N3556" s="5" t="s">
        <v>10766</v>
      </c>
      <c r="O3556" s="5">
        <v>227</v>
      </c>
      <c r="P3556" s="5">
        <v>228</v>
      </c>
      <c r="Q3556" s="5">
        <v>222</v>
      </c>
      <c r="R3556" s="5">
        <v>222.62</v>
      </c>
      <c r="S3556" s="5">
        <v>222.15</v>
      </c>
      <c r="T3556" s="5">
        <v>224.57</v>
      </c>
      <c r="V3556" s="5">
        <v>222.71</v>
      </c>
      <c r="Y3556" s="5">
        <v>5240</v>
      </c>
      <c r="Z3556" s="5">
        <v>1174821.92</v>
      </c>
      <c r="AA3556" s="5">
        <v>322</v>
      </c>
      <c r="AB3556" s="5" t="s">
        <v>85</v>
      </c>
      <c r="AC3556" s="5">
        <v>1</v>
      </c>
    </row>
    <row r="3557" spans="1:29" x14ac:dyDescent="0.3">
      <c r="A3557" s="34">
        <v>46274</v>
      </c>
      <c r="B3557" s="34">
        <v>46274</v>
      </c>
      <c r="C3557" s="5" t="s">
        <v>78</v>
      </c>
      <c r="D3557" s="5" t="s">
        <v>79</v>
      </c>
      <c r="E3557" s="5" t="s">
        <v>80</v>
      </c>
      <c r="F3557" s="5">
        <v>14843</v>
      </c>
      <c r="G3557" s="5" t="s">
        <v>10767</v>
      </c>
      <c r="H3557" s="5" t="s">
        <v>10768</v>
      </c>
      <c r="I3557" s="5" t="s">
        <v>212</v>
      </c>
      <c r="N3557" s="5" t="s">
        <v>10769</v>
      </c>
      <c r="O3557" s="5">
        <v>20.5</v>
      </c>
      <c r="P3557" s="5">
        <v>22</v>
      </c>
      <c r="Q3557" s="5">
        <v>20.5</v>
      </c>
      <c r="R3557" s="5">
        <v>21.47</v>
      </c>
      <c r="S3557" s="5">
        <v>21.55</v>
      </c>
      <c r="T3557" s="5">
        <v>20.260000000000002</v>
      </c>
      <c r="V3557" s="5">
        <v>21.47</v>
      </c>
      <c r="Y3557" s="5">
        <v>204395</v>
      </c>
      <c r="Z3557" s="5">
        <v>4306341.17</v>
      </c>
      <c r="AA3557" s="5">
        <v>975</v>
      </c>
      <c r="AB3557" s="5" t="s">
        <v>85</v>
      </c>
      <c r="AC3557" s="5">
        <v>1</v>
      </c>
    </row>
    <row r="3558" spans="1:29" x14ac:dyDescent="0.3">
      <c r="A3558" s="34">
        <v>46274</v>
      </c>
      <c r="B3558" s="34">
        <v>46274</v>
      </c>
      <c r="C3558" s="5" t="s">
        <v>78</v>
      </c>
      <c r="D3558" s="5" t="s">
        <v>79</v>
      </c>
      <c r="E3558" s="5" t="s">
        <v>80</v>
      </c>
      <c r="F3558" s="5">
        <v>3703</v>
      </c>
      <c r="G3558" s="5" t="s">
        <v>10770</v>
      </c>
      <c r="H3558" s="5" t="s">
        <v>10771</v>
      </c>
      <c r="I3558" s="5" t="s">
        <v>212</v>
      </c>
      <c r="N3558" s="5" t="s">
        <v>10772</v>
      </c>
      <c r="O3558" s="5">
        <v>308.2</v>
      </c>
      <c r="P3558" s="5">
        <v>311.95</v>
      </c>
      <c r="Q3558" s="5">
        <v>303.5</v>
      </c>
      <c r="R3558" s="5">
        <v>305</v>
      </c>
      <c r="S3558" s="5">
        <v>305.14999999999998</v>
      </c>
      <c r="T3558" s="5">
        <v>309.60000000000002</v>
      </c>
      <c r="V3558" s="5">
        <v>305.04000000000002</v>
      </c>
      <c r="Y3558" s="5">
        <v>340693</v>
      </c>
      <c r="Z3558" s="5">
        <v>104506566.95</v>
      </c>
      <c r="AA3558" s="5">
        <v>9247</v>
      </c>
      <c r="AB3558" s="5" t="s">
        <v>85</v>
      </c>
      <c r="AC3558" s="5">
        <v>1</v>
      </c>
    </row>
    <row r="3559" spans="1:29" x14ac:dyDescent="0.3">
      <c r="A3559" s="34">
        <v>46274</v>
      </c>
      <c r="B3559" s="34">
        <v>46274</v>
      </c>
      <c r="C3559" s="5" t="s">
        <v>78</v>
      </c>
      <c r="D3559" s="5" t="s">
        <v>79</v>
      </c>
      <c r="E3559" s="5" t="s">
        <v>80</v>
      </c>
      <c r="F3559" s="5">
        <v>8437</v>
      </c>
      <c r="G3559" s="5" t="s">
        <v>10773</v>
      </c>
      <c r="H3559" s="5" t="s">
        <v>10774</v>
      </c>
      <c r="I3559" s="5" t="s">
        <v>234</v>
      </c>
      <c r="N3559" s="5" t="s">
        <v>10775</v>
      </c>
      <c r="O3559" s="5">
        <v>13.5</v>
      </c>
      <c r="P3559" s="5">
        <v>13.51</v>
      </c>
      <c r="Q3559" s="5">
        <v>13.5</v>
      </c>
      <c r="R3559" s="5">
        <v>13.5</v>
      </c>
      <c r="S3559" s="5">
        <v>13.5</v>
      </c>
      <c r="T3559" s="5">
        <v>13.44</v>
      </c>
      <c r="V3559" s="5">
        <v>14.34</v>
      </c>
      <c r="Y3559" s="5">
        <v>386770</v>
      </c>
      <c r="Z3559" s="5">
        <v>5224573.1399999997</v>
      </c>
      <c r="AA3559" s="5">
        <v>183</v>
      </c>
      <c r="AB3559" s="5" t="s">
        <v>85</v>
      </c>
      <c r="AC3559" s="5">
        <v>1</v>
      </c>
    </row>
    <row r="3560" spans="1:29" x14ac:dyDescent="0.3">
      <c r="A3560" s="34">
        <v>46274</v>
      </c>
      <c r="B3560" s="34">
        <v>46274</v>
      </c>
      <c r="C3560" s="5" t="s">
        <v>78</v>
      </c>
      <c r="D3560" s="5" t="s">
        <v>79</v>
      </c>
      <c r="E3560" s="5" t="s">
        <v>80</v>
      </c>
      <c r="F3560" s="5">
        <v>764990</v>
      </c>
      <c r="G3560" s="5" t="s">
        <v>10776</v>
      </c>
      <c r="H3560" s="5" t="s">
        <v>10777</v>
      </c>
      <c r="I3560" s="5" t="s">
        <v>212</v>
      </c>
      <c r="N3560" s="5" t="s">
        <v>10778</v>
      </c>
      <c r="O3560" s="5">
        <v>436.2</v>
      </c>
      <c r="P3560" s="5">
        <v>469.75</v>
      </c>
      <c r="Q3560" s="5">
        <v>436.2</v>
      </c>
      <c r="R3560" s="5">
        <v>450.2</v>
      </c>
      <c r="S3560" s="5">
        <v>450</v>
      </c>
      <c r="T3560" s="5">
        <v>460.35</v>
      </c>
      <c r="V3560" s="5">
        <v>449.56</v>
      </c>
      <c r="Y3560" s="5">
        <v>6736</v>
      </c>
      <c r="Z3560" s="5">
        <v>3043121.7</v>
      </c>
      <c r="AA3560" s="5">
        <v>369</v>
      </c>
      <c r="AB3560" s="5" t="s">
        <v>85</v>
      </c>
      <c r="AC3560" s="5">
        <v>1</v>
      </c>
    </row>
    <row r="3561" spans="1:29" x14ac:dyDescent="0.3">
      <c r="A3561" s="34">
        <v>46274</v>
      </c>
      <c r="B3561" s="34">
        <v>46274</v>
      </c>
      <c r="C3561" s="5" t="s">
        <v>78</v>
      </c>
      <c r="D3561" s="5" t="s">
        <v>79</v>
      </c>
      <c r="E3561" s="5" t="s">
        <v>80</v>
      </c>
      <c r="F3561" s="5">
        <v>15295</v>
      </c>
      <c r="G3561" s="5" t="s">
        <v>10779</v>
      </c>
      <c r="H3561" s="5" t="s">
        <v>10780</v>
      </c>
      <c r="I3561" s="5" t="s">
        <v>212</v>
      </c>
      <c r="N3561" s="5" t="s">
        <v>10781</v>
      </c>
      <c r="O3561" s="5">
        <v>14.36</v>
      </c>
      <c r="P3561" s="5">
        <v>14.36</v>
      </c>
      <c r="Q3561" s="5">
        <v>14</v>
      </c>
      <c r="R3561" s="5">
        <v>14.17</v>
      </c>
      <c r="S3561" s="5">
        <v>14.13</v>
      </c>
      <c r="T3561" s="5">
        <v>14.05</v>
      </c>
      <c r="V3561" s="5">
        <v>14.17</v>
      </c>
      <c r="Y3561" s="5">
        <v>36907</v>
      </c>
      <c r="Z3561" s="5">
        <v>523043.1</v>
      </c>
      <c r="AA3561" s="5">
        <v>176</v>
      </c>
      <c r="AB3561" s="5" t="s">
        <v>85</v>
      </c>
      <c r="AC3561" s="5">
        <v>1</v>
      </c>
    </row>
    <row r="3562" spans="1:29" x14ac:dyDescent="0.3">
      <c r="A3562" s="34">
        <v>46274</v>
      </c>
      <c r="B3562" s="34">
        <v>46274</v>
      </c>
      <c r="C3562" s="5" t="s">
        <v>78</v>
      </c>
      <c r="D3562" s="5" t="s">
        <v>79</v>
      </c>
      <c r="E3562" s="5" t="s">
        <v>80</v>
      </c>
      <c r="F3562" s="5">
        <v>757060</v>
      </c>
      <c r="G3562" s="5" t="s">
        <v>10782</v>
      </c>
      <c r="H3562" s="5" t="s">
        <v>10783</v>
      </c>
      <c r="I3562" s="5" t="s">
        <v>313</v>
      </c>
      <c r="N3562" s="5" t="s">
        <v>10784</v>
      </c>
      <c r="O3562" s="5">
        <v>141.5</v>
      </c>
      <c r="P3562" s="5">
        <v>148.5</v>
      </c>
      <c r="Q3562" s="5">
        <v>140.15</v>
      </c>
      <c r="R3562" s="5">
        <v>146.15</v>
      </c>
      <c r="S3562" s="5">
        <v>146.15</v>
      </c>
      <c r="T3562" s="5">
        <v>141.69999999999999</v>
      </c>
      <c r="V3562" s="5">
        <v>146.15</v>
      </c>
      <c r="Y3562" s="5">
        <v>44000</v>
      </c>
      <c r="Z3562" s="5">
        <v>6416450</v>
      </c>
      <c r="AA3562" s="5">
        <v>42</v>
      </c>
      <c r="AB3562" s="5" t="s">
        <v>85</v>
      </c>
      <c r="AC3562" s="5">
        <v>1000</v>
      </c>
    </row>
    <row r="3563" spans="1:29" x14ac:dyDescent="0.3">
      <c r="A3563" s="34">
        <v>46274</v>
      </c>
      <c r="B3563" s="34">
        <v>46274</v>
      </c>
      <c r="C3563" s="5" t="s">
        <v>78</v>
      </c>
      <c r="D3563" s="5" t="s">
        <v>79</v>
      </c>
      <c r="E3563" s="5" t="s">
        <v>80</v>
      </c>
      <c r="F3563" s="5">
        <v>765218</v>
      </c>
      <c r="G3563" s="5" t="s">
        <v>10785</v>
      </c>
      <c r="H3563" s="5" t="s">
        <v>10786</v>
      </c>
      <c r="I3563" s="5" t="s">
        <v>234</v>
      </c>
      <c r="N3563" s="5" t="s">
        <v>10787</v>
      </c>
      <c r="O3563" s="5">
        <v>0.46</v>
      </c>
      <c r="P3563" s="5">
        <v>0.46</v>
      </c>
      <c r="Q3563" s="5">
        <v>0.44</v>
      </c>
      <c r="R3563" s="5">
        <v>0.44</v>
      </c>
      <c r="S3563" s="5">
        <v>0.45</v>
      </c>
      <c r="T3563" s="5">
        <v>0.46</v>
      </c>
      <c r="V3563" s="5">
        <v>0.44</v>
      </c>
      <c r="Y3563" s="5">
        <v>187434</v>
      </c>
      <c r="Z3563" s="5">
        <v>84092.42</v>
      </c>
      <c r="AA3563" s="5">
        <v>167</v>
      </c>
      <c r="AB3563" s="5" t="s">
        <v>85</v>
      </c>
      <c r="AC3563" s="5">
        <v>1</v>
      </c>
    </row>
    <row r="3564" spans="1:29" x14ac:dyDescent="0.3">
      <c r="A3564" s="34">
        <v>46274</v>
      </c>
      <c r="B3564" s="34">
        <v>46274</v>
      </c>
      <c r="C3564" s="5" t="s">
        <v>78</v>
      </c>
      <c r="D3564" s="5" t="s">
        <v>79</v>
      </c>
      <c r="E3564" s="5" t="s">
        <v>80</v>
      </c>
      <c r="F3564" s="5">
        <v>761916</v>
      </c>
      <c r="G3564" s="5" t="s">
        <v>10788</v>
      </c>
      <c r="H3564" s="5" t="s">
        <v>10789</v>
      </c>
      <c r="I3564" s="5" t="s">
        <v>212</v>
      </c>
      <c r="N3564" s="5" t="s">
        <v>10790</v>
      </c>
      <c r="O3564" s="5">
        <v>549.70000000000005</v>
      </c>
      <c r="P3564" s="5">
        <v>558.20000000000005</v>
      </c>
      <c r="Q3564" s="5">
        <v>531.70000000000005</v>
      </c>
      <c r="R3564" s="5">
        <v>552.45000000000005</v>
      </c>
      <c r="S3564" s="5">
        <v>553.4</v>
      </c>
      <c r="T3564" s="5">
        <v>549.70000000000005</v>
      </c>
      <c r="V3564" s="5">
        <v>552.46</v>
      </c>
      <c r="Y3564" s="5">
        <v>107371</v>
      </c>
      <c r="Z3564" s="5">
        <v>58413038.75</v>
      </c>
      <c r="AA3564" s="5">
        <v>5317</v>
      </c>
      <c r="AB3564" s="5" t="s">
        <v>85</v>
      </c>
      <c r="AC3564" s="5">
        <v>1</v>
      </c>
    </row>
    <row r="3565" spans="1:29" x14ac:dyDescent="0.3">
      <c r="A3565" s="34">
        <v>46274</v>
      </c>
      <c r="B3565" s="34">
        <v>46274</v>
      </c>
      <c r="C3565" s="5" t="s">
        <v>78</v>
      </c>
      <c r="D3565" s="5" t="s">
        <v>79</v>
      </c>
      <c r="E3565" s="5" t="s">
        <v>80</v>
      </c>
      <c r="F3565" s="5">
        <v>13295</v>
      </c>
      <c r="G3565" s="5" t="s">
        <v>10791</v>
      </c>
      <c r="H3565" s="5" t="s">
        <v>10792</v>
      </c>
      <c r="I3565" s="5" t="s">
        <v>212</v>
      </c>
      <c r="N3565" s="5" t="s">
        <v>10793</v>
      </c>
      <c r="O3565" s="5">
        <v>37.89</v>
      </c>
      <c r="P3565" s="5">
        <v>38.450000000000003</v>
      </c>
      <c r="Q3565" s="5">
        <v>35.090000000000003</v>
      </c>
      <c r="R3565" s="5">
        <v>35.090000000000003</v>
      </c>
      <c r="S3565" s="5">
        <v>35.090000000000003</v>
      </c>
      <c r="T3565" s="5">
        <v>36.93</v>
      </c>
      <c r="V3565" s="5">
        <v>35.090000000000003</v>
      </c>
      <c r="Y3565" s="5">
        <v>102411</v>
      </c>
      <c r="Z3565" s="5">
        <v>3636205.06</v>
      </c>
      <c r="AA3565" s="5">
        <v>497</v>
      </c>
      <c r="AB3565" s="5" t="s">
        <v>85</v>
      </c>
      <c r="AC3565" s="5">
        <v>1</v>
      </c>
    </row>
    <row r="3566" spans="1:29" x14ac:dyDescent="0.3">
      <c r="A3566" s="34">
        <v>46274</v>
      </c>
      <c r="B3566" s="34">
        <v>46274</v>
      </c>
      <c r="C3566" s="5" t="s">
        <v>78</v>
      </c>
      <c r="D3566" s="5" t="s">
        <v>79</v>
      </c>
      <c r="E3566" s="5" t="s">
        <v>80</v>
      </c>
      <c r="F3566" s="5">
        <v>29877</v>
      </c>
      <c r="G3566" s="5" t="s">
        <v>10794</v>
      </c>
      <c r="H3566" s="5" t="s">
        <v>10795</v>
      </c>
      <c r="I3566" s="5" t="s">
        <v>212</v>
      </c>
      <c r="N3566" s="5" t="s">
        <v>10796</v>
      </c>
      <c r="O3566" s="5">
        <v>0.51</v>
      </c>
      <c r="P3566" s="5">
        <v>0.54</v>
      </c>
      <c r="Q3566" s="5">
        <v>0.51</v>
      </c>
      <c r="R3566" s="5">
        <v>0.52</v>
      </c>
      <c r="S3566" s="5">
        <v>0.53</v>
      </c>
      <c r="T3566" s="5">
        <v>0.52</v>
      </c>
      <c r="V3566" s="5">
        <v>0.52</v>
      </c>
      <c r="Y3566" s="5">
        <v>132103</v>
      </c>
      <c r="Z3566" s="5">
        <v>69321.45</v>
      </c>
      <c r="AA3566" s="5">
        <v>137</v>
      </c>
      <c r="AB3566" s="5" t="s">
        <v>85</v>
      </c>
      <c r="AC3566" s="5">
        <v>1</v>
      </c>
    </row>
    <row r="3567" spans="1:29" x14ac:dyDescent="0.3">
      <c r="A3567" s="34">
        <v>46274</v>
      </c>
      <c r="B3567" s="34">
        <v>46274</v>
      </c>
      <c r="C3567" s="5" t="s">
        <v>78</v>
      </c>
      <c r="D3567" s="5" t="s">
        <v>79</v>
      </c>
      <c r="E3567" s="5" t="s">
        <v>80</v>
      </c>
      <c r="F3567" s="5">
        <v>4221</v>
      </c>
      <c r="G3567" s="5" t="s">
        <v>10797</v>
      </c>
      <c r="H3567" s="5" t="s">
        <v>10798</v>
      </c>
      <c r="I3567" s="5" t="s">
        <v>212</v>
      </c>
      <c r="N3567" s="5" t="s">
        <v>10799</v>
      </c>
      <c r="O3567" s="5">
        <v>93.1</v>
      </c>
      <c r="P3567" s="5">
        <v>93.1</v>
      </c>
      <c r="Q3567" s="5">
        <v>91.35</v>
      </c>
      <c r="R3567" s="5">
        <v>91.99</v>
      </c>
      <c r="S3567" s="5">
        <v>91.5</v>
      </c>
      <c r="T3567" s="5">
        <v>93.12</v>
      </c>
      <c r="V3567" s="5">
        <v>91.98</v>
      </c>
      <c r="Y3567" s="5">
        <v>143775</v>
      </c>
      <c r="Z3567" s="5">
        <v>13235188.02</v>
      </c>
      <c r="AA3567" s="5">
        <v>2474</v>
      </c>
      <c r="AB3567" s="5" t="s">
        <v>85</v>
      </c>
      <c r="AC3567" s="5">
        <v>1</v>
      </c>
    </row>
    <row r="3568" spans="1:29" x14ac:dyDescent="0.3">
      <c r="A3568" s="34">
        <v>46274</v>
      </c>
      <c r="B3568" s="34">
        <v>46274</v>
      </c>
      <c r="C3568" s="5" t="s">
        <v>78</v>
      </c>
      <c r="D3568" s="5" t="s">
        <v>79</v>
      </c>
      <c r="E3568" s="5" t="s">
        <v>80</v>
      </c>
      <c r="F3568" s="5">
        <v>24274</v>
      </c>
      <c r="G3568" s="5" t="s">
        <v>10800</v>
      </c>
      <c r="H3568" s="5" t="s">
        <v>10801</v>
      </c>
      <c r="I3568" s="5" t="s">
        <v>313</v>
      </c>
      <c r="N3568" s="5" t="s">
        <v>10802</v>
      </c>
      <c r="O3568" s="5">
        <v>52.7</v>
      </c>
      <c r="P3568" s="5">
        <v>52.7</v>
      </c>
      <c r="Q3568" s="5">
        <v>52.7</v>
      </c>
      <c r="R3568" s="5">
        <v>52.7</v>
      </c>
      <c r="S3568" s="5">
        <v>52.7</v>
      </c>
      <c r="T3568" s="5">
        <v>55.45</v>
      </c>
      <c r="V3568" s="5">
        <v>52.7</v>
      </c>
      <c r="Y3568" s="5">
        <v>4000</v>
      </c>
      <c r="Z3568" s="5">
        <v>210800</v>
      </c>
      <c r="AA3568" s="5">
        <v>3</v>
      </c>
      <c r="AB3568" s="5" t="s">
        <v>85</v>
      </c>
      <c r="AC3568" s="5">
        <v>1000</v>
      </c>
    </row>
    <row r="3569" spans="1:29" x14ac:dyDescent="0.3">
      <c r="A3569" s="34">
        <v>46274</v>
      </c>
      <c r="B3569" s="34">
        <v>46274</v>
      </c>
      <c r="C3569" s="5" t="s">
        <v>78</v>
      </c>
      <c r="D3569" s="5" t="s">
        <v>79</v>
      </c>
      <c r="E3569" s="5" t="s">
        <v>80</v>
      </c>
      <c r="F3569" s="5">
        <v>18708</v>
      </c>
      <c r="G3569" s="5" t="s">
        <v>10803</v>
      </c>
      <c r="H3569" s="5" t="s">
        <v>10804</v>
      </c>
      <c r="I3569" s="5" t="s">
        <v>313</v>
      </c>
      <c r="N3569" s="5" t="s">
        <v>10805</v>
      </c>
      <c r="O3569" s="5">
        <v>98</v>
      </c>
      <c r="P3569" s="5">
        <v>98</v>
      </c>
      <c r="Q3569" s="5">
        <v>98</v>
      </c>
      <c r="R3569" s="5">
        <v>98</v>
      </c>
      <c r="S3569" s="5">
        <v>98</v>
      </c>
      <c r="T3569" s="5">
        <v>98</v>
      </c>
      <c r="V3569" s="5">
        <v>98</v>
      </c>
      <c r="Y3569" s="5">
        <v>1200</v>
      </c>
      <c r="Z3569" s="5">
        <v>117600</v>
      </c>
      <c r="AA3569" s="5">
        <v>1</v>
      </c>
      <c r="AB3569" s="5" t="s">
        <v>85</v>
      </c>
      <c r="AC3569" s="5">
        <v>1200</v>
      </c>
    </row>
    <row r="3570" spans="1:29" x14ac:dyDescent="0.3">
      <c r="A3570" s="34">
        <v>46274</v>
      </c>
      <c r="B3570" s="34">
        <v>46274</v>
      </c>
      <c r="C3570" s="5" t="s">
        <v>78</v>
      </c>
      <c r="D3570" s="5" t="s">
        <v>79</v>
      </c>
      <c r="E3570" s="5" t="s">
        <v>80</v>
      </c>
      <c r="F3570" s="5">
        <v>11773</v>
      </c>
      <c r="G3570" s="5" t="s">
        <v>10806</v>
      </c>
      <c r="H3570" s="5" t="s">
        <v>10807</v>
      </c>
      <c r="I3570" s="5" t="s">
        <v>212</v>
      </c>
      <c r="N3570" s="5" t="s">
        <v>10808</v>
      </c>
      <c r="O3570" s="5">
        <v>18.8</v>
      </c>
      <c r="P3570" s="5">
        <v>18.8</v>
      </c>
      <c r="Q3570" s="5">
        <v>18.11</v>
      </c>
      <c r="R3570" s="5">
        <v>18.21</v>
      </c>
      <c r="S3570" s="5">
        <v>18.25</v>
      </c>
      <c r="T3570" s="5">
        <v>18.39</v>
      </c>
      <c r="V3570" s="5">
        <v>18.27</v>
      </c>
      <c r="Y3570" s="5">
        <v>21745</v>
      </c>
      <c r="Z3570" s="5">
        <v>398779.27</v>
      </c>
      <c r="AA3570" s="5">
        <v>155</v>
      </c>
      <c r="AB3570" s="5" t="s">
        <v>85</v>
      </c>
      <c r="AC3570" s="5">
        <v>1</v>
      </c>
    </row>
    <row r="3571" spans="1:29" x14ac:dyDescent="0.3">
      <c r="A3571" s="34">
        <v>46274</v>
      </c>
      <c r="B3571" s="34">
        <v>46274</v>
      </c>
      <c r="C3571" s="5" t="s">
        <v>78</v>
      </c>
      <c r="D3571" s="5" t="s">
        <v>79</v>
      </c>
      <c r="E3571" s="5" t="s">
        <v>80</v>
      </c>
      <c r="F3571" s="5">
        <v>27969</v>
      </c>
      <c r="G3571" s="5" t="s">
        <v>10809</v>
      </c>
      <c r="H3571" s="5" t="s">
        <v>10810</v>
      </c>
      <c r="I3571" s="5" t="s">
        <v>212</v>
      </c>
      <c r="N3571" s="5" t="s">
        <v>10811</v>
      </c>
      <c r="O3571" s="5">
        <v>103.99</v>
      </c>
      <c r="P3571" s="5">
        <v>103.99</v>
      </c>
      <c r="Q3571" s="5">
        <v>102.52</v>
      </c>
      <c r="R3571" s="5">
        <v>103.18</v>
      </c>
      <c r="S3571" s="5">
        <v>103.18</v>
      </c>
      <c r="T3571" s="5">
        <v>103.9</v>
      </c>
      <c r="V3571" s="5">
        <v>103.19</v>
      </c>
      <c r="Y3571" s="5">
        <v>6949596</v>
      </c>
      <c r="Z3571" s="5">
        <v>716584895.51999998</v>
      </c>
      <c r="AA3571" s="5">
        <v>28273</v>
      </c>
      <c r="AB3571" s="5" t="s">
        <v>85</v>
      </c>
      <c r="AC3571" s="5">
        <v>1</v>
      </c>
    </row>
    <row r="3572" spans="1:29" x14ac:dyDescent="0.3">
      <c r="A3572" s="34">
        <v>46274</v>
      </c>
      <c r="B3572" s="34">
        <v>46274</v>
      </c>
      <c r="C3572" s="5" t="s">
        <v>78</v>
      </c>
      <c r="D3572" s="5" t="s">
        <v>79</v>
      </c>
      <c r="E3572" s="5" t="s">
        <v>80</v>
      </c>
      <c r="F3572" s="5">
        <v>6908</v>
      </c>
      <c r="G3572" s="5" t="s">
        <v>10812</v>
      </c>
      <c r="H3572" s="5" t="s">
        <v>10813</v>
      </c>
      <c r="I3572" s="5" t="s">
        <v>212</v>
      </c>
      <c r="N3572" s="5" t="s">
        <v>10814</v>
      </c>
      <c r="O3572" s="5">
        <v>740.8</v>
      </c>
      <c r="P3572" s="5">
        <v>741</v>
      </c>
      <c r="Q3572" s="5">
        <v>704.25</v>
      </c>
      <c r="R3572" s="5">
        <v>709.05</v>
      </c>
      <c r="S3572" s="5">
        <v>708.8</v>
      </c>
      <c r="T3572" s="5">
        <v>731.55</v>
      </c>
      <c r="V3572" s="5">
        <v>709.06</v>
      </c>
      <c r="Y3572" s="5">
        <v>181853</v>
      </c>
      <c r="Z3572" s="5">
        <v>130784926.25</v>
      </c>
      <c r="AA3572" s="5">
        <v>9713</v>
      </c>
      <c r="AB3572" s="5" t="s">
        <v>85</v>
      </c>
      <c r="AC3572" s="5">
        <v>1</v>
      </c>
    </row>
    <row r="3573" spans="1:29" x14ac:dyDescent="0.3">
      <c r="A3573" s="34">
        <v>46274</v>
      </c>
      <c r="B3573" s="34">
        <v>46274</v>
      </c>
      <c r="C3573" s="5" t="s">
        <v>78</v>
      </c>
      <c r="D3573" s="5" t="s">
        <v>79</v>
      </c>
      <c r="E3573" s="5" t="s">
        <v>80</v>
      </c>
      <c r="F3573" s="5">
        <v>18341</v>
      </c>
      <c r="G3573" s="5" t="s">
        <v>10815</v>
      </c>
      <c r="H3573" s="5" t="s">
        <v>10816</v>
      </c>
      <c r="I3573" s="5" t="s">
        <v>212</v>
      </c>
      <c r="N3573" s="5" t="s">
        <v>10817</v>
      </c>
      <c r="O3573" s="5">
        <v>37.700000000000003</v>
      </c>
      <c r="P3573" s="5">
        <v>37.700000000000003</v>
      </c>
      <c r="Q3573" s="5">
        <v>34.85</v>
      </c>
      <c r="R3573" s="5">
        <v>35.11</v>
      </c>
      <c r="S3573" s="5">
        <v>35</v>
      </c>
      <c r="T3573" s="5">
        <v>36.35</v>
      </c>
      <c r="V3573" s="5">
        <v>35.11</v>
      </c>
      <c r="Y3573" s="5">
        <v>814216</v>
      </c>
      <c r="Z3573" s="5">
        <v>29337462.530000001</v>
      </c>
      <c r="AA3573" s="5">
        <v>5101</v>
      </c>
      <c r="AB3573" s="5" t="s">
        <v>85</v>
      </c>
      <c r="AC3573" s="5">
        <v>1</v>
      </c>
    </row>
    <row r="3574" spans="1:29" x14ac:dyDescent="0.3">
      <c r="A3574" s="34">
        <v>46274</v>
      </c>
      <c r="B3574" s="34">
        <v>46274</v>
      </c>
      <c r="C3574" s="5" t="s">
        <v>78</v>
      </c>
      <c r="D3574" s="5" t="s">
        <v>79</v>
      </c>
      <c r="E3574" s="5" t="s">
        <v>80</v>
      </c>
      <c r="F3574" s="5">
        <v>19300</v>
      </c>
      <c r="G3574" s="5" t="s">
        <v>10818</v>
      </c>
      <c r="H3574" s="5" t="s">
        <v>10819</v>
      </c>
      <c r="I3574" s="5" t="s">
        <v>313</v>
      </c>
      <c r="N3574" s="5" t="s">
        <v>10820</v>
      </c>
      <c r="O3574" s="5">
        <v>155.9</v>
      </c>
      <c r="P3574" s="5">
        <v>155.9</v>
      </c>
      <c r="Q3574" s="5">
        <v>150</v>
      </c>
      <c r="R3574" s="5">
        <v>151.4</v>
      </c>
      <c r="S3574" s="5">
        <v>152</v>
      </c>
      <c r="T3574" s="5">
        <v>155</v>
      </c>
      <c r="V3574" s="5">
        <v>151.4</v>
      </c>
      <c r="Y3574" s="5">
        <v>35000</v>
      </c>
      <c r="Z3574" s="5">
        <v>5322350</v>
      </c>
      <c r="AA3574" s="5">
        <v>41</v>
      </c>
      <c r="AB3574" s="5" t="s">
        <v>85</v>
      </c>
      <c r="AC3574" s="5">
        <v>500</v>
      </c>
    </row>
    <row r="3575" spans="1:29" x14ac:dyDescent="0.3">
      <c r="A3575" s="34">
        <v>46274</v>
      </c>
      <c r="B3575" s="34">
        <v>46274</v>
      </c>
      <c r="C3575" s="5" t="s">
        <v>78</v>
      </c>
      <c r="D3575" s="5" t="s">
        <v>79</v>
      </c>
      <c r="E3575" s="5" t="s">
        <v>80</v>
      </c>
      <c r="F3575" s="5">
        <v>13702</v>
      </c>
      <c r="G3575" s="5" t="s">
        <v>10821</v>
      </c>
      <c r="H3575" s="5" t="s">
        <v>10822</v>
      </c>
      <c r="I3575" s="5" t="s">
        <v>212</v>
      </c>
      <c r="N3575" s="5" t="s">
        <v>10823</v>
      </c>
      <c r="O3575" s="5">
        <v>5.94</v>
      </c>
      <c r="P3575" s="5">
        <v>5.94</v>
      </c>
      <c r="Q3575" s="5">
        <v>5.62</v>
      </c>
      <c r="R3575" s="5">
        <v>5.66</v>
      </c>
      <c r="S3575" s="5">
        <v>5.68</v>
      </c>
      <c r="T3575" s="5">
        <v>5.86</v>
      </c>
      <c r="V3575" s="5">
        <v>5.66</v>
      </c>
      <c r="Y3575" s="5">
        <v>406094</v>
      </c>
      <c r="Z3575" s="5">
        <v>2330620.4300000002</v>
      </c>
      <c r="AA3575" s="5">
        <v>787</v>
      </c>
      <c r="AB3575" s="5" t="s">
        <v>85</v>
      </c>
      <c r="AC3575" s="5">
        <v>1</v>
      </c>
    </row>
    <row r="3576" spans="1:29" x14ac:dyDescent="0.3">
      <c r="A3576" s="34">
        <v>46274</v>
      </c>
      <c r="B3576" s="34">
        <v>46274</v>
      </c>
      <c r="C3576" s="5" t="s">
        <v>78</v>
      </c>
      <c r="D3576" s="5" t="s">
        <v>79</v>
      </c>
      <c r="E3576" s="5" t="s">
        <v>80</v>
      </c>
      <c r="F3576" s="5">
        <v>25231</v>
      </c>
      <c r="G3576" s="5" t="s">
        <v>10824</v>
      </c>
      <c r="H3576" s="5" t="s">
        <v>10825</v>
      </c>
      <c r="I3576" s="5" t="s">
        <v>313</v>
      </c>
      <c r="N3576" s="5" t="s">
        <v>10826</v>
      </c>
      <c r="O3576" s="5">
        <v>397.6</v>
      </c>
      <c r="P3576" s="5">
        <v>411</v>
      </c>
      <c r="Q3576" s="5">
        <v>395</v>
      </c>
      <c r="R3576" s="5">
        <v>399.15</v>
      </c>
      <c r="S3576" s="5">
        <v>395</v>
      </c>
      <c r="T3576" s="5">
        <v>397.6</v>
      </c>
      <c r="V3576" s="5">
        <v>399.15</v>
      </c>
      <c r="Y3576" s="5">
        <v>15200</v>
      </c>
      <c r="Z3576" s="5">
        <v>6144360</v>
      </c>
      <c r="AA3576" s="5">
        <v>18</v>
      </c>
      <c r="AB3576" s="5" t="s">
        <v>85</v>
      </c>
      <c r="AC3576" s="5">
        <v>800</v>
      </c>
    </row>
    <row r="3577" spans="1:29" x14ac:dyDescent="0.3">
      <c r="A3577" s="34">
        <v>46274</v>
      </c>
      <c r="B3577" s="34">
        <v>46274</v>
      </c>
      <c r="C3577" s="5" t="s">
        <v>78</v>
      </c>
      <c r="D3577" s="5" t="s">
        <v>79</v>
      </c>
      <c r="E3577" s="5" t="s">
        <v>80</v>
      </c>
      <c r="F3577" s="5">
        <v>761148</v>
      </c>
      <c r="G3577" s="5" t="s">
        <v>10827</v>
      </c>
      <c r="H3577" s="5" t="s">
        <v>10828</v>
      </c>
      <c r="I3577" s="5" t="s">
        <v>212</v>
      </c>
      <c r="N3577" s="5" t="s">
        <v>10829</v>
      </c>
      <c r="O3577" s="5">
        <v>57.6</v>
      </c>
      <c r="P3577" s="5">
        <v>57.6</v>
      </c>
      <c r="Q3577" s="5">
        <v>54.2</v>
      </c>
      <c r="R3577" s="5">
        <v>55.46</v>
      </c>
      <c r="S3577" s="5">
        <v>56</v>
      </c>
      <c r="T3577" s="5">
        <v>55.4</v>
      </c>
      <c r="V3577" s="5">
        <v>55.46</v>
      </c>
      <c r="Y3577" s="5">
        <v>1748</v>
      </c>
      <c r="Z3577" s="5">
        <v>96783.39</v>
      </c>
      <c r="AA3577" s="5">
        <v>15</v>
      </c>
      <c r="AB3577" s="5" t="s">
        <v>85</v>
      </c>
      <c r="AC3577" s="5">
        <v>1</v>
      </c>
    </row>
    <row r="3578" spans="1:29" x14ac:dyDescent="0.3">
      <c r="A3578" s="34">
        <v>46274</v>
      </c>
      <c r="B3578" s="34">
        <v>46274</v>
      </c>
      <c r="C3578" s="5" t="s">
        <v>78</v>
      </c>
      <c r="D3578" s="5" t="s">
        <v>79</v>
      </c>
      <c r="E3578" s="5" t="s">
        <v>80</v>
      </c>
      <c r="F3578" s="5">
        <v>763636</v>
      </c>
      <c r="G3578" s="5" t="s">
        <v>10830</v>
      </c>
      <c r="H3578" s="5" t="s">
        <v>10831</v>
      </c>
      <c r="I3578" s="5" t="s">
        <v>212</v>
      </c>
      <c r="N3578" s="5" t="s">
        <v>10832</v>
      </c>
      <c r="O3578" s="5">
        <v>739.9</v>
      </c>
      <c r="P3578" s="5">
        <v>773.9</v>
      </c>
      <c r="Q3578" s="5">
        <v>732.05</v>
      </c>
      <c r="R3578" s="5">
        <v>769.55</v>
      </c>
      <c r="S3578" s="5">
        <v>767</v>
      </c>
      <c r="T3578" s="5">
        <v>740.85</v>
      </c>
      <c r="V3578" s="5">
        <v>769.55</v>
      </c>
      <c r="Y3578" s="5">
        <v>33047</v>
      </c>
      <c r="Z3578" s="5">
        <v>25071327.850000001</v>
      </c>
      <c r="AA3578" s="5">
        <v>1333</v>
      </c>
      <c r="AB3578" s="5" t="s">
        <v>85</v>
      </c>
      <c r="AC3578" s="5">
        <v>1</v>
      </c>
    </row>
    <row r="3579" spans="1:29" x14ac:dyDescent="0.3">
      <c r="A3579" s="34">
        <v>46274</v>
      </c>
      <c r="B3579" s="34">
        <v>46274</v>
      </c>
      <c r="C3579" s="5" t="s">
        <v>78</v>
      </c>
      <c r="D3579" s="5" t="s">
        <v>79</v>
      </c>
      <c r="E3579" s="5" t="s">
        <v>80</v>
      </c>
      <c r="F3579" s="5">
        <v>761768</v>
      </c>
      <c r="G3579" s="5" t="s">
        <v>10833</v>
      </c>
      <c r="H3579" s="5" t="s">
        <v>10834</v>
      </c>
      <c r="I3579" s="5" t="s">
        <v>313</v>
      </c>
      <c r="N3579" s="5" t="s">
        <v>10835</v>
      </c>
      <c r="O3579" s="5">
        <v>1707</v>
      </c>
      <c r="P3579" s="5">
        <v>1759</v>
      </c>
      <c r="Q3579" s="5">
        <v>1707</v>
      </c>
      <c r="R3579" s="5">
        <v>1732.05</v>
      </c>
      <c r="S3579" s="5">
        <v>1739.95</v>
      </c>
      <c r="T3579" s="5">
        <v>1698.3</v>
      </c>
      <c r="V3579" s="5">
        <v>1732.05</v>
      </c>
      <c r="Y3579" s="5">
        <v>20880</v>
      </c>
      <c r="Z3579" s="5">
        <v>36296664</v>
      </c>
      <c r="AA3579" s="5">
        <v>75</v>
      </c>
      <c r="AB3579" s="5" t="s">
        <v>85</v>
      </c>
      <c r="AC3579" s="5">
        <v>240</v>
      </c>
    </row>
    <row r="3580" spans="1:29" x14ac:dyDescent="0.3">
      <c r="A3580" s="34">
        <v>46274</v>
      </c>
      <c r="B3580" s="34">
        <v>46274</v>
      </c>
      <c r="C3580" s="5" t="s">
        <v>78</v>
      </c>
      <c r="D3580" s="5" t="s">
        <v>79</v>
      </c>
      <c r="E3580" s="5" t="s">
        <v>80</v>
      </c>
      <c r="F3580" s="5">
        <v>11968</v>
      </c>
      <c r="G3580" s="5" t="s">
        <v>10836</v>
      </c>
      <c r="H3580" s="5" t="s">
        <v>10837</v>
      </c>
      <c r="I3580" s="5" t="s">
        <v>234</v>
      </c>
      <c r="N3580" s="5" t="s">
        <v>10838</v>
      </c>
      <c r="O3580" s="5">
        <v>6.35</v>
      </c>
      <c r="P3580" s="5">
        <v>6.4</v>
      </c>
      <c r="Q3580" s="5">
        <v>6.21</v>
      </c>
      <c r="R3580" s="5">
        <v>6.27</v>
      </c>
      <c r="S3580" s="5">
        <v>6.27</v>
      </c>
      <c r="T3580" s="5">
        <v>6.33</v>
      </c>
      <c r="V3580" s="5">
        <v>6.27</v>
      </c>
      <c r="Y3580" s="5">
        <v>50627</v>
      </c>
      <c r="Z3580" s="5">
        <v>317605.36</v>
      </c>
      <c r="AA3580" s="5">
        <v>65</v>
      </c>
      <c r="AB3580" s="5" t="s">
        <v>85</v>
      </c>
      <c r="AC3580" s="5">
        <v>1</v>
      </c>
    </row>
    <row r="3581" spans="1:29" x14ac:dyDescent="0.3">
      <c r="A3581" s="34">
        <v>46274</v>
      </c>
      <c r="B3581" s="34">
        <v>46274</v>
      </c>
      <c r="C3581" s="5" t="s">
        <v>78</v>
      </c>
      <c r="D3581" s="5" t="s">
        <v>79</v>
      </c>
      <c r="E3581" s="5" t="s">
        <v>80</v>
      </c>
      <c r="F3581" s="5">
        <v>764995</v>
      </c>
      <c r="G3581" s="5" t="s">
        <v>10839</v>
      </c>
      <c r="H3581" s="5" t="s">
        <v>10840</v>
      </c>
      <c r="I3581" s="5" t="s">
        <v>212</v>
      </c>
      <c r="N3581" s="5" t="s">
        <v>10841</v>
      </c>
      <c r="O3581" s="5">
        <v>19.010000000000002</v>
      </c>
      <c r="P3581" s="5">
        <v>19.2</v>
      </c>
      <c r="Q3581" s="5">
        <v>18.46</v>
      </c>
      <c r="R3581" s="5">
        <v>18.64</v>
      </c>
      <c r="S3581" s="5">
        <v>18.649999999999999</v>
      </c>
      <c r="T3581" s="5">
        <v>19.010000000000002</v>
      </c>
      <c r="V3581" s="5">
        <v>18.649999999999999</v>
      </c>
      <c r="Y3581" s="5">
        <v>8752</v>
      </c>
      <c r="Z3581" s="5">
        <v>163730.28</v>
      </c>
      <c r="AA3581" s="5">
        <v>93</v>
      </c>
      <c r="AB3581" s="5" t="s">
        <v>85</v>
      </c>
      <c r="AC3581" s="5">
        <v>1</v>
      </c>
    </row>
    <row r="3582" spans="1:29" x14ac:dyDescent="0.3">
      <c r="A3582" s="34">
        <v>46274</v>
      </c>
      <c r="B3582" s="34">
        <v>46274</v>
      </c>
      <c r="C3582" s="5" t="s">
        <v>78</v>
      </c>
      <c r="D3582" s="5" t="s">
        <v>79</v>
      </c>
      <c r="E3582" s="5" t="s">
        <v>80</v>
      </c>
      <c r="F3582" s="5">
        <v>14296</v>
      </c>
      <c r="G3582" s="5" t="s">
        <v>10842</v>
      </c>
      <c r="H3582" s="5" t="s">
        <v>10843</v>
      </c>
      <c r="I3582" s="5" t="s">
        <v>212</v>
      </c>
      <c r="N3582" s="5" t="s">
        <v>10844</v>
      </c>
      <c r="O3582" s="5">
        <v>261</v>
      </c>
      <c r="P3582" s="5">
        <v>262.45</v>
      </c>
      <c r="Q3582" s="5">
        <v>256.55</v>
      </c>
      <c r="R3582" s="5">
        <v>261.89999999999998</v>
      </c>
      <c r="S3582" s="5">
        <v>262</v>
      </c>
      <c r="T3582" s="5">
        <v>261.95</v>
      </c>
      <c r="V3582" s="5">
        <v>261.89999999999998</v>
      </c>
      <c r="Y3582" s="5">
        <v>2327034</v>
      </c>
      <c r="Z3582" s="5">
        <v>603948150.79999995</v>
      </c>
      <c r="AA3582" s="5">
        <v>24566</v>
      </c>
      <c r="AB3582" s="5" t="s">
        <v>85</v>
      </c>
      <c r="AC3582" s="5">
        <v>1</v>
      </c>
    </row>
    <row r="3583" spans="1:29" x14ac:dyDescent="0.3">
      <c r="A3583" s="34">
        <v>46274</v>
      </c>
      <c r="B3583" s="34">
        <v>46274</v>
      </c>
      <c r="C3583" s="5" t="s">
        <v>78</v>
      </c>
      <c r="D3583" s="5" t="s">
        <v>79</v>
      </c>
      <c r="E3583" s="5" t="s">
        <v>80</v>
      </c>
      <c r="F3583" s="5">
        <v>18012</v>
      </c>
      <c r="G3583" s="5" t="s">
        <v>10845</v>
      </c>
      <c r="H3583" s="5" t="s">
        <v>10846</v>
      </c>
      <c r="I3583" s="5" t="s">
        <v>212</v>
      </c>
      <c r="N3583" s="5" t="s">
        <v>10847</v>
      </c>
      <c r="O3583" s="5">
        <v>10.31</v>
      </c>
      <c r="P3583" s="5">
        <v>10.8</v>
      </c>
      <c r="Q3583" s="5">
        <v>10.119999999999999</v>
      </c>
      <c r="R3583" s="5">
        <v>10.34</v>
      </c>
      <c r="S3583" s="5">
        <v>10.44</v>
      </c>
      <c r="T3583" s="5">
        <v>10.36</v>
      </c>
      <c r="V3583" s="5">
        <v>10.34</v>
      </c>
      <c r="Y3583" s="5">
        <v>61183</v>
      </c>
      <c r="Z3583" s="5">
        <v>637092.22</v>
      </c>
      <c r="AA3583" s="5">
        <v>391</v>
      </c>
      <c r="AB3583" s="5" t="s">
        <v>85</v>
      </c>
      <c r="AC3583" s="5">
        <v>1</v>
      </c>
    </row>
    <row r="3584" spans="1:29" x14ac:dyDescent="0.3">
      <c r="A3584" s="34">
        <v>46274</v>
      </c>
      <c r="B3584" s="34">
        <v>46274</v>
      </c>
      <c r="C3584" s="5" t="s">
        <v>78</v>
      </c>
      <c r="D3584" s="5" t="s">
        <v>79</v>
      </c>
      <c r="E3584" s="5" t="s">
        <v>80</v>
      </c>
      <c r="F3584" s="5">
        <v>3715</v>
      </c>
      <c r="G3584" s="5" t="s">
        <v>10848</v>
      </c>
      <c r="H3584" s="5" t="s">
        <v>10849</v>
      </c>
      <c r="I3584" s="5" t="s">
        <v>212</v>
      </c>
      <c r="N3584" s="5" t="s">
        <v>10850</v>
      </c>
      <c r="O3584" s="5">
        <v>245</v>
      </c>
      <c r="P3584" s="5">
        <v>247.92</v>
      </c>
      <c r="Q3584" s="5">
        <v>245</v>
      </c>
      <c r="R3584" s="5">
        <v>246.31</v>
      </c>
      <c r="S3584" s="5">
        <v>245.65</v>
      </c>
      <c r="T3584" s="5">
        <v>246.08</v>
      </c>
      <c r="V3584" s="5">
        <v>246.13</v>
      </c>
      <c r="Y3584" s="5">
        <v>6221</v>
      </c>
      <c r="Z3584" s="5">
        <v>1531422.01</v>
      </c>
      <c r="AA3584" s="5">
        <v>230</v>
      </c>
      <c r="AB3584" s="5" t="s">
        <v>85</v>
      </c>
      <c r="AC3584" s="5">
        <v>1</v>
      </c>
    </row>
    <row r="3585" spans="1:29" x14ac:dyDescent="0.3">
      <c r="A3585" s="34">
        <v>46274</v>
      </c>
      <c r="B3585" s="34">
        <v>46274</v>
      </c>
      <c r="C3585" s="5" t="s">
        <v>78</v>
      </c>
      <c r="D3585" s="5" t="s">
        <v>79</v>
      </c>
      <c r="E3585" s="5" t="s">
        <v>80</v>
      </c>
      <c r="F3585" s="5">
        <v>29284</v>
      </c>
      <c r="G3585" s="5" t="s">
        <v>10851</v>
      </c>
      <c r="H3585" s="5" t="s">
        <v>10852</v>
      </c>
      <c r="I3585" s="5" t="s">
        <v>212</v>
      </c>
      <c r="N3585" s="5" t="s">
        <v>10853</v>
      </c>
      <c r="O3585" s="5">
        <v>820.95</v>
      </c>
      <c r="P3585" s="5">
        <v>828</v>
      </c>
      <c r="Q3585" s="5">
        <v>815.95</v>
      </c>
      <c r="R3585" s="5">
        <v>821.2</v>
      </c>
      <c r="S3585" s="5">
        <v>824.95</v>
      </c>
      <c r="T3585" s="5">
        <v>824.65</v>
      </c>
      <c r="V3585" s="5">
        <v>821.16</v>
      </c>
      <c r="Y3585" s="5">
        <v>101696</v>
      </c>
      <c r="Z3585" s="5">
        <v>83515649.849999994</v>
      </c>
      <c r="AA3585" s="5">
        <v>8275</v>
      </c>
      <c r="AB3585" s="5" t="s">
        <v>85</v>
      </c>
      <c r="AC3585" s="5">
        <v>1</v>
      </c>
    </row>
    <row r="3586" spans="1:29" x14ac:dyDescent="0.3">
      <c r="A3586" s="34">
        <v>46274</v>
      </c>
      <c r="B3586" s="34">
        <v>46274</v>
      </c>
      <c r="C3586" s="5" t="s">
        <v>78</v>
      </c>
      <c r="D3586" s="5" t="s">
        <v>79</v>
      </c>
      <c r="E3586" s="5" t="s">
        <v>80</v>
      </c>
      <c r="F3586" s="5">
        <v>759152</v>
      </c>
      <c r="G3586" s="5" t="s">
        <v>10854</v>
      </c>
      <c r="H3586" s="5" t="s">
        <v>10855</v>
      </c>
      <c r="I3586" s="5" t="s">
        <v>212</v>
      </c>
      <c r="N3586" s="5" t="s">
        <v>10856</v>
      </c>
      <c r="O3586" s="5">
        <v>44.48</v>
      </c>
      <c r="P3586" s="5">
        <v>44.83</v>
      </c>
      <c r="Q3586" s="5">
        <v>44.01</v>
      </c>
      <c r="R3586" s="5">
        <v>44.11</v>
      </c>
      <c r="S3586" s="5">
        <v>44.03</v>
      </c>
      <c r="T3586" s="5">
        <v>44.83</v>
      </c>
      <c r="V3586" s="5">
        <v>44.12</v>
      </c>
      <c r="Y3586" s="5">
        <v>22344</v>
      </c>
      <c r="Z3586" s="5">
        <v>991328.13</v>
      </c>
      <c r="AA3586" s="5">
        <v>473</v>
      </c>
      <c r="AB3586" s="5" t="s">
        <v>85</v>
      </c>
      <c r="AC3586" s="5">
        <v>1</v>
      </c>
    </row>
    <row r="3587" spans="1:29" x14ac:dyDescent="0.3">
      <c r="A3587" s="34">
        <v>46274</v>
      </c>
      <c r="B3587" s="34">
        <v>46274</v>
      </c>
      <c r="C3587" s="5" t="s">
        <v>78</v>
      </c>
      <c r="D3587" s="5" t="s">
        <v>79</v>
      </c>
      <c r="E3587" s="5" t="s">
        <v>80</v>
      </c>
      <c r="F3587" s="5">
        <v>14366</v>
      </c>
      <c r="G3587" s="5" t="s">
        <v>10857</v>
      </c>
      <c r="H3587" s="5" t="s">
        <v>10858</v>
      </c>
      <c r="I3587" s="5" t="s">
        <v>212</v>
      </c>
      <c r="N3587" s="5" t="s">
        <v>10859</v>
      </c>
      <c r="O3587" s="5">
        <v>15.36</v>
      </c>
      <c r="P3587" s="5">
        <v>15.79</v>
      </c>
      <c r="Q3587" s="5">
        <v>15.2</v>
      </c>
      <c r="R3587" s="5">
        <v>15.52</v>
      </c>
      <c r="S3587" s="5">
        <v>15.52</v>
      </c>
      <c r="T3587" s="5">
        <v>15.42</v>
      </c>
      <c r="V3587" s="5">
        <v>15.52</v>
      </c>
      <c r="Y3587" s="5">
        <v>539161681</v>
      </c>
      <c r="Z3587" s="5">
        <v>8374087197.5699997</v>
      </c>
      <c r="AA3587" s="5">
        <v>999417</v>
      </c>
      <c r="AB3587" s="5" t="s">
        <v>85</v>
      </c>
      <c r="AC3587" s="5">
        <v>1</v>
      </c>
    </row>
    <row r="3588" spans="1:29" x14ac:dyDescent="0.3">
      <c r="A3588" s="34">
        <v>46274</v>
      </c>
      <c r="B3588" s="34">
        <v>46274</v>
      </c>
      <c r="C3588" s="5" t="s">
        <v>78</v>
      </c>
      <c r="D3588" s="5" t="s">
        <v>79</v>
      </c>
      <c r="E3588" s="5" t="s">
        <v>80</v>
      </c>
      <c r="F3588" s="5">
        <v>765000</v>
      </c>
      <c r="G3588" s="5" t="s">
        <v>10860</v>
      </c>
      <c r="H3588" s="5" t="s">
        <v>10861</v>
      </c>
      <c r="I3588" s="5" t="s">
        <v>212</v>
      </c>
      <c r="N3588" s="5" t="s">
        <v>10862</v>
      </c>
      <c r="O3588" s="5">
        <v>1492</v>
      </c>
      <c r="P3588" s="5">
        <v>1518</v>
      </c>
      <c r="Q3588" s="5">
        <v>1465</v>
      </c>
      <c r="R3588" s="5">
        <v>1488.4</v>
      </c>
      <c r="S3588" s="5">
        <v>1485</v>
      </c>
      <c r="T3588" s="5">
        <v>1490.8</v>
      </c>
      <c r="V3588" s="5">
        <v>1487.31</v>
      </c>
      <c r="Y3588" s="5">
        <v>454</v>
      </c>
      <c r="Z3588" s="5">
        <v>675409.7</v>
      </c>
      <c r="AA3588" s="5">
        <v>62</v>
      </c>
      <c r="AB3588" s="5" t="s">
        <v>85</v>
      </c>
      <c r="AC3588" s="5">
        <v>1</v>
      </c>
    </row>
    <row r="3589" spans="1:29" x14ac:dyDescent="0.3">
      <c r="A3589" s="34">
        <v>46274</v>
      </c>
      <c r="B3589" s="34">
        <v>46274</v>
      </c>
      <c r="C3589" s="5" t="s">
        <v>78</v>
      </c>
      <c r="D3589" s="5" t="s">
        <v>79</v>
      </c>
      <c r="E3589" s="5" t="s">
        <v>80</v>
      </c>
      <c r="F3589" s="5">
        <v>29658</v>
      </c>
      <c r="G3589" s="5" t="s">
        <v>10863</v>
      </c>
      <c r="H3589" s="5" t="s">
        <v>10864</v>
      </c>
      <c r="I3589" s="5" t="s">
        <v>313</v>
      </c>
      <c r="N3589" s="5" t="s">
        <v>10865</v>
      </c>
      <c r="O3589" s="5">
        <v>241.4</v>
      </c>
      <c r="P3589" s="5">
        <v>241.4</v>
      </c>
      <c r="Q3589" s="5">
        <v>238.9</v>
      </c>
      <c r="R3589" s="5">
        <v>238.9</v>
      </c>
      <c r="S3589" s="5">
        <v>238.9</v>
      </c>
      <c r="T3589" s="5">
        <v>232.45</v>
      </c>
      <c r="V3589" s="5">
        <v>238.9</v>
      </c>
      <c r="Y3589" s="5">
        <v>15200</v>
      </c>
      <c r="Z3589" s="5">
        <v>3649280</v>
      </c>
      <c r="AA3589" s="5">
        <v>2</v>
      </c>
      <c r="AB3589" s="5" t="s">
        <v>85</v>
      </c>
      <c r="AC3589" s="5">
        <v>800</v>
      </c>
    </row>
    <row r="3590" spans="1:29" x14ac:dyDescent="0.3">
      <c r="A3590" s="34">
        <v>46274</v>
      </c>
      <c r="B3590" s="34">
        <v>46274</v>
      </c>
      <c r="C3590" s="5" t="s">
        <v>78</v>
      </c>
      <c r="D3590" s="5" t="s">
        <v>79</v>
      </c>
      <c r="E3590" s="5" t="s">
        <v>80</v>
      </c>
      <c r="F3590" s="5">
        <v>13577</v>
      </c>
      <c r="G3590" s="5" t="s">
        <v>10866</v>
      </c>
      <c r="H3590" s="5" t="s">
        <v>10867</v>
      </c>
      <c r="I3590" s="5" t="s">
        <v>212</v>
      </c>
      <c r="N3590" s="5" t="s">
        <v>10868</v>
      </c>
      <c r="O3590" s="5">
        <v>11300</v>
      </c>
      <c r="P3590" s="5">
        <v>11425</v>
      </c>
      <c r="Q3590" s="5">
        <v>11011</v>
      </c>
      <c r="R3590" s="5">
        <v>11069</v>
      </c>
      <c r="S3590" s="5">
        <v>11101</v>
      </c>
      <c r="T3590" s="5">
        <v>11365</v>
      </c>
      <c r="V3590" s="5">
        <v>11068.8</v>
      </c>
      <c r="Y3590" s="5">
        <v>17603</v>
      </c>
      <c r="Z3590" s="5">
        <v>197689042</v>
      </c>
      <c r="AA3590" s="5">
        <v>7289</v>
      </c>
      <c r="AB3590" s="5" t="s">
        <v>85</v>
      </c>
      <c r="AC3590" s="5">
        <v>1</v>
      </c>
    </row>
    <row r="3591" spans="1:29" x14ac:dyDescent="0.3">
      <c r="A3591" s="34">
        <v>46274</v>
      </c>
      <c r="B3591" s="34">
        <v>46274</v>
      </c>
      <c r="C3591" s="5" t="s">
        <v>78</v>
      </c>
      <c r="D3591" s="5" t="s">
        <v>79</v>
      </c>
      <c r="E3591" s="5" t="s">
        <v>80</v>
      </c>
      <c r="F3591" s="5">
        <v>3718</v>
      </c>
      <c r="G3591" s="5" t="s">
        <v>10869</v>
      </c>
      <c r="H3591" s="5" t="s">
        <v>10870</v>
      </c>
      <c r="I3591" s="5" t="s">
        <v>212</v>
      </c>
      <c r="N3591" s="5" t="s">
        <v>10871</v>
      </c>
      <c r="O3591" s="5">
        <v>1144</v>
      </c>
      <c r="P3591" s="5">
        <v>1147</v>
      </c>
      <c r="Q3591" s="5">
        <v>1136</v>
      </c>
      <c r="R3591" s="5">
        <v>1143.8</v>
      </c>
      <c r="S3591" s="5">
        <v>1143.8</v>
      </c>
      <c r="T3591" s="5">
        <v>1144.8</v>
      </c>
      <c r="V3591" s="5">
        <v>1143.79</v>
      </c>
      <c r="Y3591" s="5">
        <v>475069</v>
      </c>
      <c r="Z3591" s="5">
        <v>542149524.70000005</v>
      </c>
      <c r="AA3591" s="5">
        <v>14918</v>
      </c>
      <c r="AB3591" s="5" t="s">
        <v>85</v>
      </c>
      <c r="AC3591" s="5">
        <v>1</v>
      </c>
    </row>
    <row r="3592" spans="1:29" x14ac:dyDescent="0.3">
      <c r="A3592" s="34">
        <v>46274</v>
      </c>
      <c r="B3592" s="34">
        <v>46274</v>
      </c>
      <c r="C3592" s="5" t="s">
        <v>78</v>
      </c>
      <c r="D3592" s="5" t="s">
        <v>79</v>
      </c>
      <c r="E3592" s="5" t="s">
        <v>80</v>
      </c>
      <c r="F3592" s="5">
        <v>763575</v>
      </c>
      <c r="G3592" s="5" t="s">
        <v>10872</v>
      </c>
      <c r="H3592" s="5" t="s">
        <v>10873</v>
      </c>
      <c r="I3592" s="5" t="s">
        <v>580</v>
      </c>
      <c r="N3592" s="5" t="s">
        <v>10874</v>
      </c>
      <c r="O3592" s="5">
        <v>9924.75</v>
      </c>
      <c r="P3592" s="5">
        <v>9924.75</v>
      </c>
      <c r="Q3592" s="5">
        <v>9920</v>
      </c>
      <c r="R3592" s="5">
        <v>9920</v>
      </c>
      <c r="S3592" s="5">
        <v>9920</v>
      </c>
      <c r="T3592" s="5">
        <v>10025</v>
      </c>
      <c r="V3592" s="5">
        <v>9920</v>
      </c>
      <c r="Y3592" s="5">
        <v>3</v>
      </c>
      <c r="Z3592" s="5">
        <v>29769.5</v>
      </c>
      <c r="AA3592" s="5">
        <v>3</v>
      </c>
      <c r="AB3592" s="5" t="s">
        <v>85</v>
      </c>
      <c r="AC3592" s="5">
        <v>1</v>
      </c>
    </row>
    <row r="3593" spans="1:29" x14ac:dyDescent="0.3">
      <c r="A3593" s="34">
        <v>46274</v>
      </c>
      <c r="B3593" s="34">
        <v>46274</v>
      </c>
      <c r="C3593" s="5" t="s">
        <v>78</v>
      </c>
      <c r="D3593" s="5" t="s">
        <v>79</v>
      </c>
      <c r="E3593" s="5" t="s">
        <v>80</v>
      </c>
      <c r="F3593" s="5">
        <v>24321</v>
      </c>
      <c r="G3593" s="5" t="s">
        <v>10875</v>
      </c>
      <c r="H3593" s="5" t="s">
        <v>10876</v>
      </c>
      <c r="I3593" s="5" t="s">
        <v>212</v>
      </c>
      <c r="N3593" s="5" t="s">
        <v>10877</v>
      </c>
      <c r="O3593" s="5">
        <v>121.44</v>
      </c>
      <c r="P3593" s="5">
        <v>125.5</v>
      </c>
      <c r="Q3593" s="5">
        <v>120.5</v>
      </c>
      <c r="R3593" s="5">
        <v>124.5</v>
      </c>
      <c r="S3593" s="5">
        <v>124.81</v>
      </c>
      <c r="T3593" s="5">
        <v>121.44</v>
      </c>
      <c r="V3593" s="5">
        <v>124.5</v>
      </c>
      <c r="Y3593" s="5">
        <v>29237</v>
      </c>
      <c r="Z3593" s="5">
        <v>3624842.04</v>
      </c>
      <c r="AA3593" s="5">
        <v>866</v>
      </c>
      <c r="AB3593" s="5" t="s">
        <v>85</v>
      </c>
      <c r="AC3593" s="5">
        <v>1</v>
      </c>
    </row>
    <row r="3594" spans="1:29" x14ac:dyDescent="0.3">
      <c r="A3594" s="34">
        <v>46274</v>
      </c>
      <c r="B3594" s="34">
        <v>46274</v>
      </c>
      <c r="C3594" s="5" t="s">
        <v>78</v>
      </c>
      <c r="D3594" s="5" t="s">
        <v>79</v>
      </c>
      <c r="E3594" s="5" t="s">
        <v>80</v>
      </c>
      <c r="F3594" s="5">
        <v>8696</v>
      </c>
      <c r="G3594" s="5" t="s">
        <v>10878</v>
      </c>
      <c r="H3594" s="5" t="s">
        <v>34</v>
      </c>
      <c r="I3594" s="5" t="s">
        <v>212</v>
      </c>
      <c r="N3594" s="5" t="s">
        <v>10879</v>
      </c>
      <c r="O3594" s="5">
        <v>294.95</v>
      </c>
      <c r="P3594" s="5">
        <v>294.95</v>
      </c>
      <c r="Q3594" s="5">
        <v>287.2</v>
      </c>
      <c r="R3594" s="5">
        <v>288.35000000000002</v>
      </c>
      <c r="S3594" s="5">
        <v>289.7</v>
      </c>
      <c r="T3594" s="5">
        <v>293.75</v>
      </c>
      <c r="V3594" s="5">
        <v>288.37</v>
      </c>
      <c r="Y3594" s="5">
        <v>119096</v>
      </c>
      <c r="Z3594" s="5">
        <v>34502193.799999997</v>
      </c>
      <c r="AA3594" s="5">
        <v>5490</v>
      </c>
      <c r="AB3594" s="5" t="s">
        <v>85</v>
      </c>
      <c r="AC3594" s="5">
        <v>1</v>
      </c>
    </row>
    <row r="3595" spans="1:29" x14ac:dyDescent="0.3">
      <c r="A3595" s="34">
        <v>46274</v>
      </c>
      <c r="B3595" s="34">
        <v>46274</v>
      </c>
      <c r="C3595" s="5" t="s">
        <v>78</v>
      </c>
      <c r="D3595" s="5" t="s">
        <v>79</v>
      </c>
      <c r="E3595" s="5" t="s">
        <v>80</v>
      </c>
      <c r="F3595" s="5">
        <v>3724</v>
      </c>
      <c r="G3595" s="5" t="s">
        <v>10880</v>
      </c>
      <c r="H3595" s="5" t="s">
        <v>10881</v>
      </c>
      <c r="I3595" s="5" t="s">
        <v>212</v>
      </c>
      <c r="N3595" s="5" t="s">
        <v>10882</v>
      </c>
      <c r="O3595" s="5">
        <v>205.5</v>
      </c>
      <c r="P3595" s="5">
        <v>209.31</v>
      </c>
      <c r="Q3595" s="5">
        <v>205.1</v>
      </c>
      <c r="R3595" s="5">
        <v>208.59</v>
      </c>
      <c r="S3595" s="5">
        <v>209.15</v>
      </c>
      <c r="T3595" s="5">
        <v>206.74</v>
      </c>
      <c r="V3595" s="5">
        <v>208.59</v>
      </c>
      <c r="Y3595" s="5">
        <v>122818</v>
      </c>
      <c r="Z3595" s="5">
        <v>25396051.920000002</v>
      </c>
      <c r="AA3595" s="5">
        <v>2930</v>
      </c>
      <c r="AB3595" s="5" t="s">
        <v>85</v>
      </c>
      <c r="AC3595" s="5">
        <v>1</v>
      </c>
    </row>
    <row r="3596" spans="1:29" x14ac:dyDescent="0.3">
      <c r="A3596" s="34">
        <v>46274</v>
      </c>
      <c r="B3596" s="34">
        <v>46274</v>
      </c>
      <c r="C3596" s="5" t="s">
        <v>78</v>
      </c>
      <c r="D3596" s="5" t="s">
        <v>79</v>
      </c>
      <c r="E3596" s="5" t="s">
        <v>80</v>
      </c>
      <c r="F3596" s="5">
        <v>24292</v>
      </c>
      <c r="G3596" s="5" t="s">
        <v>10883</v>
      </c>
      <c r="H3596" s="5" t="s">
        <v>10884</v>
      </c>
      <c r="I3596" s="5" t="s">
        <v>212</v>
      </c>
      <c r="N3596" s="5" t="s">
        <v>10885</v>
      </c>
      <c r="O3596" s="5">
        <v>4124</v>
      </c>
      <c r="P3596" s="5">
        <v>4137.5</v>
      </c>
      <c r="Q3596" s="5">
        <v>4064</v>
      </c>
      <c r="R3596" s="5">
        <v>4074.3</v>
      </c>
      <c r="S3596" s="5">
        <v>4075</v>
      </c>
      <c r="T3596" s="5">
        <v>4127.5</v>
      </c>
      <c r="V3596" s="5">
        <v>4074.36</v>
      </c>
      <c r="Y3596" s="5">
        <v>9863</v>
      </c>
      <c r="Z3596" s="5">
        <v>40362956.700000003</v>
      </c>
      <c r="AA3596" s="5">
        <v>3750</v>
      </c>
      <c r="AB3596" s="5" t="s">
        <v>85</v>
      </c>
      <c r="AC3596" s="5">
        <v>1</v>
      </c>
    </row>
    <row r="3597" spans="1:29" x14ac:dyDescent="0.3">
      <c r="A3597" s="34">
        <v>46274</v>
      </c>
      <c r="B3597" s="34">
        <v>46274</v>
      </c>
      <c r="C3597" s="5" t="s">
        <v>78</v>
      </c>
      <c r="D3597" s="5" t="s">
        <v>79</v>
      </c>
      <c r="E3597" s="5" t="s">
        <v>80</v>
      </c>
      <c r="F3597" s="5">
        <v>765005</v>
      </c>
      <c r="G3597" s="5" t="s">
        <v>10886</v>
      </c>
      <c r="H3597" s="5" t="s">
        <v>10887</v>
      </c>
      <c r="I3597" s="5" t="s">
        <v>212</v>
      </c>
      <c r="N3597" s="5" t="s">
        <v>10888</v>
      </c>
      <c r="O3597" s="5">
        <v>484.2</v>
      </c>
      <c r="P3597" s="5">
        <v>484.2</v>
      </c>
      <c r="Q3597" s="5">
        <v>484</v>
      </c>
      <c r="R3597" s="5">
        <v>484</v>
      </c>
      <c r="S3597" s="5">
        <v>484</v>
      </c>
      <c r="T3597" s="5">
        <v>481.5</v>
      </c>
      <c r="V3597" s="5">
        <v>486</v>
      </c>
      <c r="Y3597" s="5">
        <v>9</v>
      </c>
      <c r="Z3597" s="5">
        <v>4356.3999999999996</v>
      </c>
      <c r="AA3597" s="5">
        <v>2</v>
      </c>
      <c r="AB3597" s="5" t="s">
        <v>85</v>
      </c>
      <c r="AC3597" s="5">
        <v>1</v>
      </c>
    </row>
    <row r="3598" spans="1:29" x14ac:dyDescent="0.3">
      <c r="A3598" s="34">
        <v>46274</v>
      </c>
      <c r="B3598" s="34">
        <v>46274</v>
      </c>
      <c r="C3598" s="5" t="s">
        <v>78</v>
      </c>
      <c r="D3598" s="5" t="s">
        <v>79</v>
      </c>
      <c r="E3598" s="5" t="s">
        <v>80</v>
      </c>
      <c r="F3598" s="5">
        <v>762978</v>
      </c>
      <c r="G3598" s="5" t="s">
        <v>10889</v>
      </c>
      <c r="H3598" s="5" t="s">
        <v>10890</v>
      </c>
      <c r="I3598" s="5" t="s">
        <v>212</v>
      </c>
      <c r="N3598" s="5" t="s">
        <v>10891</v>
      </c>
      <c r="O3598" s="5">
        <v>430</v>
      </c>
      <c r="P3598" s="5">
        <v>440.4</v>
      </c>
      <c r="Q3598" s="5">
        <v>427</v>
      </c>
      <c r="R3598" s="5">
        <v>427.75</v>
      </c>
      <c r="S3598" s="5">
        <v>428.7</v>
      </c>
      <c r="T3598" s="5">
        <v>428.6</v>
      </c>
      <c r="V3598" s="5">
        <v>427.8</v>
      </c>
      <c r="Y3598" s="5">
        <v>21399</v>
      </c>
      <c r="Z3598" s="5">
        <v>9194410.6500000004</v>
      </c>
      <c r="AA3598" s="5">
        <v>1553</v>
      </c>
      <c r="AB3598" s="5" t="s">
        <v>85</v>
      </c>
      <c r="AC3598" s="5">
        <v>1</v>
      </c>
    </row>
    <row r="3599" spans="1:29" x14ac:dyDescent="0.3">
      <c r="A3599" s="34">
        <v>46274</v>
      </c>
      <c r="B3599" s="34">
        <v>46274</v>
      </c>
      <c r="C3599" s="5" t="s">
        <v>78</v>
      </c>
      <c r="D3599" s="5" t="s">
        <v>79</v>
      </c>
      <c r="E3599" s="5" t="s">
        <v>80</v>
      </c>
      <c r="F3599" s="5">
        <v>14828</v>
      </c>
      <c r="G3599" s="5" t="s">
        <v>10892</v>
      </c>
      <c r="H3599" s="5" t="s">
        <v>10893</v>
      </c>
      <c r="I3599" s="5" t="s">
        <v>212</v>
      </c>
      <c r="N3599" s="5" t="s">
        <v>10894</v>
      </c>
      <c r="O3599" s="5">
        <v>61.69</v>
      </c>
      <c r="P3599" s="5">
        <v>62</v>
      </c>
      <c r="Q3599" s="5">
        <v>58.91</v>
      </c>
      <c r="R3599" s="5">
        <v>59.11</v>
      </c>
      <c r="S3599" s="5">
        <v>59.1</v>
      </c>
      <c r="T3599" s="5">
        <v>59.75</v>
      </c>
      <c r="V3599" s="5">
        <v>59.11</v>
      </c>
      <c r="Y3599" s="5">
        <v>57431</v>
      </c>
      <c r="Z3599" s="5">
        <v>3421433.41</v>
      </c>
      <c r="AA3599" s="5">
        <v>1963</v>
      </c>
      <c r="AB3599" s="5" t="s">
        <v>85</v>
      </c>
      <c r="AC3599" s="5">
        <v>1</v>
      </c>
    </row>
    <row r="3600" spans="1:29" x14ac:dyDescent="0.3">
      <c r="A3600" s="34">
        <v>46274</v>
      </c>
      <c r="B3600" s="34">
        <v>46274</v>
      </c>
      <c r="C3600" s="5" t="s">
        <v>78</v>
      </c>
      <c r="D3600" s="5" t="s">
        <v>79</v>
      </c>
      <c r="E3600" s="5" t="s">
        <v>80</v>
      </c>
      <c r="F3600" s="5">
        <v>25907</v>
      </c>
      <c r="G3600" s="5" t="s">
        <v>10895</v>
      </c>
      <c r="H3600" s="5" t="s">
        <v>10896</v>
      </c>
      <c r="I3600" s="5" t="s">
        <v>212</v>
      </c>
      <c r="N3600" s="5" t="s">
        <v>10897</v>
      </c>
      <c r="O3600" s="5">
        <v>2571</v>
      </c>
      <c r="P3600" s="5">
        <v>2599</v>
      </c>
      <c r="Q3600" s="5">
        <v>2560.5</v>
      </c>
      <c r="R3600" s="5">
        <v>2568</v>
      </c>
      <c r="S3600" s="5">
        <v>2568</v>
      </c>
      <c r="T3600" s="5">
        <v>2571</v>
      </c>
      <c r="V3600" s="5">
        <v>2567.98</v>
      </c>
      <c r="Y3600" s="5">
        <v>282648</v>
      </c>
      <c r="Z3600" s="5">
        <v>728651542.39999998</v>
      </c>
      <c r="AA3600" s="5">
        <v>20588</v>
      </c>
      <c r="AB3600" s="5" t="s">
        <v>85</v>
      </c>
      <c r="AC3600" s="5">
        <v>1</v>
      </c>
    </row>
    <row r="3601" spans="1:29" x14ac:dyDescent="0.3">
      <c r="A3601" s="34">
        <v>46274</v>
      </c>
      <c r="B3601" s="34">
        <v>46274</v>
      </c>
      <c r="C3601" s="5" t="s">
        <v>78</v>
      </c>
      <c r="D3601" s="5" t="s">
        <v>79</v>
      </c>
      <c r="E3601" s="5" t="s">
        <v>80</v>
      </c>
      <c r="F3601" s="5">
        <v>756038</v>
      </c>
      <c r="G3601" s="5" t="s">
        <v>10898</v>
      </c>
      <c r="H3601" s="5" t="s">
        <v>10899</v>
      </c>
      <c r="I3601" s="5" t="s">
        <v>212</v>
      </c>
      <c r="N3601" s="5" t="s">
        <v>10900</v>
      </c>
      <c r="O3601" s="5">
        <v>841.25</v>
      </c>
      <c r="P3601" s="5">
        <v>845</v>
      </c>
      <c r="Q3601" s="5">
        <v>832.05</v>
      </c>
      <c r="R3601" s="5">
        <v>833.5</v>
      </c>
      <c r="S3601" s="5">
        <v>832.05</v>
      </c>
      <c r="T3601" s="5">
        <v>845.25</v>
      </c>
      <c r="V3601" s="5">
        <v>833.49</v>
      </c>
      <c r="Y3601" s="5">
        <v>94062</v>
      </c>
      <c r="Z3601" s="5">
        <v>78779932.700000003</v>
      </c>
      <c r="AA3601" s="5">
        <v>7256</v>
      </c>
      <c r="AB3601" s="5" t="s">
        <v>85</v>
      </c>
      <c r="AC3601" s="5">
        <v>1</v>
      </c>
    </row>
    <row r="3602" spans="1:29" x14ac:dyDescent="0.3">
      <c r="A3602" s="34">
        <v>46274</v>
      </c>
      <c r="B3602" s="34">
        <v>46274</v>
      </c>
      <c r="C3602" s="5" t="s">
        <v>78</v>
      </c>
      <c r="D3602" s="5" t="s">
        <v>79</v>
      </c>
      <c r="E3602" s="5" t="s">
        <v>80</v>
      </c>
      <c r="F3602" s="5">
        <v>760259</v>
      </c>
      <c r="G3602" s="5" t="s">
        <v>10901</v>
      </c>
      <c r="H3602" s="5" t="s">
        <v>10902</v>
      </c>
      <c r="I3602" s="5" t="s">
        <v>212</v>
      </c>
      <c r="N3602" s="5" t="s">
        <v>10903</v>
      </c>
      <c r="O3602" s="5">
        <v>153</v>
      </c>
      <c r="P3602" s="5">
        <v>154.54</v>
      </c>
      <c r="Q3602" s="5">
        <v>149.51</v>
      </c>
      <c r="R3602" s="5">
        <v>152.63999999999999</v>
      </c>
      <c r="S3602" s="5">
        <v>152.35</v>
      </c>
      <c r="T3602" s="5">
        <v>153.05000000000001</v>
      </c>
      <c r="V3602" s="5">
        <v>152.65</v>
      </c>
      <c r="Y3602" s="5">
        <v>614979</v>
      </c>
      <c r="Z3602" s="5">
        <v>93629265.569999993</v>
      </c>
      <c r="AA3602" s="5">
        <v>8383</v>
      </c>
      <c r="AB3602" s="5" t="s">
        <v>85</v>
      </c>
      <c r="AC3602" s="5">
        <v>1</v>
      </c>
    </row>
    <row r="3603" spans="1:29" x14ac:dyDescent="0.3">
      <c r="A3603" s="34">
        <v>46274</v>
      </c>
      <c r="B3603" s="34">
        <v>46274</v>
      </c>
      <c r="C3603" s="5" t="s">
        <v>78</v>
      </c>
      <c r="D3603" s="5" t="s">
        <v>79</v>
      </c>
      <c r="E3603" s="5" t="s">
        <v>80</v>
      </c>
      <c r="F3603" s="5">
        <v>3736</v>
      </c>
      <c r="G3603" s="5" t="s">
        <v>10904</v>
      </c>
      <c r="H3603" s="5" t="s">
        <v>10905</v>
      </c>
      <c r="I3603" s="5" t="s">
        <v>212</v>
      </c>
      <c r="N3603" s="5" t="s">
        <v>10906</v>
      </c>
      <c r="O3603" s="5">
        <v>218.43</v>
      </c>
      <c r="P3603" s="5">
        <v>218.43</v>
      </c>
      <c r="Q3603" s="5">
        <v>210.68</v>
      </c>
      <c r="R3603" s="5">
        <v>211.78</v>
      </c>
      <c r="S3603" s="5">
        <v>212.89</v>
      </c>
      <c r="T3603" s="5">
        <v>219.1</v>
      </c>
      <c r="V3603" s="5">
        <v>211.78</v>
      </c>
      <c r="Y3603" s="5">
        <v>447376</v>
      </c>
      <c r="Z3603" s="5">
        <v>95892869.280000001</v>
      </c>
      <c r="AA3603" s="5">
        <v>6895</v>
      </c>
      <c r="AB3603" s="5" t="s">
        <v>85</v>
      </c>
      <c r="AC3603" s="5">
        <v>1</v>
      </c>
    </row>
    <row r="3604" spans="1:29" x14ac:dyDescent="0.3">
      <c r="A3604" s="34">
        <v>46274</v>
      </c>
      <c r="B3604" s="34">
        <v>46274</v>
      </c>
      <c r="C3604" s="5" t="s">
        <v>78</v>
      </c>
      <c r="D3604" s="5" t="s">
        <v>79</v>
      </c>
      <c r="E3604" s="5" t="s">
        <v>80</v>
      </c>
      <c r="F3604" s="5">
        <v>14063</v>
      </c>
      <c r="G3604" s="5" t="s">
        <v>10907</v>
      </c>
      <c r="H3604" s="5" t="s">
        <v>10908</v>
      </c>
      <c r="I3604" s="5" t="s">
        <v>212</v>
      </c>
      <c r="N3604" s="5" t="s">
        <v>10909</v>
      </c>
      <c r="O3604" s="5">
        <v>245.1</v>
      </c>
      <c r="P3604" s="5">
        <v>249.75</v>
      </c>
      <c r="Q3604" s="5">
        <v>243.1</v>
      </c>
      <c r="R3604" s="5">
        <v>244.75</v>
      </c>
      <c r="S3604" s="5">
        <v>244</v>
      </c>
      <c r="T3604" s="5">
        <v>247.7</v>
      </c>
      <c r="V3604" s="5">
        <v>244.82</v>
      </c>
      <c r="Y3604" s="5">
        <v>60141</v>
      </c>
      <c r="Z3604" s="5">
        <v>14822003.1</v>
      </c>
      <c r="AA3604" s="5">
        <v>2394</v>
      </c>
      <c r="AB3604" s="5" t="s">
        <v>85</v>
      </c>
      <c r="AC3604" s="5">
        <v>1</v>
      </c>
    </row>
    <row r="3605" spans="1:29" x14ac:dyDescent="0.3">
      <c r="A3605" s="34">
        <v>46274</v>
      </c>
      <c r="B3605" s="34">
        <v>46274</v>
      </c>
      <c r="C3605" s="5" t="s">
        <v>78</v>
      </c>
      <c r="D3605" s="5" t="s">
        <v>79</v>
      </c>
      <c r="E3605" s="5" t="s">
        <v>80</v>
      </c>
      <c r="F3605" s="5">
        <v>765225</v>
      </c>
      <c r="G3605" s="5" t="s">
        <v>10910</v>
      </c>
      <c r="H3605" s="5" t="s">
        <v>10911</v>
      </c>
      <c r="I3605" s="5" t="s">
        <v>212</v>
      </c>
      <c r="N3605" s="5" t="s">
        <v>10912</v>
      </c>
      <c r="O3605" s="5">
        <v>5.9</v>
      </c>
      <c r="P3605" s="5">
        <v>5.9</v>
      </c>
      <c r="Q3605" s="5">
        <v>5.68</v>
      </c>
      <c r="R3605" s="5">
        <v>5.73</v>
      </c>
      <c r="S3605" s="5">
        <v>5.75</v>
      </c>
      <c r="T3605" s="5">
        <v>5.77</v>
      </c>
      <c r="V3605" s="5">
        <v>5.73</v>
      </c>
      <c r="Y3605" s="5">
        <v>217866</v>
      </c>
      <c r="Z3605" s="5">
        <v>1247689.3799999999</v>
      </c>
      <c r="AA3605" s="5">
        <v>638</v>
      </c>
      <c r="AB3605" s="5" t="s">
        <v>85</v>
      </c>
      <c r="AC3605" s="5">
        <v>1</v>
      </c>
    </row>
    <row r="3606" spans="1:29" x14ac:dyDescent="0.3">
      <c r="A3606" s="34">
        <v>46274</v>
      </c>
      <c r="B3606" s="34">
        <v>46274</v>
      </c>
      <c r="C3606" s="5" t="s">
        <v>78</v>
      </c>
      <c r="D3606" s="5" t="s">
        <v>79</v>
      </c>
      <c r="E3606" s="5" t="s">
        <v>80</v>
      </c>
      <c r="F3606" s="5">
        <v>3745</v>
      </c>
      <c r="G3606" s="5" t="s">
        <v>10913</v>
      </c>
      <c r="H3606" s="5" t="s">
        <v>10914</v>
      </c>
      <c r="I3606" s="5" t="s">
        <v>212</v>
      </c>
      <c r="N3606" s="5" t="s">
        <v>10915</v>
      </c>
      <c r="O3606" s="5">
        <v>48.1</v>
      </c>
      <c r="P3606" s="5">
        <v>48.2</v>
      </c>
      <c r="Q3606" s="5">
        <v>47</v>
      </c>
      <c r="R3606" s="5">
        <v>47.17</v>
      </c>
      <c r="S3606" s="5">
        <v>47.69</v>
      </c>
      <c r="T3606" s="5">
        <v>48.03</v>
      </c>
      <c r="V3606" s="5">
        <v>47.15</v>
      </c>
      <c r="Y3606" s="5">
        <v>12104</v>
      </c>
      <c r="Z3606" s="5">
        <v>573324.37</v>
      </c>
      <c r="AA3606" s="5">
        <v>139</v>
      </c>
      <c r="AB3606" s="5" t="s">
        <v>85</v>
      </c>
      <c r="AC3606" s="5">
        <v>1</v>
      </c>
    </row>
    <row r="3607" spans="1:29" x14ac:dyDescent="0.3">
      <c r="A3607" s="34">
        <v>46274</v>
      </c>
      <c r="B3607" s="34">
        <v>46274</v>
      </c>
      <c r="C3607" s="5" t="s">
        <v>78</v>
      </c>
      <c r="D3607" s="5" t="s">
        <v>79</v>
      </c>
      <c r="E3607" s="5" t="s">
        <v>80</v>
      </c>
      <c r="F3607" s="5">
        <v>762163</v>
      </c>
      <c r="G3607" s="5" t="s">
        <v>10916</v>
      </c>
      <c r="H3607" s="5" t="s">
        <v>10917</v>
      </c>
      <c r="I3607" s="5" t="s">
        <v>212</v>
      </c>
      <c r="N3607" s="5" t="s">
        <v>10918</v>
      </c>
      <c r="O3607" s="5">
        <v>106.62</v>
      </c>
      <c r="P3607" s="5">
        <v>108.77</v>
      </c>
      <c r="Q3607" s="5">
        <v>103.73</v>
      </c>
      <c r="R3607" s="5">
        <v>104.25</v>
      </c>
      <c r="S3607" s="5">
        <v>104.17</v>
      </c>
      <c r="T3607" s="5">
        <v>106.72</v>
      </c>
      <c r="V3607" s="5">
        <v>104.27</v>
      </c>
      <c r="Y3607" s="5">
        <v>1243173</v>
      </c>
      <c r="Z3607" s="5">
        <v>131998299</v>
      </c>
      <c r="AA3607" s="5">
        <v>10604</v>
      </c>
      <c r="AB3607" s="5" t="s">
        <v>85</v>
      </c>
      <c r="AC3607" s="5">
        <v>1</v>
      </c>
    </row>
    <row r="3608" spans="1:29" x14ac:dyDescent="0.3">
      <c r="A3608" s="34">
        <v>46274</v>
      </c>
      <c r="B3608" s="34">
        <v>46274</v>
      </c>
      <c r="C3608" s="5" t="s">
        <v>78</v>
      </c>
      <c r="D3608" s="5" t="s">
        <v>79</v>
      </c>
      <c r="E3608" s="5" t="s">
        <v>80</v>
      </c>
      <c r="F3608" s="5">
        <v>759215</v>
      </c>
      <c r="G3608" s="5" t="s">
        <v>10919</v>
      </c>
      <c r="H3608" s="5" t="s">
        <v>10920</v>
      </c>
      <c r="I3608" s="5" t="s">
        <v>580</v>
      </c>
      <c r="N3608" s="5" t="s">
        <v>10921</v>
      </c>
      <c r="O3608" s="5">
        <v>9811</v>
      </c>
      <c r="P3608" s="5">
        <v>9811</v>
      </c>
      <c r="Q3608" s="5">
        <v>9811</v>
      </c>
      <c r="R3608" s="5">
        <v>9811</v>
      </c>
      <c r="S3608" s="5">
        <v>9811</v>
      </c>
      <c r="T3608" s="5">
        <v>9943.2000000000007</v>
      </c>
      <c r="V3608" s="5">
        <v>9811</v>
      </c>
      <c r="Y3608" s="5">
        <v>2</v>
      </c>
      <c r="Z3608" s="5">
        <v>19622</v>
      </c>
      <c r="AA3608" s="5">
        <v>2</v>
      </c>
      <c r="AB3608" s="5" t="s">
        <v>85</v>
      </c>
      <c r="AC3608" s="5">
        <v>1</v>
      </c>
    </row>
    <row r="3609" spans="1:29" x14ac:dyDescent="0.3">
      <c r="A3609" s="34">
        <v>46274</v>
      </c>
      <c r="B3609" s="34">
        <v>46274</v>
      </c>
      <c r="C3609" s="5" t="s">
        <v>78</v>
      </c>
      <c r="D3609" s="5" t="s">
        <v>79</v>
      </c>
      <c r="E3609" s="5" t="s">
        <v>80</v>
      </c>
      <c r="F3609" s="5">
        <v>9862</v>
      </c>
      <c r="G3609" s="5" t="s">
        <v>10922</v>
      </c>
      <c r="H3609" s="5" t="s">
        <v>10923</v>
      </c>
      <c r="I3609" s="5" t="s">
        <v>212</v>
      </c>
      <c r="N3609" s="5" t="s">
        <v>10924</v>
      </c>
      <c r="O3609" s="5">
        <v>42.9</v>
      </c>
      <c r="P3609" s="5">
        <v>42.9</v>
      </c>
      <c r="Q3609" s="5">
        <v>42.05</v>
      </c>
      <c r="R3609" s="5">
        <v>42.05</v>
      </c>
      <c r="S3609" s="5">
        <v>42.05</v>
      </c>
      <c r="T3609" s="5">
        <v>41.85</v>
      </c>
      <c r="V3609" s="5">
        <v>42.05</v>
      </c>
      <c r="Y3609" s="5">
        <v>195</v>
      </c>
      <c r="Z3609" s="5">
        <v>8315.94</v>
      </c>
      <c r="AA3609" s="5">
        <v>9</v>
      </c>
      <c r="AB3609" s="5" t="s">
        <v>85</v>
      </c>
      <c r="AC3609" s="5">
        <v>1</v>
      </c>
    </row>
    <row r="3610" spans="1:29" x14ac:dyDescent="0.3">
      <c r="A3610" s="34">
        <v>46274</v>
      </c>
      <c r="B3610" s="34">
        <v>46274</v>
      </c>
      <c r="C3610" s="5" t="s">
        <v>78</v>
      </c>
      <c r="D3610" s="5" t="s">
        <v>79</v>
      </c>
      <c r="E3610" s="5" t="s">
        <v>80</v>
      </c>
      <c r="F3610" s="5">
        <v>760482</v>
      </c>
      <c r="G3610" s="5" t="s">
        <v>10925</v>
      </c>
      <c r="H3610" s="5" t="s">
        <v>10926</v>
      </c>
      <c r="I3610" s="5" t="s">
        <v>212</v>
      </c>
      <c r="N3610" s="5" t="s">
        <v>10927</v>
      </c>
      <c r="O3610" s="5">
        <v>154.55000000000001</v>
      </c>
      <c r="P3610" s="5">
        <v>154.55000000000001</v>
      </c>
      <c r="Q3610" s="5">
        <v>150.57</v>
      </c>
      <c r="R3610" s="5">
        <v>151.54</v>
      </c>
      <c r="S3610" s="5">
        <v>151.41</v>
      </c>
      <c r="T3610" s="5">
        <v>151.52000000000001</v>
      </c>
      <c r="V3610" s="5">
        <v>151.54</v>
      </c>
      <c r="Y3610" s="5">
        <v>12189</v>
      </c>
      <c r="Z3610" s="5">
        <v>1849954.52</v>
      </c>
      <c r="AA3610" s="5">
        <v>122</v>
      </c>
      <c r="AB3610" s="5" t="s">
        <v>85</v>
      </c>
      <c r="AC3610" s="5">
        <v>1</v>
      </c>
    </row>
    <row r="3611" spans="1:29" x14ac:dyDescent="0.3">
      <c r="A3611" s="34">
        <v>46274</v>
      </c>
      <c r="B3611" s="34">
        <v>46274</v>
      </c>
      <c r="C3611" s="5" t="s">
        <v>78</v>
      </c>
      <c r="D3611" s="5" t="s">
        <v>79</v>
      </c>
      <c r="E3611" s="5" t="s">
        <v>80</v>
      </c>
      <c r="F3611" s="5">
        <v>1923</v>
      </c>
      <c r="G3611" s="5" t="s">
        <v>10928</v>
      </c>
      <c r="H3611" s="5" t="s">
        <v>10929</v>
      </c>
      <c r="I3611" s="5" t="s">
        <v>212</v>
      </c>
      <c r="N3611" s="5" t="s">
        <v>10930</v>
      </c>
      <c r="O3611" s="5">
        <v>844</v>
      </c>
      <c r="P3611" s="5">
        <v>854</v>
      </c>
      <c r="Q3611" s="5">
        <v>841</v>
      </c>
      <c r="R3611" s="5">
        <v>848.35</v>
      </c>
      <c r="S3611" s="5">
        <v>848.85</v>
      </c>
      <c r="T3611" s="5">
        <v>835.75</v>
      </c>
      <c r="V3611" s="5">
        <v>848.35</v>
      </c>
      <c r="Y3611" s="5">
        <v>695</v>
      </c>
      <c r="Z3611" s="5">
        <v>588435.4</v>
      </c>
      <c r="AA3611" s="5">
        <v>75</v>
      </c>
      <c r="AB3611" s="5" t="s">
        <v>85</v>
      </c>
      <c r="AC3611" s="5">
        <v>1</v>
      </c>
    </row>
    <row r="3612" spans="1:29" x14ac:dyDescent="0.3">
      <c r="A3612" s="34">
        <v>46274</v>
      </c>
      <c r="B3612" s="34">
        <v>46274</v>
      </c>
      <c r="C3612" s="5" t="s">
        <v>78</v>
      </c>
      <c r="D3612" s="5" t="s">
        <v>79</v>
      </c>
      <c r="E3612" s="5" t="s">
        <v>80</v>
      </c>
      <c r="F3612" s="5">
        <v>14602</v>
      </c>
      <c r="G3612" s="5" t="s">
        <v>10931</v>
      </c>
      <c r="H3612" s="5" t="s">
        <v>10932</v>
      </c>
      <c r="I3612" s="5" t="s">
        <v>212</v>
      </c>
      <c r="N3612" s="5" t="s">
        <v>10933</v>
      </c>
      <c r="O3612" s="5">
        <v>75.400000000000006</v>
      </c>
      <c r="P3612" s="5">
        <v>78.760000000000005</v>
      </c>
      <c r="Q3612" s="5">
        <v>75.010000000000005</v>
      </c>
      <c r="R3612" s="5">
        <v>78.36</v>
      </c>
      <c r="S3612" s="5">
        <v>78.67</v>
      </c>
      <c r="T3612" s="5">
        <v>75.010000000000005</v>
      </c>
      <c r="V3612" s="5">
        <v>78.36</v>
      </c>
      <c r="Y3612" s="5">
        <v>3125206</v>
      </c>
      <c r="Z3612" s="5">
        <v>243961676.61000001</v>
      </c>
      <c r="AA3612" s="5">
        <v>13112</v>
      </c>
      <c r="AB3612" s="5" t="s">
        <v>85</v>
      </c>
      <c r="AC3612" s="5">
        <v>1</v>
      </c>
    </row>
    <row r="3613" spans="1:29" x14ac:dyDescent="0.3">
      <c r="A3613" s="34">
        <v>46274</v>
      </c>
      <c r="B3613" s="34">
        <v>46274</v>
      </c>
      <c r="C3613" s="5" t="s">
        <v>78</v>
      </c>
      <c r="D3613" s="5" t="s">
        <v>79</v>
      </c>
      <c r="E3613" s="5" t="s">
        <v>80</v>
      </c>
      <c r="F3613" s="5">
        <v>3748</v>
      </c>
      <c r="G3613" s="5" t="s">
        <v>10934</v>
      </c>
      <c r="H3613" s="5" t="s">
        <v>10935</v>
      </c>
      <c r="I3613" s="5" t="s">
        <v>212</v>
      </c>
      <c r="N3613" s="5" t="s">
        <v>10936</v>
      </c>
      <c r="O3613" s="5">
        <v>75.28</v>
      </c>
      <c r="P3613" s="5">
        <v>75.28</v>
      </c>
      <c r="Q3613" s="5">
        <v>72.3</v>
      </c>
      <c r="R3613" s="5">
        <v>72.569999999999993</v>
      </c>
      <c r="S3613" s="5">
        <v>72.55</v>
      </c>
      <c r="T3613" s="5">
        <v>73.61</v>
      </c>
      <c r="V3613" s="5">
        <v>72.569999999999993</v>
      </c>
      <c r="Y3613" s="5">
        <v>477</v>
      </c>
      <c r="Z3613" s="5">
        <v>34730.800000000003</v>
      </c>
      <c r="AA3613" s="5">
        <v>34</v>
      </c>
      <c r="AB3613" s="5" t="s">
        <v>85</v>
      </c>
      <c r="AC3613" s="5">
        <v>1</v>
      </c>
    </row>
    <row r="3614" spans="1:29" x14ac:dyDescent="0.3">
      <c r="A3614" s="34">
        <v>46274</v>
      </c>
      <c r="B3614" s="34">
        <v>46274</v>
      </c>
      <c r="C3614" s="5" t="s">
        <v>78</v>
      </c>
      <c r="D3614" s="5" t="s">
        <v>79</v>
      </c>
      <c r="E3614" s="5" t="s">
        <v>80</v>
      </c>
      <c r="F3614" s="5">
        <v>11821</v>
      </c>
      <c r="G3614" s="5" t="s">
        <v>10937</v>
      </c>
      <c r="H3614" s="5" t="s">
        <v>10938</v>
      </c>
      <c r="I3614" s="5" t="s">
        <v>212</v>
      </c>
      <c r="N3614" s="5" t="s">
        <v>10939</v>
      </c>
      <c r="O3614" s="5">
        <v>2602.9</v>
      </c>
      <c r="P3614" s="5">
        <v>2652</v>
      </c>
      <c r="Q3614" s="5">
        <v>2586.1</v>
      </c>
      <c r="R3614" s="5">
        <v>2608.5</v>
      </c>
      <c r="S3614" s="5">
        <v>2604.6999999999998</v>
      </c>
      <c r="T3614" s="5">
        <v>2599.5</v>
      </c>
      <c r="V3614" s="5">
        <v>2608.48</v>
      </c>
      <c r="Y3614" s="5">
        <v>759849</v>
      </c>
      <c r="Z3614" s="5">
        <v>1984699750.4000001</v>
      </c>
      <c r="AA3614" s="5">
        <v>75219</v>
      </c>
      <c r="AB3614" s="5" t="s">
        <v>85</v>
      </c>
      <c r="AC3614" s="5">
        <v>1</v>
      </c>
    </row>
    <row r="3615" spans="1:29" x14ac:dyDescent="0.3">
      <c r="A3615" s="34">
        <v>46274</v>
      </c>
      <c r="B3615" s="34">
        <v>46274</v>
      </c>
      <c r="C3615" s="5" t="s">
        <v>78</v>
      </c>
      <c r="D3615" s="5" t="s">
        <v>79</v>
      </c>
      <c r="E3615" s="5" t="s">
        <v>80</v>
      </c>
      <c r="F3615" s="5">
        <v>11626</v>
      </c>
      <c r="G3615" s="5" t="s">
        <v>10940</v>
      </c>
      <c r="H3615" s="5" t="s">
        <v>35</v>
      </c>
      <c r="I3615" s="5" t="s">
        <v>212</v>
      </c>
      <c r="N3615" s="5" t="s">
        <v>10941</v>
      </c>
      <c r="O3615" s="5">
        <v>789.95</v>
      </c>
      <c r="P3615" s="5">
        <v>790.6</v>
      </c>
      <c r="Q3615" s="5">
        <v>776</v>
      </c>
      <c r="R3615" s="5">
        <v>782.85</v>
      </c>
      <c r="S3615" s="5">
        <v>784.3</v>
      </c>
      <c r="T3615" s="5">
        <v>790</v>
      </c>
      <c r="V3615" s="5">
        <v>782.84</v>
      </c>
      <c r="Y3615" s="5">
        <v>160929</v>
      </c>
      <c r="Z3615" s="5">
        <v>126061146.3</v>
      </c>
      <c r="AA3615" s="5">
        <v>8000</v>
      </c>
      <c r="AB3615" s="5" t="s">
        <v>85</v>
      </c>
      <c r="AC3615" s="5">
        <v>1</v>
      </c>
    </row>
    <row r="3616" spans="1:29" x14ac:dyDescent="0.3">
      <c r="A3616" s="34">
        <v>46274</v>
      </c>
      <c r="B3616" s="34">
        <v>46274</v>
      </c>
      <c r="C3616" s="5" t="s">
        <v>78</v>
      </c>
      <c r="D3616" s="5" t="s">
        <v>79</v>
      </c>
      <c r="E3616" s="5" t="s">
        <v>80</v>
      </c>
      <c r="F3616" s="5">
        <v>19804</v>
      </c>
      <c r="G3616" s="5" t="s">
        <v>10942</v>
      </c>
      <c r="H3616" s="5" t="s">
        <v>10943</v>
      </c>
      <c r="I3616" s="5" t="s">
        <v>234</v>
      </c>
      <c r="N3616" s="5" t="s">
        <v>10944</v>
      </c>
      <c r="O3616" s="5">
        <v>2274.3000000000002</v>
      </c>
      <c r="P3616" s="5">
        <v>2367.1</v>
      </c>
      <c r="Q3616" s="5">
        <v>2274.3000000000002</v>
      </c>
      <c r="R3616" s="5">
        <v>2339</v>
      </c>
      <c r="S3616" s="5">
        <v>2339</v>
      </c>
      <c r="T3616" s="5">
        <v>2320.6999999999998</v>
      </c>
      <c r="V3616" s="5">
        <v>2339</v>
      </c>
      <c r="Y3616" s="5">
        <v>129</v>
      </c>
      <c r="Z3616" s="5">
        <v>298745.3</v>
      </c>
      <c r="AA3616" s="5">
        <v>14</v>
      </c>
      <c r="AB3616" s="5" t="s">
        <v>85</v>
      </c>
      <c r="AC3616" s="5">
        <v>1</v>
      </c>
    </row>
    <row r="3617" spans="1:29" x14ac:dyDescent="0.3">
      <c r="A3617" s="34">
        <v>46274</v>
      </c>
      <c r="B3617" s="34">
        <v>46274</v>
      </c>
      <c r="C3617" s="5" t="s">
        <v>78</v>
      </c>
      <c r="D3617" s="5" t="s">
        <v>79</v>
      </c>
      <c r="E3617" s="5" t="s">
        <v>80</v>
      </c>
      <c r="F3617" s="5">
        <v>11253</v>
      </c>
      <c r="G3617" s="5" t="s">
        <v>10945</v>
      </c>
      <c r="H3617" s="5" t="s">
        <v>10946</v>
      </c>
      <c r="I3617" s="5" t="s">
        <v>212</v>
      </c>
      <c r="N3617" s="5" t="s">
        <v>10947</v>
      </c>
      <c r="O3617" s="5">
        <v>211.8</v>
      </c>
      <c r="P3617" s="5">
        <v>214.7</v>
      </c>
      <c r="Q3617" s="5">
        <v>207.55</v>
      </c>
      <c r="R3617" s="5">
        <v>210.28</v>
      </c>
      <c r="S3617" s="5">
        <v>210</v>
      </c>
      <c r="T3617" s="5">
        <v>207.87</v>
      </c>
      <c r="V3617" s="5">
        <v>210.29</v>
      </c>
      <c r="Y3617" s="5">
        <v>8012610</v>
      </c>
      <c r="Z3617" s="5">
        <v>1685702702.1300001</v>
      </c>
      <c r="AA3617" s="5">
        <v>71390</v>
      </c>
      <c r="AB3617" s="5" t="s">
        <v>85</v>
      </c>
      <c r="AC3617" s="5">
        <v>1</v>
      </c>
    </row>
    <row r="3618" spans="1:29" x14ac:dyDescent="0.3">
      <c r="A3618" s="34">
        <v>46274</v>
      </c>
      <c r="B3618" s="34">
        <v>46274</v>
      </c>
      <c r="C3618" s="5" t="s">
        <v>78</v>
      </c>
      <c r="D3618" s="5" t="s">
        <v>79</v>
      </c>
      <c r="E3618" s="5" t="s">
        <v>80</v>
      </c>
      <c r="F3618" s="5">
        <v>762971</v>
      </c>
      <c r="G3618" s="5" t="s">
        <v>10948</v>
      </c>
      <c r="H3618" s="5" t="s">
        <v>10949</v>
      </c>
      <c r="I3618" s="5" t="s">
        <v>212</v>
      </c>
      <c r="N3618" s="5" t="s">
        <v>10950</v>
      </c>
      <c r="O3618" s="5">
        <v>57.29</v>
      </c>
      <c r="P3618" s="5">
        <v>59.5</v>
      </c>
      <c r="Q3618" s="5">
        <v>56.63</v>
      </c>
      <c r="R3618" s="5">
        <v>56.95</v>
      </c>
      <c r="S3618" s="5">
        <v>57</v>
      </c>
      <c r="T3618" s="5">
        <v>57.11</v>
      </c>
      <c r="V3618" s="5">
        <v>56.96</v>
      </c>
      <c r="Y3618" s="5">
        <v>914578</v>
      </c>
      <c r="Z3618" s="5">
        <v>53054390.170000002</v>
      </c>
      <c r="AA3618" s="5">
        <v>5617</v>
      </c>
      <c r="AB3618" s="5" t="s">
        <v>85</v>
      </c>
      <c r="AC3618" s="5">
        <v>1</v>
      </c>
    </row>
    <row r="3619" spans="1:29" x14ac:dyDescent="0.3">
      <c r="A3619" s="34">
        <v>46274</v>
      </c>
      <c r="B3619" s="34">
        <v>46274</v>
      </c>
      <c r="C3619" s="5" t="s">
        <v>78</v>
      </c>
      <c r="D3619" s="5" t="s">
        <v>79</v>
      </c>
      <c r="E3619" s="5" t="s">
        <v>80</v>
      </c>
      <c r="F3619" s="5">
        <v>4235</v>
      </c>
      <c r="G3619" s="5" t="s">
        <v>10951</v>
      </c>
      <c r="H3619" s="5" t="s">
        <v>10952</v>
      </c>
      <c r="I3619" s="5" t="s">
        <v>212</v>
      </c>
      <c r="N3619" s="5" t="s">
        <v>10953</v>
      </c>
      <c r="O3619" s="5">
        <v>8430</v>
      </c>
      <c r="P3619" s="5">
        <v>8450</v>
      </c>
      <c r="Q3619" s="5">
        <v>8200</v>
      </c>
      <c r="R3619" s="5">
        <v>8230.5</v>
      </c>
      <c r="S3619" s="5">
        <v>8211</v>
      </c>
      <c r="T3619" s="5">
        <v>8419</v>
      </c>
      <c r="V3619" s="5">
        <v>8232.08</v>
      </c>
      <c r="Y3619" s="5">
        <v>5305</v>
      </c>
      <c r="Z3619" s="5">
        <v>43850949</v>
      </c>
      <c r="AA3619" s="5">
        <v>1386</v>
      </c>
      <c r="AB3619" s="5" t="s">
        <v>85</v>
      </c>
      <c r="AC3619" s="5">
        <v>1</v>
      </c>
    </row>
    <row r="3620" spans="1:29" x14ac:dyDescent="0.3">
      <c r="A3620" s="34">
        <v>46274</v>
      </c>
      <c r="B3620" s="34">
        <v>46274</v>
      </c>
      <c r="C3620" s="5" t="s">
        <v>78</v>
      </c>
      <c r="D3620" s="5" t="s">
        <v>79</v>
      </c>
      <c r="E3620" s="5" t="s">
        <v>80</v>
      </c>
      <c r="F3620" s="5">
        <v>3799</v>
      </c>
      <c r="G3620" s="5" t="s">
        <v>10954</v>
      </c>
      <c r="H3620" s="5" t="s">
        <v>10955</v>
      </c>
      <c r="I3620" s="5" t="s">
        <v>212</v>
      </c>
      <c r="N3620" s="5" t="s">
        <v>10956</v>
      </c>
      <c r="O3620" s="5">
        <v>677.1</v>
      </c>
      <c r="P3620" s="5">
        <v>685.5</v>
      </c>
      <c r="Q3620" s="5">
        <v>664</v>
      </c>
      <c r="R3620" s="5">
        <v>667.55</v>
      </c>
      <c r="S3620" s="5">
        <v>669.5</v>
      </c>
      <c r="T3620" s="5">
        <v>681.2</v>
      </c>
      <c r="V3620" s="5">
        <v>667.54</v>
      </c>
      <c r="Y3620" s="5">
        <v>126973</v>
      </c>
      <c r="Z3620" s="5">
        <v>85656449.299999997</v>
      </c>
      <c r="AA3620" s="5">
        <v>7110</v>
      </c>
      <c r="AB3620" s="5" t="s">
        <v>85</v>
      </c>
      <c r="AC3620" s="5">
        <v>1</v>
      </c>
    </row>
    <row r="3621" spans="1:29" x14ac:dyDescent="0.3">
      <c r="A3621" s="34">
        <v>46274</v>
      </c>
      <c r="B3621" s="34">
        <v>46274</v>
      </c>
      <c r="C3621" s="5" t="s">
        <v>78</v>
      </c>
      <c r="D3621" s="5" t="s">
        <v>79</v>
      </c>
      <c r="E3621" s="5" t="s">
        <v>80</v>
      </c>
      <c r="F3621" s="5">
        <v>25403</v>
      </c>
      <c r="G3621" s="5" t="s">
        <v>10957</v>
      </c>
      <c r="H3621" s="5" t="s">
        <v>10958</v>
      </c>
      <c r="I3621" s="5" t="s">
        <v>212</v>
      </c>
      <c r="N3621" s="5" t="s">
        <v>10959</v>
      </c>
      <c r="O3621" s="5">
        <v>84</v>
      </c>
      <c r="P3621" s="5">
        <v>85.99</v>
      </c>
      <c r="Q3621" s="5">
        <v>82.1</v>
      </c>
      <c r="R3621" s="5">
        <v>84.14</v>
      </c>
      <c r="S3621" s="5">
        <v>84.25</v>
      </c>
      <c r="T3621" s="5">
        <v>82.48</v>
      </c>
      <c r="V3621" s="5">
        <v>84.14</v>
      </c>
      <c r="Y3621" s="5">
        <v>121217</v>
      </c>
      <c r="Z3621" s="5">
        <v>10233999.52</v>
      </c>
      <c r="AA3621" s="5">
        <v>2251</v>
      </c>
      <c r="AB3621" s="5" t="s">
        <v>85</v>
      </c>
      <c r="AC3621" s="5">
        <v>1</v>
      </c>
    </row>
    <row r="3622" spans="1:29" x14ac:dyDescent="0.3">
      <c r="A3622" s="34">
        <v>46274</v>
      </c>
      <c r="B3622" s="34">
        <v>46274</v>
      </c>
      <c r="C3622" s="5" t="s">
        <v>78</v>
      </c>
      <c r="D3622" s="5" t="s">
        <v>79</v>
      </c>
      <c r="E3622" s="5" t="s">
        <v>80</v>
      </c>
      <c r="F3622" s="5">
        <v>11580</v>
      </c>
      <c r="G3622" s="5" t="s">
        <v>10960</v>
      </c>
      <c r="H3622" s="5" t="s">
        <v>10961</v>
      </c>
      <c r="I3622" s="5" t="s">
        <v>212</v>
      </c>
      <c r="N3622" s="5" t="s">
        <v>10962</v>
      </c>
      <c r="O3622" s="5">
        <v>538.25</v>
      </c>
      <c r="P3622" s="5">
        <v>579.75</v>
      </c>
      <c r="Q3622" s="5">
        <v>533</v>
      </c>
      <c r="R3622" s="5">
        <v>561.5</v>
      </c>
      <c r="S3622" s="5">
        <v>559</v>
      </c>
      <c r="T3622" s="5">
        <v>538.25</v>
      </c>
      <c r="V3622" s="5">
        <v>561.57000000000005</v>
      </c>
      <c r="Y3622" s="5">
        <v>543690</v>
      </c>
      <c r="Z3622" s="5">
        <v>304832112.35000002</v>
      </c>
      <c r="AA3622" s="5">
        <v>24122</v>
      </c>
      <c r="AB3622" s="5" t="s">
        <v>85</v>
      </c>
      <c r="AC3622" s="5">
        <v>1</v>
      </c>
    </row>
    <row r="3623" spans="1:29" x14ac:dyDescent="0.3">
      <c r="A3623" s="34">
        <v>46274</v>
      </c>
      <c r="B3623" s="34">
        <v>46274</v>
      </c>
      <c r="C3623" s="5" t="s">
        <v>78</v>
      </c>
      <c r="D3623" s="5" t="s">
        <v>79</v>
      </c>
      <c r="E3623" s="5" t="s">
        <v>80</v>
      </c>
      <c r="F3623" s="5">
        <v>759434</v>
      </c>
      <c r="G3623" s="5" t="s">
        <v>10963</v>
      </c>
      <c r="H3623" s="5" t="s">
        <v>10964</v>
      </c>
      <c r="I3623" s="5" t="s">
        <v>212</v>
      </c>
      <c r="N3623" s="5" t="s">
        <v>10965</v>
      </c>
      <c r="O3623" s="5">
        <v>662.4</v>
      </c>
      <c r="P3623" s="5">
        <v>685.5</v>
      </c>
      <c r="Q3623" s="5">
        <v>661.6</v>
      </c>
      <c r="R3623" s="5">
        <v>674.7</v>
      </c>
      <c r="S3623" s="5">
        <v>672</v>
      </c>
      <c r="T3623" s="5">
        <v>667.35</v>
      </c>
      <c r="V3623" s="5">
        <v>674.7</v>
      </c>
      <c r="Y3623" s="5">
        <v>134282</v>
      </c>
      <c r="Z3623" s="5">
        <v>90596675.400000006</v>
      </c>
      <c r="AA3623" s="5">
        <v>13269</v>
      </c>
      <c r="AB3623" s="5" t="s">
        <v>85</v>
      </c>
      <c r="AC3623" s="5">
        <v>1</v>
      </c>
    </row>
    <row r="3624" spans="1:29" x14ac:dyDescent="0.3">
      <c r="A3624" s="34">
        <v>46274</v>
      </c>
      <c r="B3624" s="34">
        <v>46274</v>
      </c>
      <c r="C3624" s="5" t="s">
        <v>78</v>
      </c>
      <c r="D3624" s="5" t="s">
        <v>79</v>
      </c>
      <c r="E3624" s="5" t="s">
        <v>80</v>
      </c>
      <c r="F3624" s="5">
        <v>3766</v>
      </c>
      <c r="G3624" s="5" t="s">
        <v>10966</v>
      </c>
      <c r="H3624" s="5" t="s">
        <v>10967</v>
      </c>
      <c r="I3624" s="5" t="s">
        <v>212</v>
      </c>
      <c r="N3624" s="5" t="s">
        <v>10968</v>
      </c>
      <c r="O3624" s="5">
        <v>2110</v>
      </c>
      <c r="P3624" s="5">
        <v>2450</v>
      </c>
      <c r="Q3624" s="5">
        <v>2110</v>
      </c>
      <c r="R3624" s="5">
        <v>2400.6</v>
      </c>
      <c r="S3624" s="5">
        <v>2450</v>
      </c>
      <c r="T3624" s="5">
        <v>2106.4</v>
      </c>
      <c r="V3624" s="5">
        <v>2400.84</v>
      </c>
      <c r="Y3624" s="5">
        <v>6608762</v>
      </c>
      <c r="Z3624" s="5">
        <v>15629717635.700001</v>
      </c>
      <c r="AA3624" s="5">
        <v>368499</v>
      </c>
      <c r="AB3624" s="5" t="s">
        <v>85</v>
      </c>
      <c r="AC3624" s="5">
        <v>1</v>
      </c>
    </row>
    <row r="3625" spans="1:29" x14ac:dyDescent="0.3">
      <c r="A3625" s="34">
        <v>46274</v>
      </c>
      <c r="B3625" s="34">
        <v>46274</v>
      </c>
      <c r="C3625" s="5" t="s">
        <v>78</v>
      </c>
      <c r="D3625" s="5" t="s">
        <v>79</v>
      </c>
      <c r="E3625" s="5" t="s">
        <v>80</v>
      </c>
      <c r="F3625" s="5">
        <v>18011</v>
      </c>
      <c r="G3625" s="5" t="s">
        <v>10969</v>
      </c>
      <c r="H3625" s="5" t="s">
        <v>10970</v>
      </c>
      <c r="I3625" s="5" t="s">
        <v>212</v>
      </c>
      <c r="N3625" s="5" t="s">
        <v>10971</v>
      </c>
      <c r="O3625" s="5">
        <v>801.9</v>
      </c>
      <c r="P3625" s="5">
        <v>805.95</v>
      </c>
      <c r="Q3625" s="5">
        <v>788</v>
      </c>
      <c r="R3625" s="5">
        <v>795</v>
      </c>
      <c r="S3625" s="5">
        <v>795.15</v>
      </c>
      <c r="T3625" s="5">
        <v>805</v>
      </c>
      <c r="V3625" s="5">
        <v>794.98</v>
      </c>
      <c r="Y3625" s="5">
        <v>167593</v>
      </c>
      <c r="Z3625" s="5">
        <v>133046883.95</v>
      </c>
      <c r="AA3625" s="5">
        <v>10617</v>
      </c>
      <c r="AB3625" s="5" t="s">
        <v>85</v>
      </c>
      <c r="AC3625" s="5">
        <v>1</v>
      </c>
    </row>
    <row r="3626" spans="1:29" x14ac:dyDescent="0.3">
      <c r="A3626" s="34">
        <v>46274</v>
      </c>
      <c r="B3626" s="34">
        <v>46274</v>
      </c>
      <c r="C3626" s="5" t="s">
        <v>78</v>
      </c>
      <c r="D3626" s="5" t="s">
        <v>79</v>
      </c>
      <c r="E3626" s="5" t="s">
        <v>80</v>
      </c>
      <c r="F3626" s="5">
        <v>3772</v>
      </c>
      <c r="G3626" s="5" t="s">
        <v>10972</v>
      </c>
      <c r="H3626" s="5" t="s">
        <v>10973</v>
      </c>
      <c r="I3626" s="5" t="s">
        <v>212</v>
      </c>
      <c r="N3626" s="5" t="s">
        <v>10974</v>
      </c>
      <c r="O3626" s="5">
        <v>24.64</v>
      </c>
      <c r="P3626" s="5">
        <v>24.64</v>
      </c>
      <c r="Q3626" s="5">
        <v>23.61</v>
      </c>
      <c r="R3626" s="5">
        <v>24.02</v>
      </c>
      <c r="S3626" s="5">
        <v>24.31</v>
      </c>
      <c r="T3626" s="5">
        <v>23.73</v>
      </c>
      <c r="V3626" s="5">
        <v>23.96</v>
      </c>
      <c r="Y3626" s="5">
        <v>1616</v>
      </c>
      <c r="Z3626" s="5">
        <v>38297.800000000003</v>
      </c>
      <c r="AA3626" s="5">
        <v>141</v>
      </c>
      <c r="AB3626" s="5" t="s">
        <v>85</v>
      </c>
      <c r="AC3626" s="5">
        <v>1</v>
      </c>
    </row>
    <row r="3627" spans="1:29" x14ac:dyDescent="0.3">
      <c r="A3627" s="34">
        <v>46274</v>
      </c>
      <c r="B3627" s="34">
        <v>46274</v>
      </c>
      <c r="C3627" s="5" t="s">
        <v>78</v>
      </c>
      <c r="D3627" s="5" t="s">
        <v>79</v>
      </c>
      <c r="E3627" s="5" t="s">
        <v>80</v>
      </c>
      <c r="F3627" s="5">
        <v>5366</v>
      </c>
      <c r="G3627" s="5" t="s">
        <v>10975</v>
      </c>
      <c r="H3627" s="5" t="s">
        <v>10976</v>
      </c>
      <c r="I3627" s="5" t="s">
        <v>212</v>
      </c>
      <c r="N3627" s="5" t="s">
        <v>10977</v>
      </c>
      <c r="O3627" s="5">
        <v>1145</v>
      </c>
      <c r="P3627" s="5">
        <v>1174.75</v>
      </c>
      <c r="Q3627" s="5">
        <v>1132.75</v>
      </c>
      <c r="R3627" s="5">
        <v>1142.45</v>
      </c>
      <c r="S3627" s="5">
        <v>1135</v>
      </c>
      <c r="T3627" s="5">
        <v>1146.0999999999999</v>
      </c>
      <c r="V3627" s="5">
        <v>1142.52</v>
      </c>
      <c r="Y3627" s="5">
        <v>145841</v>
      </c>
      <c r="Z3627" s="5">
        <v>168312940.30000001</v>
      </c>
      <c r="AA3627" s="5">
        <v>11112</v>
      </c>
      <c r="AB3627" s="5" t="s">
        <v>85</v>
      </c>
      <c r="AC3627" s="5">
        <v>1</v>
      </c>
    </row>
    <row r="3628" spans="1:29" x14ac:dyDescent="0.3">
      <c r="A3628" s="34">
        <v>46274</v>
      </c>
      <c r="B3628" s="34">
        <v>46274</v>
      </c>
      <c r="C3628" s="5" t="s">
        <v>78</v>
      </c>
      <c r="D3628" s="5" t="s">
        <v>79</v>
      </c>
      <c r="E3628" s="5" t="s">
        <v>80</v>
      </c>
      <c r="F3628" s="5">
        <v>24969</v>
      </c>
      <c r="G3628" s="5" t="s">
        <v>10978</v>
      </c>
      <c r="H3628" s="5" t="s">
        <v>10979</v>
      </c>
      <c r="I3628" s="5" t="s">
        <v>212</v>
      </c>
      <c r="N3628" s="5" t="s">
        <v>10980</v>
      </c>
      <c r="O3628" s="5">
        <v>305.39999999999998</v>
      </c>
      <c r="P3628" s="5">
        <v>306.2</v>
      </c>
      <c r="Q3628" s="5">
        <v>299.64999999999998</v>
      </c>
      <c r="R3628" s="5">
        <v>301.45</v>
      </c>
      <c r="S3628" s="5">
        <v>299.7</v>
      </c>
      <c r="T3628" s="5">
        <v>305.60000000000002</v>
      </c>
      <c r="V3628" s="5">
        <v>301.45</v>
      </c>
      <c r="Y3628" s="5">
        <v>20771</v>
      </c>
      <c r="Z3628" s="5">
        <v>6291474.7000000002</v>
      </c>
      <c r="AA3628" s="5">
        <v>635</v>
      </c>
      <c r="AB3628" s="5" t="s">
        <v>85</v>
      </c>
      <c r="AC3628" s="5">
        <v>1</v>
      </c>
    </row>
    <row r="3629" spans="1:29" x14ac:dyDescent="0.3">
      <c r="A3629" s="34">
        <v>46274</v>
      </c>
      <c r="B3629" s="34">
        <v>46274</v>
      </c>
      <c r="C3629" s="5" t="s">
        <v>78</v>
      </c>
      <c r="D3629" s="5" t="s">
        <v>79</v>
      </c>
      <c r="E3629" s="5" t="s">
        <v>80</v>
      </c>
      <c r="F3629" s="5">
        <v>24173</v>
      </c>
      <c r="G3629" s="5" t="s">
        <v>10981</v>
      </c>
      <c r="H3629" s="5" t="s">
        <v>10982</v>
      </c>
      <c r="I3629" s="5" t="s">
        <v>313</v>
      </c>
      <c r="N3629" s="5" t="s">
        <v>10983</v>
      </c>
      <c r="O3629" s="5">
        <v>29.45</v>
      </c>
      <c r="P3629" s="5">
        <v>29.5</v>
      </c>
      <c r="Q3629" s="5">
        <v>29.45</v>
      </c>
      <c r="R3629" s="5">
        <v>29.5</v>
      </c>
      <c r="S3629" s="5">
        <v>29.5</v>
      </c>
      <c r="T3629" s="5">
        <v>31</v>
      </c>
      <c r="V3629" s="5">
        <v>29.5</v>
      </c>
      <c r="Y3629" s="5">
        <v>1000</v>
      </c>
      <c r="Z3629" s="5">
        <v>29475</v>
      </c>
      <c r="AA3629" s="5">
        <v>2</v>
      </c>
      <c r="AB3629" s="5" t="s">
        <v>85</v>
      </c>
      <c r="AC3629" s="5">
        <v>500</v>
      </c>
    </row>
    <row r="3630" spans="1:29" x14ac:dyDescent="0.3">
      <c r="A3630" s="34">
        <v>46274</v>
      </c>
      <c r="B3630" s="34">
        <v>46274</v>
      </c>
      <c r="C3630" s="5" t="s">
        <v>78</v>
      </c>
      <c r="D3630" s="5" t="s">
        <v>79</v>
      </c>
      <c r="E3630" s="5" t="s">
        <v>80</v>
      </c>
      <c r="F3630" s="5">
        <v>23714</v>
      </c>
      <c r="G3630" s="5" t="s">
        <v>10984</v>
      </c>
      <c r="H3630" s="5" t="s">
        <v>10985</v>
      </c>
      <c r="I3630" s="5" t="s">
        <v>313</v>
      </c>
      <c r="N3630" s="5" t="s">
        <v>10986</v>
      </c>
      <c r="O3630" s="5">
        <v>115.4</v>
      </c>
      <c r="P3630" s="5">
        <v>115.4</v>
      </c>
      <c r="Q3630" s="5">
        <v>113.45</v>
      </c>
      <c r="R3630" s="5">
        <v>113.45</v>
      </c>
      <c r="S3630" s="5">
        <v>113.45</v>
      </c>
      <c r="T3630" s="5">
        <v>112.35</v>
      </c>
      <c r="V3630" s="5">
        <v>113.45</v>
      </c>
      <c r="Y3630" s="5">
        <v>800</v>
      </c>
      <c r="Z3630" s="5">
        <v>91540</v>
      </c>
      <c r="AA3630" s="5">
        <v>2</v>
      </c>
      <c r="AB3630" s="5" t="s">
        <v>85</v>
      </c>
      <c r="AC3630" s="5">
        <v>400</v>
      </c>
    </row>
    <row r="3631" spans="1:29" x14ac:dyDescent="0.3">
      <c r="A3631" s="34">
        <v>46274</v>
      </c>
      <c r="B3631" s="34">
        <v>46274</v>
      </c>
      <c r="C3631" s="5" t="s">
        <v>78</v>
      </c>
      <c r="D3631" s="5" t="s">
        <v>79</v>
      </c>
      <c r="E3631" s="5" t="s">
        <v>80</v>
      </c>
      <c r="F3631" s="5">
        <v>3787</v>
      </c>
      <c r="G3631" s="5" t="s">
        <v>10987</v>
      </c>
      <c r="H3631" s="5" t="s">
        <v>10988</v>
      </c>
      <c r="I3631" s="5" t="s">
        <v>212</v>
      </c>
      <c r="N3631" s="5" t="s">
        <v>10989</v>
      </c>
      <c r="O3631" s="5">
        <v>168.7</v>
      </c>
      <c r="P3631" s="5">
        <v>169.15</v>
      </c>
      <c r="Q3631" s="5">
        <v>166.37</v>
      </c>
      <c r="R3631" s="5">
        <v>167</v>
      </c>
      <c r="S3631" s="5">
        <v>167</v>
      </c>
      <c r="T3631" s="5">
        <v>171.5</v>
      </c>
      <c r="V3631" s="5">
        <v>167.01</v>
      </c>
      <c r="Y3631" s="5">
        <v>12001620</v>
      </c>
      <c r="Z3631" s="5">
        <v>2012830925.3199999</v>
      </c>
      <c r="AA3631" s="5">
        <v>117652</v>
      </c>
      <c r="AB3631" s="5" t="s">
        <v>85</v>
      </c>
      <c r="AC3631" s="5">
        <v>1</v>
      </c>
    </row>
    <row r="3632" spans="1:29" x14ac:dyDescent="0.3">
      <c r="A3632" s="34">
        <v>46274</v>
      </c>
      <c r="B3632" s="34">
        <v>46274</v>
      </c>
      <c r="C3632" s="5" t="s">
        <v>78</v>
      </c>
      <c r="D3632" s="5" t="s">
        <v>79</v>
      </c>
      <c r="E3632" s="5" t="s">
        <v>80</v>
      </c>
      <c r="F3632" s="5">
        <v>22725</v>
      </c>
      <c r="G3632" s="5" t="s">
        <v>10990</v>
      </c>
      <c r="H3632" s="5" t="s">
        <v>10991</v>
      </c>
      <c r="I3632" s="5" t="s">
        <v>313</v>
      </c>
      <c r="N3632" s="5" t="s">
        <v>10992</v>
      </c>
      <c r="O3632" s="5">
        <v>103</v>
      </c>
      <c r="P3632" s="5">
        <v>104</v>
      </c>
      <c r="Q3632" s="5">
        <v>102</v>
      </c>
      <c r="R3632" s="5">
        <v>102.5</v>
      </c>
      <c r="S3632" s="5">
        <v>102.5</v>
      </c>
      <c r="T3632" s="5">
        <v>102.5</v>
      </c>
      <c r="V3632" s="5">
        <v>102.5</v>
      </c>
      <c r="Y3632" s="5">
        <v>8000</v>
      </c>
      <c r="Z3632" s="5">
        <v>825950</v>
      </c>
      <c r="AA3632" s="5">
        <v>12</v>
      </c>
      <c r="AB3632" s="5" t="s">
        <v>85</v>
      </c>
      <c r="AC3632" s="5">
        <v>500</v>
      </c>
    </row>
    <row r="3633" spans="1:29" x14ac:dyDescent="0.3">
      <c r="A3633" s="34">
        <v>46274</v>
      </c>
      <c r="B3633" s="34">
        <v>46274</v>
      </c>
      <c r="C3633" s="5" t="s">
        <v>78</v>
      </c>
      <c r="D3633" s="5" t="s">
        <v>79</v>
      </c>
      <c r="E3633" s="5" t="s">
        <v>80</v>
      </c>
      <c r="F3633" s="5">
        <v>7506</v>
      </c>
      <c r="G3633" s="5" t="s">
        <v>10993</v>
      </c>
      <c r="H3633" s="5" t="s">
        <v>10994</v>
      </c>
      <c r="I3633" s="5" t="s">
        <v>212</v>
      </c>
      <c r="N3633" s="5" t="s">
        <v>10995</v>
      </c>
      <c r="O3633" s="5">
        <v>2225</v>
      </c>
      <c r="P3633" s="5">
        <v>2272.9</v>
      </c>
      <c r="Q3633" s="5">
        <v>2196</v>
      </c>
      <c r="R3633" s="5">
        <v>2248.8000000000002</v>
      </c>
      <c r="S3633" s="5">
        <v>2240</v>
      </c>
      <c r="T3633" s="5">
        <v>2224</v>
      </c>
      <c r="V3633" s="5">
        <v>2248.91</v>
      </c>
      <c r="Y3633" s="5">
        <v>1394874</v>
      </c>
      <c r="Z3633" s="5">
        <v>3128690151.1999998</v>
      </c>
      <c r="AA3633" s="5">
        <v>63563</v>
      </c>
      <c r="AB3633" s="5" t="s">
        <v>85</v>
      </c>
      <c r="AC3633" s="5">
        <v>1</v>
      </c>
    </row>
    <row r="3634" spans="1:29" x14ac:dyDescent="0.3">
      <c r="A3634" s="34">
        <v>46274</v>
      </c>
      <c r="B3634" s="34">
        <v>46274</v>
      </c>
      <c r="C3634" s="5" t="s">
        <v>78</v>
      </c>
      <c r="D3634" s="5" t="s">
        <v>79</v>
      </c>
      <c r="E3634" s="5" t="s">
        <v>80</v>
      </c>
      <c r="F3634" s="5">
        <v>25602</v>
      </c>
      <c r="G3634" s="5" t="s">
        <v>10996</v>
      </c>
      <c r="H3634" s="5" t="s">
        <v>10997</v>
      </c>
      <c r="I3634" s="5" t="s">
        <v>313</v>
      </c>
      <c r="N3634" s="5" t="s">
        <v>10998</v>
      </c>
      <c r="O3634" s="5">
        <v>142.5</v>
      </c>
      <c r="P3634" s="5">
        <v>142.5</v>
      </c>
      <c r="Q3634" s="5">
        <v>142.5</v>
      </c>
      <c r="R3634" s="5">
        <v>142.5</v>
      </c>
      <c r="S3634" s="5">
        <v>142.5</v>
      </c>
      <c r="T3634" s="5">
        <v>136</v>
      </c>
      <c r="V3634" s="5">
        <v>142.5</v>
      </c>
      <c r="Y3634" s="5">
        <v>1000</v>
      </c>
      <c r="Z3634" s="5">
        <v>142500</v>
      </c>
      <c r="AA3634" s="5">
        <v>1</v>
      </c>
      <c r="AB3634" s="5" t="s">
        <v>85</v>
      </c>
      <c r="AC3634" s="5">
        <v>1000</v>
      </c>
    </row>
    <row r="3635" spans="1:29" x14ac:dyDescent="0.3">
      <c r="A3635" s="34">
        <v>46274</v>
      </c>
      <c r="B3635" s="34">
        <v>46274</v>
      </c>
      <c r="C3635" s="5" t="s">
        <v>78</v>
      </c>
      <c r="D3635" s="5" t="s">
        <v>79</v>
      </c>
      <c r="E3635" s="5" t="s">
        <v>80</v>
      </c>
      <c r="F3635" s="5">
        <v>19632</v>
      </c>
      <c r="G3635" s="5" t="s">
        <v>10999</v>
      </c>
      <c r="H3635" s="5" t="s">
        <v>11000</v>
      </c>
      <c r="I3635" s="5" t="s">
        <v>392</v>
      </c>
      <c r="N3635" s="5" t="s">
        <v>11001</v>
      </c>
      <c r="O3635" s="5">
        <v>102</v>
      </c>
      <c r="P3635" s="5">
        <v>104</v>
      </c>
      <c r="Q3635" s="5">
        <v>100</v>
      </c>
      <c r="R3635" s="5">
        <v>100.4</v>
      </c>
      <c r="S3635" s="5">
        <v>100</v>
      </c>
      <c r="T3635" s="5">
        <v>101.3</v>
      </c>
      <c r="V3635" s="5">
        <v>100.4</v>
      </c>
      <c r="Y3635" s="5">
        <v>15600</v>
      </c>
      <c r="Z3635" s="5">
        <v>1571200</v>
      </c>
      <c r="AA3635" s="5">
        <v>37</v>
      </c>
      <c r="AB3635" s="5" t="s">
        <v>85</v>
      </c>
      <c r="AC3635" s="5">
        <v>400</v>
      </c>
    </row>
    <row r="3636" spans="1:29" x14ac:dyDescent="0.3">
      <c r="A3636" s="34">
        <v>46274</v>
      </c>
      <c r="B3636" s="34">
        <v>46274</v>
      </c>
      <c r="C3636" s="5" t="s">
        <v>78</v>
      </c>
      <c r="D3636" s="5" t="s">
        <v>79</v>
      </c>
      <c r="E3636" s="5" t="s">
        <v>80</v>
      </c>
      <c r="F3636" s="5">
        <v>7835</v>
      </c>
      <c r="G3636" s="5" t="s">
        <v>11002</v>
      </c>
      <c r="H3636" s="5" t="s">
        <v>11003</v>
      </c>
      <c r="I3636" s="5" t="s">
        <v>212</v>
      </c>
      <c r="N3636" s="5" t="s">
        <v>11004</v>
      </c>
      <c r="O3636" s="5">
        <v>69.39</v>
      </c>
      <c r="P3636" s="5">
        <v>72.849999999999994</v>
      </c>
      <c r="Q3636" s="5">
        <v>68.040000000000006</v>
      </c>
      <c r="R3636" s="5">
        <v>72.849999999999994</v>
      </c>
      <c r="S3636" s="5">
        <v>72.849999999999994</v>
      </c>
      <c r="T3636" s="5">
        <v>69.39</v>
      </c>
      <c r="V3636" s="5">
        <v>72.88</v>
      </c>
      <c r="Y3636" s="5">
        <v>1058750</v>
      </c>
      <c r="Z3636" s="5">
        <v>75688881.969999999</v>
      </c>
      <c r="AA3636" s="5">
        <v>6069</v>
      </c>
      <c r="AB3636" s="5" t="s">
        <v>85</v>
      </c>
      <c r="AC3636" s="5">
        <v>1</v>
      </c>
    </row>
    <row r="3637" spans="1:29" x14ac:dyDescent="0.3">
      <c r="A3637" s="34">
        <v>46274</v>
      </c>
      <c r="B3637" s="34">
        <v>46274</v>
      </c>
      <c r="C3637" s="5" t="s">
        <v>78</v>
      </c>
      <c r="D3637" s="5" t="s">
        <v>79</v>
      </c>
      <c r="E3637" s="5" t="s">
        <v>80</v>
      </c>
      <c r="F3637" s="5">
        <v>3002</v>
      </c>
      <c r="G3637" s="5" t="s">
        <v>11005</v>
      </c>
      <c r="H3637" s="5" t="s">
        <v>11006</v>
      </c>
      <c r="I3637" s="5" t="s">
        <v>212</v>
      </c>
      <c r="N3637" s="5" t="s">
        <v>11007</v>
      </c>
      <c r="O3637" s="5">
        <v>519.4</v>
      </c>
      <c r="P3637" s="5">
        <v>524.95000000000005</v>
      </c>
      <c r="Q3637" s="5">
        <v>510.2</v>
      </c>
      <c r="R3637" s="5">
        <v>517.1</v>
      </c>
      <c r="S3637" s="5">
        <v>519</v>
      </c>
      <c r="T3637" s="5">
        <v>518.4</v>
      </c>
      <c r="V3637" s="5">
        <v>517.09</v>
      </c>
      <c r="Y3637" s="5">
        <v>29909</v>
      </c>
      <c r="Z3637" s="5">
        <v>15425263.199999999</v>
      </c>
      <c r="AA3637" s="5">
        <v>1897</v>
      </c>
      <c r="AB3637" s="5" t="s">
        <v>85</v>
      </c>
      <c r="AC3637" s="5">
        <v>1</v>
      </c>
    </row>
    <row r="3638" spans="1:29" x14ac:dyDescent="0.3">
      <c r="A3638" s="34">
        <v>46274</v>
      </c>
      <c r="B3638" s="34">
        <v>46274</v>
      </c>
      <c r="C3638" s="5" t="s">
        <v>78</v>
      </c>
      <c r="D3638" s="5" t="s">
        <v>79</v>
      </c>
      <c r="E3638" s="5" t="s">
        <v>80</v>
      </c>
      <c r="F3638" s="5">
        <v>22277</v>
      </c>
      <c r="G3638" s="5" t="s">
        <v>11008</v>
      </c>
      <c r="H3638" s="5" t="s">
        <v>11009</v>
      </c>
      <c r="I3638" s="5" t="s">
        <v>212</v>
      </c>
      <c r="N3638" s="5" t="s">
        <v>11010</v>
      </c>
      <c r="O3638" s="5">
        <v>159.80000000000001</v>
      </c>
      <c r="P3638" s="5">
        <v>159.80000000000001</v>
      </c>
      <c r="Q3638" s="5">
        <v>150.05000000000001</v>
      </c>
      <c r="R3638" s="5">
        <v>151.93</v>
      </c>
      <c r="S3638" s="5">
        <v>150.05000000000001</v>
      </c>
      <c r="T3638" s="5">
        <v>155.99</v>
      </c>
      <c r="V3638" s="5">
        <v>151.93</v>
      </c>
      <c r="Y3638" s="5">
        <v>15250</v>
      </c>
      <c r="Z3638" s="5">
        <v>2322707.61</v>
      </c>
      <c r="AA3638" s="5">
        <v>151</v>
      </c>
      <c r="AB3638" s="5" t="s">
        <v>85</v>
      </c>
      <c r="AC3638" s="5">
        <v>1</v>
      </c>
    </row>
    <row r="3639" spans="1:29" x14ac:dyDescent="0.3">
      <c r="A3639" s="34">
        <v>46274</v>
      </c>
      <c r="B3639" s="34">
        <v>46274</v>
      </c>
      <c r="C3639" s="5" t="s">
        <v>78</v>
      </c>
      <c r="D3639" s="5" t="s">
        <v>79</v>
      </c>
      <c r="E3639" s="5" t="s">
        <v>80</v>
      </c>
      <c r="F3639" s="5">
        <v>11705</v>
      </c>
      <c r="G3639" s="5" t="s">
        <v>11011</v>
      </c>
      <c r="H3639" s="5" t="s">
        <v>11012</v>
      </c>
      <c r="I3639" s="5" t="s">
        <v>212</v>
      </c>
      <c r="N3639" s="5" t="s">
        <v>11013</v>
      </c>
      <c r="O3639" s="5">
        <v>64.12</v>
      </c>
      <c r="P3639" s="5">
        <v>64.989999999999995</v>
      </c>
      <c r="Q3639" s="5">
        <v>62.04</v>
      </c>
      <c r="R3639" s="5">
        <v>63.28</v>
      </c>
      <c r="S3639" s="5">
        <v>64.73</v>
      </c>
      <c r="T3639" s="5">
        <v>64.08</v>
      </c>
      <c r="V3639" s="5">
        <v>63.18</v>
      </c>
      <c r="Y3639" s="5">
        <v>78595</v>
      </c>
      <c r="Z3639" s="5">
        <v>4935381.1399999997</v>
      </c>
      <c r="AA3639" s="5">
        <v>1004</v>
      </c>
      <c r="AB3639" s="5" t="s">
        <v>85</v>
      </c>
      <c r="AC3639" s="5">
        <v>1</v>
      </c>
    </row>
    <row r="3640" spans="1:29" x14ac:dyDescent="0.3">
      <c r="A3640" s="34">
        <v>46274</v>
      </c>
      <c r="B3640" s="34">
        <v>46274</v>
      </c>
      <c r="C3640" s="5" t="s">
        <v>78</v>
      </c>
      <c r="D3640" s="5" t="s">
        <v>79</v>
      </c>
      <c r="E3640" s="5" t="s">
        <v>80</v>
      </c>
      <c r="F3640" s="5">
        <v>8477</v>
      </c>
      <c r="G3640" s="5" t="s">
        <v>11014</v>
      </c>
      <c r="H3640" s="5" t="s">
        <v>11015</v>
      </c>
      <c r="I3640" s="5" t="s">
        <v>212</v>
      </c>
      <c r="N3640" s="5" t="s">
        <v>11016</v>
      </c>
      <c r="O3640" s="5">
        <v>77.61</v>
      </c>
      <c r="P3640" s="5">
        <v>79.3</v>
      </c>
      <c r="Q3640" s="5">
        <v>76.099999999999994</v>
      </c>
      <c r="R3640" s="5">
        <v>77.47</v>
      </c>
      <c r="S3640" s="5">
        <v>76.099999999999994</v>
      </c>
      <c r="T3640" s="5">
        <v>77.61</v>
      </c>
      <c r="V3640" s="5">
        <v>77.459999999999994</v>
      </c>
      <c r="Y3640" s="5">
        <v>6890</v>
      </c>
      <c r="Z3640" s="5">
        <v>534754.27</v>
      </c>
      <c r="AA3640" s="5">
        <v>149</v>
      </c>
      <c r="AB3640" s="5" t="s">
        <v>85</v>
      </c>
      <c r="AC3640" s="5">
        <v>1</v>
      </c>
    </row>
    <row r="3641" spans="1:29" x14ac:dyDescent="0.3">
      <c r="A3641" s="34">
        <v>46274</v>
      </c>
      <c r="B3641" s="34">
        <v>46274</v>
      </c>
      <c r="C3641" s="5" t="s">
        <v>78</v>
      </c>
      <c r="D3641" s="5" t="s">
        <v>79</v>
      </c>
      <c r="E3641" s="5" t="s">
        <v>80</v>
      </c>
      <c r="F3641" s="5">
        <v>11407</v>
      </c>
      <c r="G3641" s="5" t="s">
        <v>11017</v>
      </c>
      <c r="H3641" s="5" t="s">
        <v>11018</v>
      </c>
      <c r="I3641" s="5" t="s">
        <v>212</v>
      </c>
      <c r="N3641" s="5" t="s">
        <v>11019</v>
      </c>
      <c r="O3641" s="5">
        <v>1393.8</v>
      </c>
      <c r="P3641" s="5">
        <v>1393.8</v>
      </c>
      <c r="Q3641" s="5">
        <v>1291.8</v>
      </c>
      <c r="R3641" s="5">
        <v>1301.4000000000001</v>
      </c>
      <c r="S3641" s="5">
        <v>1295.4000000000001</v>
      </c>
      <c r="T3641" s="5">
        <v>1389.7</v>
      </c>
      <c r="V3641" s="5">
        <v>1301.3900000000001</v>
      </c>
      <c r="Y3641" s="5">
        <v>85041</v>
      </c>
      <c r="Z3641" s="5">
        <v>112267600.40000001</v>
      </c>
      <c r="AA3641" s="5">
        <v>9792</v>
      </c>
      <c r="AB3641" s="5" t="s">
        <v>85</v>
      </c>
      <c r="AC3641" s="5">
        <v>1</v>
      </c>
    </row>
    <row r="3642" spans="1:29" x14ac:dyDescent="0.3">
      <c r="A3642" s="34">
        <v>46274</v>
      </c>
      <c r="B3642" s="34">
        <v>46274</v>
      </c>
      <c r="C3642" s="5" t="s">
        <v>78</v>
      </c>
      <c r="D3642" s="5" t="s">
        <v>79</v>
      </c>
      <c r="E3642" s="5" t="s">
        <v>80</v>
      </c>
      <c r="F3642" s="5">
        <v>25235</v>
      </c>
      <c r="G3642" s="5" t="s">
        <v>11020</v>
      </c>
      <c r="H3642" s="5" t="s">
        <v>11021</v>
      </c>
      <c r="I3642" s="5" t="s">
        <v>212</v>
      </c>
      <c r="N3642" s="5" t="s">
        <v>11022</v>
      </c>
      <c r="O3642" s="5">
        <v>31.26</v>
      </c>
      <c r="P3642" s="5">
        <v>31.89</v>
      </c>
      <c r="Q3642" s="5">
        <v>29.5</v>
      </c>
      <c r="R3642" s="5">
        <v>30.87</v>
      </c>
      <c r="S3642" s="5">
        <v>30.97</v>
      </c>
      <c r="T3642" s="5">
        <v>31.11</v>
      </c>
      <c r="V3642" s="5">
        <v>30.87</v>
      </c>
      <c r="Y3642" s="5">
        <v>51263</v>
      </c>
      <c r="Z3642" s="5">
        <v>1577570.83</v>
      </c>
      <c r="AA3642" s="5">
        <v>868</v>
      </c>
      <c r="AB3642" s="5" t="s">
        <v>85</v>
      </c>
      <c r="AC3642" s="5">
        <v>1</v>
      </c>
    </row>
    <row r="3643" spans="1:29" x14ac:dyDescent="0.3">
      <c r="A3643" s="34">
        <v>46274</v>
      </c>
      <c r="B3643" s="34">
        <v>46274</v>
      </c>
      <c r="C3643" s="5" t="s">
        <v>78</v>
      </c>
      <c r="D3643" s="5" t="s">
        <v>79</v>
      </c>
      <c r="E3643" s="5" t="s">
        <v>80</v>
      </c>
      <c r="F3643" s="5">
        <v>764312</v>
      </c>
      <c r="G3643" s="5" t="s">
        <v>11023</v>
      </c>
      <c r="H3643" s="5" t="s">
        <v>11024</v>
      </c>
      <c r="I3643" s="5" t="s">
        <v>212</v>
      </c>
      <c r="N3643" s="5" t="s">
        <v>11025</v>
      </c>
      <c r="O3643" s="5">
        <v>268.52</v>
      </c>
      <c r="P3643" s="5">
        <v>293.37</v>
      </c>
      <c r="Q3643" s="5">
        <v>268.52</v>
      </c>
      <c r="R3643" s="5">
        <v>293.37</v>
      </c>
      <c r="S3643" s="5">
        <v>293.37</v>
      </c>
      <c r="T3643" s="5">
        <v>266.7</v>
      </c>
      <c r="V3643" s="5">
        <v>293.37</v>
      </c>
      <c r="Y3643" s="5">
        <v>5261019</v>
      </c>
      <c r="Z3643" s="5">
        <v>1503110662.0799999</v>
      </c>
      <c r="AA3643" s="5">
        <v>54988</v>
      </c>
      <c r="AB3643" s="5" t="s">
        <v>85</v>
      </c>
      <c r="AC3643" s="5">
        <v>1</v>
      </c>
    </row>
    <row r="3644" spans="1:29" x14ac:dyDescent="0.3">
      <c r="A3644" s="34">
        <v>46274</v>
      </c>
      <c r="B3644" s="34">
        <v>46274</v>
      </c>
      <c r="C3644" s="5" t="s">
        <v>78</v>
      </c>
      <c r="D3644" s="5" t="s">
        <v>79</v>
      </c>
      <c r="E3644" s="5" t="s">
        <v>80</v>
      </c>
      <c r="F3644" s="5">
        <v>760870</v>
      </c>
      <c r="G3644" s="5" t="s">
        <v>11026</v>
      </c>
      <c r="H3644" s="5" t="s">
        <v>11027</v>
      </c>
      <c r="I3644" s="5" t="s">
        <v>313</v>
      </c>
      <c r="N3644" s="5" t="s">
        <v>11028</v>
      </c>
      <c r="O3644" s="5">
        <v>132.30000000000001</v>
      </c>
      <c r="P3644" s="5">
        <v>132.30000000000001</v>
      </c>
      <c r="Q3644" s="5">
        <v>129</v>
      </c>
      <c r="R3644" s="5">
        <v>131.75</v>
      </c>
      <c r="S3644" s="5">
        <v>131.75</v>
      </c>
      <c r="T3644" s="5">
        <v>132.30000000000001</v>
      </c>
      <c r="V3644" s="5">
        <v>131.75</v>
      </c>
      <c r="Y3644" s="5">
        <v>14000</v>
      </c>
      <c r="Z3644" s="5">
        <v>1824150</v>
      </c>
      <c r="AA3644" s="5">
        <v>11</v>
      </c>
      <c r="AB3644" s="5" t="s">
        <v>85</v>
      </c>
      <c r="AC3644" s="5">
        <v>1000</v>
      </c>
    </row>
    <row r="3645" spans="1:29" x14ac:dyDescent="0.3">
      <c r="A3645" s="34">
        <v>46274</v>
      </c>
      <c r="B3645" s="34">
        <v>46274</v>
      </c>
      <c r="C3645" s="5" t="s">
        <v>78</v>
      </c>
      <c r="D3645" s="5" t="s">
        <v>79</v>
      </c>
      <c r="E3645" s="5" t="s">
        <v>80</v>
      </c>
      <c r="F3645" s="5">
        <v>23451</v>
      </c>
      <c r="G3645" s="5" t="s">
        <v>11029</v>
      </c>
      <c r="H3645" s="5" t="s">
        <v>11030</v>
      </c>
      <c r="I3645" s="5" t="s">
        <v>313</v>
      </c>
      <c r="N3645" s="5" t="s">
        <v>11031</v>
      </c>
      <c r="O3645" s="5">
        <v>111.05</v>
      </c>
      <c r="P3645" s="5">
        <v>119.5</v>
      </c>
      <c r="Q3645" s="5">
        <v>110.5</v>
      </c>
      <c r="R3645" s="5">
        <v>115</v>
      </c>
      <c r="S3645" s="5">
        <v>115</v>
      </c>
      <c r="T3645" s="5">
        <v>112.6</v>
      </c>
      <c r="V3645" s="5">
        <v>115</v>
      </c>
      <c r="Y3645" s="5">
        <v>16800</v>
      </c>
      <c r="Z3645" s="5">
        <v>1916520</v>
      </c>
      <c r="AA3645" s="5">
        <v>20</v>
      </c>
      <c r="AB3645" s="5" t="s">
        <v>85</v>
      </c>
      <c r="AC3645" s="5">
        <v>800</v>
      </c>
    </row>
    <row r="3646" spans="1:29" x14ac:dyDescent="0.3">
      <c r="A3646" s="34">
        <v>46274</v>
      </c>
      <c r="B3646" s="34">
        <v>46274</v>
      </c>
      <c r="C3646" s="5" t="s">
        <v>78</v>
      </c>
      <c r="D3646" s="5" t="s">
        <v>79</v>
      </c>
      <c r="E3646" s="5" t="s">
        <v>80</v>
      </c>
      <c r="F3646" s="5">
        <v>18131</v>
      </c>
      <c r="G3646" s="5" t="s">
        <v>11032</v>
      </c>
      <c r="H3646" s="5" t="s">
        <v>11033</v>
      </c>
      <c r="I3646" s="5" t="s">
        <v>212</v>
      </c>
      <c r="N3646" s="5" t="s">
        <v>11034</v>
      </c>
      <c r="O3646" s="5">
        <v>4075</v>
      </c>
      <c r="P3646" s="5">
        <v>4115.8999999999996</v>
      </c>
      <c r="Q3646" s="5">
        <v>3948.1</v>
      </c>
      <c r="R3646" s="5">
        <v>3988.9</v>
      </c>
      <c r="S3646" s="5">
        <v>3980.9</v>
      </c>
      <c r="T3646" s="5">
        <v>4079.9</v>
      </c>
      <c r="V3646" s="5">
        <v>3989.3</v>
      </c>
      <c r="Y3646" s="5">
        <v>30608</v>
      </c>
      <c r="Z3646" s="5">
        <v>122974016.09999999</v>
      </c>
      <c r="AA3646" s="5">
        <v>6045</v>
      </c>
      <c r="AB3646" s="5" t="s">
        <v>85</v>
      </c>
      <c r="AC3646" s="5">
        <v>1</v>
      </c>
    </row>
    <row r="3647" spans="1:29" x14ac:dyDescent="0.3">
      <c r="A3647" s="34">
        <v>46274</v>
      </c>
      <c r="B3647" s="34">
        <v>46274</v>
      </c>
      <c r="C3647" s="5" t="s">
        <v>78</v>
      </c>
      <c r="D3647" s="5" t="s">
        <v>79</v>
      </c>
      <c r="E3647" s="5" t="s">
        <v>80</v>
      </c>
      <c r="F3647" s="5">
        <v>17627</v>
      </c>
      <c r="G3647" s="5" t="s">
        <v>11035</v>
      </c>
      <c r="H3647" s="5" t="s">
        <v>11036</v>
      </c>
      <c r="I3647" s="5" t="s">
        <v>313</v>
      </c>
      <c r="N3647" s="5" t="s">
        <v>11037</v>
      </c>
      <c r="O3647" s="5">
        <v>8.9499999999999993</v>
      </c>
      <c r="P3647" s="5">
        <v>8.9499999999999993</v>
      </c>
      <c r="Q3647" s="5">
        <v>8.9499999999999993</v>
      </c>
      <c r="R3647" s="5">
        <v>8.9499999999999993</v>
      </c>
      <c r="S3647" s="5">
        <v>8.9499999999999993</v>
      </c>
      <c r="T3647" s="5">
        <v>9.15</v>
      </c>
      <c r="V3647" s="5">
        <v>8.9499999999999993</v>
      </c>
      <c r="Y3647" s="5">
        <v>3000</v>
      </c>
      <c r="Z3647" s="5">
        <v>26850</v>
      </c>
      <c r="AA3647" s="5">
        <v>1</v>
      </c>
      <c r="AB3647" s="5" t="s">
        <v>85</v>
      </c>
      <c r="AC3647" s="5">
        <v>3000</v>
      </c>
    </row>
    <row r="3648" spans="1:29" x14ac:dyDescent="0.3">
      <c r="A3648" s="34">
        <v>46274</v>
      </c>
      <c r="B3648" s="34">
        <v>46274</v>
      </c>
      <c r="C3648" s="5" t="s">
        <v>78</v>
      </c>
      <c r="D3648" s="5" t="s">
        <v>79</v>
      </c>
      <c r="E3648" s="5" t="s">
        <v>80</v>
      </c>
      <c r="F3648" s="5">
        <v>17738</v>
      </c>
      <c r="G3648" s="5" t="s">
        <v>11038</v>
      </c>
      <c r="H3648" s="5" t="s">
        <v>11039</v>
      </c>
      <c r="I3648" s="5" t="s">
        <v>212</v>
      </c>
      <c r="N3648" s="5" t="s">
        <v>11040</v>
      </c>
      <c r="O3648" s="5">
        <v>971</v>
      </c>
      <c r="P3648" s="5">
        <v>995.6</v>
      </c>
      <c r="Q3648" s="5">
        <v>971</v>
      </c>
      <c r="R3648" s="5">
        <v>989.7</v>
      </c>
      <c r="S3648" s="5">
        <v>988</v>
      </c>
      <c r="T3648" s="5">
        <v>969.9</v>
      </c>
      <c r="V3648" s="5">
        <v>989.69</v>
      </c>
      <c r="Y3648" s="5">
        <v>233441</v>
      </c>
      <c r="Z3648" s="5">
        <v>230170074.69999999</v>
      </c>
      <c r="AA3648" s="5">
        <v>12259</v>
      </c>
      <c r="AB3648" s="5" t="s">
        <v>85</v>
      </c>
      <c r="AC3648" s="5">
        <v>1</v>
      </c>
    </row>
    <row r="3649" spans="1:29" x14ac:dyDescent="0.3">
      <c r="A3649" s="34">
        <v>46274</v>
      </c>
      <c r="B3649" s="34">
        <v>46274</v>
      </c>
      <c r="C3649" s="5" t="s">
        <v>78</v>
      </c>
      <c r="D3649" s="5" t="s">
        <v>79</v>
      </c>
      <c r="E3649" s="5" t="s">
        <v>80</v>
      </c>
      <c r="F3649" s="5">
        <v>18760</v>
      </c>
      <c r="G3649" s="5" t="s">
        <v>11041</v>
      </c>
      <c r="H3649" s="5" t="s">
        <v>11042</v>
      </c>
      <c r="I3649" s="5" t="s">
        <v>212</v>
      </c>
      <c r="N3649" s="5" t="s">
        <v>11043</v>
      </c>
      <c r="O3649" s="5">
        <v>113.18</v>
      </c>
      <c r="P3649" s="5">
        <v>115.99</v>
      </c>
      <c r="Q3649" s="5">
        <v>112.9</v>
      </c>
      <c r="R3649" s="5">
        <v>115.17</v>
      </c>
      <c r="S3649" s="5">
        <v>115.6</v>
      </c>
      <c r="T3649" s="5">
        <v>113.64</v>
      </c>
      <c r="V3649" s="5">
        <v>115.14</v>
      </c>
      <c r="Y3649" s="5">
        <v>1456925</v>
      </c>
      <c r="Z3649" s="5">
        <v>167008057.88</v>
      </c>
      <c r="AA3649" s="5">
        <v>13102</v>
      </c>
      <c r="AB3649" s="5" t="s">
        <v>85</v>
      </c>
      <c r="AC3649" s="5">
        <v>1</v>
      </c>
    </row>
    <row r="3650" spans="1:29" x14ac:dyDescent="0.3">
      <c r="A3650" s="34">
        <v>46274</v>
      </c>
      <c r="B3650" s="34">
        <v>46274</v>
      </c>
      <c r="C3650" s="5" t="s">
        <v>78</v>
      </c>
      <c r="D3650" s="5" t="s">
        <v>79</v>
      </c>
      <c r="E3650" s="5" t="s">
        <v>80</v>
      </c>
      <c r="F3650" s="5">
        <v>11915</v>
      </c>
      <c r="G3650" s="5" t="s">
        <v>11044</v>
      </c>
      <c r="H3650" s="5" t="s">
        <v>11045</v>
      </c>
      <c r="I3650" s="5" t="s">
        <v>212</v>
      </c>
      <c r="N3650" s="5" t="s">
        <v>11046</v>
      </c>
      <c r="O3650" s="5">
        <v>22.45</v>
      </c>
      <c r="P3650" s="5">
        <v>22.58</v>
      </c>
      <c r="Q3650" s="5">
        <v>22.37</v>
      </c>
      <c r="R3650" s="5">
        <v>22.42</v>
      </c>
      <c r="S3650" s="5">
        <v>22.42</v>
      </c>
      <c r="T3650" s="5">
        <v>22.52</v>
      </c>
      <c r="V3650" s="5">
        <v>22.42</v>
      </c>
      <c r="Y3650" s="5">
        <v>38540281</v>
      </c>
      <c r="Z3650" s="5">
        <v>866583762.46000004</v>
      </c>
      <c r="AA3650" s="5">
        <v>58987</v>
      </c>
      <c r="AB3650" s="5" t="s">
        <v>85</v>
      </c>
      <c r="AC3650" s="5">
        <v>1</v>
      </c>
    </row>
    <row r="3651" spans="1:29" x14ac:dyDescent="0.3">
      <c r="A3651" s="34">
        <v>46274</v>
      </c>
      <c r="B3651" s="34">
        <v>46274</v>
      </c>
      <c r="C3651" s="5" t="s">
        <v>78</v>
      </c>
      <c r="D3651" s="5" t="s">
        <v>79</v>
      </c>
      <c r="E3651" s="5" t="s">
        <v>80</v>
      </c>
      <c r="F3651" s="5">
        <v>765010</v>
      </c>
      <c r="G3651" s="5" t="s">
        <v>11047</v>
      </c>
      <c r="H3651" s="5" t="s">
        <v>11048</v>
      </c>
      <c r="I3651" s="5" t="s">
        <v>212</v>
      </c>
      <c r="N3651" s="5" t="s">
        <v>11049</v>
      </c>
      <c r="O3651" s="5">
        <v>163</v>
      </c>
      <c r="P3651" s="5">
        <v>163</v>
      </c>
      <c r="Q3651" s="5">
        <v>152</v>
      </c>
      <c r="R3651" s="5">
        <v>161.94</v>
      </c>
      <c r="S3651" s="5">
        <v>161.19</v>
      </c>
      <c r="T3651" s="5">
        <v>155.05000000000001</v>
      </c>
      <c r="V3651" s="5">
        <v>161.54</v>
      </c>
      <c r="Y3651" s="5">
        <v>49</v>
      </c>
      <c r="Z3651" s="5">
        <v>7899.19</v>
      </c>
      <c r="AA3651" s="5">
        <v>12</v>
      </c>
      <c r="AB3651" s="5" t="s">
        <v>85</v>
      </c>
      <c r="AC3651" s="5">
        <v>1</v>
      </c>
    </row>
    <row r="3652" spans="1:29" x14ac:dyDescent="0.3">
      <c r="A3652" s="34">
        <v>46274</v>
      </c>
      <c r="B3652" s="34">
        <v>46274</v>
      </c>
      <c r="C3652" s="5" t="s">
        <v>78</v>
      </c>
      <c r="D3652" s="5" t="s">
        <v>79</v>
      </c>
      <c r="E3652" s="5" t="s">
        <v>80</v>
      </c>
      <c r="F3652" s="5">
        <v>18040</v>
      </c>
      <c r="G3652" s="5" t="s">
        <v>11050</v>
      </c>
      <c r="H3652" s="5" t="s">
        <v>11051</v>
      </c>
      <c r="I3652" s="5" t="s">
        <v>313</v>
      </c>
      <c r="N3652" s="5" t="s">
        <v>11052</v>
      </c>
      <c r="O3652" s="5">
        <v>23.6</v>
      </c>
      <c r="P3652" s="5">
        <v>23.6</v>
      </c>
      <c r="Q3652" s="5">
        <v>23.6</v>
      </c>
      <c r="R3652" s="5">
        <v>23.6</v>
      </c>
      <c r="S3652" s="5">
        <v>23.6</v>
      </c>
      <c r="T3652" s="5">
        <v>24.8</v>
      </c>
      <c r="V3652" s="5">
        <v>23.6</v>
      </c>
      <c r="Y3652" s="5">
        <v>800</v>
      </c>
      <c r="Z3652" s="5">
        <v>18880</v>
      </c>
      <c r="AA3652" s="5">
        <v>1</v>
      </c>
      <c r="AB3652" s="5" t="s">
        <v>85</v>
      </c>
      <c r="AC3652" s="5">
        <v>800</v>
      </c>
    </row>
    <row r="3653" spans="1:29" x14ac:dyDescent="0.3">
      <c r="A3653" s="34">
        <v>46274</v>
      </c>
      <c r="B3653" s="34">
        <v>46274</v>
      </c>
      <c r="C3653" s="5" t="s">
        <v>78</v>
      </c>
      <c r="D3653" s="5" t="s">
        <v>79</v>
      </c>
      <c r="E3653" s="5" t="s">
        <v>80</v>
      </c>
      <c r="F3653" s="5">
        <v>5501</v>
      </c>
      <c r="G3653" s="5" t="s">
        <v>11053</v>
      </c>
      <c r="H3653" s="5" t="s">
        <v>11054</v>
      </c>
      <c r="I3653" s="5" t="s">
        <v>212</v>
      </c>
      <c r="N3653" s="5" t="s">
        <v>11055</v>
      </c>
      <c r="O3653" s="5">
        <v>1018</v>
      </c>
      <c r="P3653" s="5">
        <v>1084</v>
      </c>
      <c r="Q3653" s="5">
        <v>1000.1</v>
      </c>
      <c r="R3653" s="5">
        <v>1067.7</v>
      </c>
      <c r="S3653" s="5">
        <v>1071</v>
      </c>
      <c r="T3653" s="5">
        <v>1017.35</v>
      </c>
      <c r="V3653" s="5">
        <v>1067.79</v>
      </c>
      <c r="Y3653" s="5">
        <v>38375</v>
      </c>
      <c r="Z3653" s="5">
        <v>40385476.549999997</v>
      </c>
      <c r="AA3653" s="5">
        <v>2958</v>
      </c>
      <c r="AB3653" s="5" t="s">
        <v>85</v>
      </c>
      <c r="AC3653" s="5">
        <v>1</v>
      </c>
    </row>
    <row r="3654" spans="1:29" x14ac:dyDescent="0.3">
      <c r="A3654" s="34">
        <v>46274</v>
      </c>
      <c r="B3654" s="34">
        <v>46274</v>
      </c>
      <c r="C3654" s="5" t="s">
        <v>78</v>
      </c>
      <c r="D3654" s="5" t="s">
        <v>79</v>
      </c>
      <c r="E3654" s="5" t="s">
        <v>80</v>
      </c>
      <c r="F3654" s="5">
        <v>4229</v>
      </c>
      <c r="G3654" s="5" t="s">
        <v>11056</v>
      </c>
      <c r="H3654" s="5" t="s">
        <v>11057</v>
      </c>
      <c r="I3654" s="5" t="s">
        <v>212</v>
      </c>
      <c r="N3654" s="5" t="s">
        <v>11058</v>
      </c>
      <c r="O3654" s="5">
        <v>674</v>
      </c>
      <c r="P3654" s="5">
        <v>681.95</v>
      </c>
      <c r="Q3654" s="5">
        <v>671.05</v>
      </c>
      <c r="R3654" s="5">
        <v>680.05</v>
      </c>
      <c r="S3654" s="5">
        <v>681.95</v>
      </c>
      <c r="T3654" s="5">
        <v>670.3</v>
      </c>
      <c r="V3654" s="5">
        <v>679.98</v>
      </c>
      <c r="Y3654" s="5">
        <v>6549</v>
      </c>
      <c r="Z3654" s="5">
        <v>4439071.45</v>
      </c>
      <c r="AA3654" s="5">
        <v>243</v>
      </c>
      <c r="AB3654" s="5" t="s">
        <v>85</v>
      </c>
      <c r="AC3654" s="5">
        <v>1</v>
      </c>
    </row>
    <row r="3655" spans="1:29" x14ac:dyDescent="0.3">
      <c r="A3655" s="34">
        <v>46274</v>
      </c>
      <c r="B3655" s="34">
        <v>46274</v>
      </c>
      <c r="C3655" s="5" t="s">
        <v>78</v>
      </c>
      <c r="D3655" s="5" t="s">
        <v>79</v>
      </c>
      <c r="E3655" s="5" t="s">
        <v>80</v>
      </c>
      <c r="F3655" s="5">
        <v>23976</v>
      </c>
      <c r="G3655" s="5" t="s">
        <v>11059</v>
      </c>
      <c r="H3655" s="5" t="s">
        <v>11060</v>
      </c>
      <c r="I3655" s="5" t="s">
        <v>313</v>
      </c>
      <c r="N3655" s="5" t="s">
        <v>11061</v>
      </c>
      <c r="O3655" s="5">
        <v>451.2</v>
      </c>
      <c r="P3655" s="5">
        <v>471.75</v>
      </c>
      <c r="Q3655" s="5">
        <v>447.1</v>
      </c>
      <c r="R3655" s="5">
        <v>465.05</v>
      </c>
      <c r="S3655" s="5">
        <v>465.05</v>
      </c>
      <c r="T3655" s="5">
        <v>457.6</v>
      </c>
      <c r="V3655" s="5">
        <v>465.05</v>
      </c>
      <c r="Y3655" s="5">
        <v>27000</v>
      </c>
      <c r="Z3655" s="5">
        <v>12342600</v>
      </c>
      <c r="AA3655" s="5">
        <v>78</v>
      </c>
      <c r="AB3655" s="5" t="s">
        <v>85</v>
      </c>
      <c r="AC3655" s="5">
        <v>300</v>
      </c>
    </row>
    <row r="3656" spans="1:29" x14ac:dyDescent="0.3">
      <c r="A3656" s="34">
        <v>46274</v>
      </c>
      <c r="B3656" s="34">
        <v>46274</v>
      </c>
      <c r="C3656" s="5" t="s">
        <v>78</v>
      </c>
      <c r="D3656" s="5" t="s">
        <v>79</v>
      </c>
      <c r="E3656" s="5" t="s">
        <v>80</v>
      </c>
      <c r="F3656" s="5">
        <v>18608</v>
      </c>
      <c r="G3656" s="5" t="s">
        <v>11062</v>
      </c>
      <c r="H3656" s="5" t="s">
        <v>11063</v>
      </c>
      <c r="I3656" s="5" t="s">
        <v>212</v>
      </c>
      <c r="N3656" s="5" t="s">
        <v>11064</v>
      </c>
      <c r="O3656" s="5">
        <v>180</v>
      </c>
      <c r="P3656" s="5">
        <v>181.01</v>
      </c>
      <c r="Q3656" s="5">
        <v>176.15</v>
      </c>
      <c r="R3656" s="5">
        <v>177.06</v>
      </c>
      <c r="S3656" s="5">
        <v>177.48</v>
      </c>
      <c r="T3656" s="5">
        <v>180.11</v>
      </c>
      <c r="V3656" s="5">
        <v>177.06</v>
      </c>
      <c r="Y3656" s="5">
        <v>813875</v>
      </c>
      <c r="Z3656" s="5">
        <v>144751779.38</v>
      </c>
      <c r="AA3656" s="5">
        <v>9739</v>
      </c>
      <c r="AB3656" s="5" t="s">
        <v>85</v>
      </c>
      <c r="AC3656" s="5">
        <v>1</v>
      </c>
    </row>
    <row r="3657" spans="1:29" x14ac:dyDescent="0.3">
      <c r="A3657" s="34">
        <v>46274</v>
      </c>
      <c r="B3657" s="34">
        <v>46274</v>
      </c>
      <c r="C3657" s="5" t="s">
        <v>78</v>
      </c>
      <c r="D3657" s="5" t="s">
        <v>79</v>
      </c>
      <c r="E3657" s="5" t="s">
        <v>80</v>
      </c>
      <c r="F3657" s="5">
        <v>17766</v>
      </c>
      <c r="G3657" s="5" t="s">
        <v>11065</v>
      </c>
      <c r="H3657" s="5" t="s">
        <v>11066</v>
      </c>
      <c r="I3657" s="5" t="s">
        <v>313</v>
      </c>
      <c r="N3657" s="5" t="s">
        <v>11067</v>
      </c>
      <c r="O3657" s="5">
        <v>91</v>
      </c>
      <c r="P3657" s="5">
        <v>91</v>
      </c>
      <c r="Q3657" s="5">
        <v>85</v>
      </c>
      <c r="R3657" s="5">
        <v>87.1</v>
      </c>
      <c r="S3657" s="5">
        <v>85</v>
      </c>
      <c r="T3657" s="5">
        <v>91.4</v>
      </c>
      <c r="V3657" s="5">
        <v>87.1</v>
      </c>
      <c r="Y3657" s="5">
        <v>6000</v>
      </c>
      <c r="Z3657" s="5">
        <v>530160</v>
      </c>
      <c r="AA3657" s="5">
        <v>8</v>
      </c>
      <c r="AB3657" s="5" t="s">
        <v>85</v>
      </c>
      <c r="AC3657" s="5">
        <v>600</v>
      </c>
    </row>
    <row r="3658" spans="1:29" x14ac:dyDescent="0.3">
      <c r="A3658" s="34">
        <v>46274</v>
      </c>
      <c r="B3658" s="34">
        <v>46274</v>
      </c>
      <c r="C3658" s="5" t="s">
        <v>78</v>
      </c>
      <c r="D3658" s="5" t="s">
        <v>79</v>
      </c>
      <c r="E3658" s="5" t="s">
        <v>80</v>
      </c>
      <c r="F3658" s="5">
        <v>3812</v>
      </c>
      <c r="G3658" s="5" t="s">
        <v>11068</v>
      </c>
      <c r="H3658" s="5" t="s">
        <v>11069</v>
      </c>
      <c r="I3658" s="5" t="s">
        <v>212</v>
      </c>
      <c r="N3658" s="5" t="s">
        <v>11070</v>
      </c>
      <c r="O3658" s="5">
        <v>86.5</v>
      </c>
      <c r="P3658" s="5">
        <v>87.18</v>
      </c>
      <c r="Q3658" s="5">
        <v>84.81</v>
      </c>
      <c r="R3658" s="5">
        <v>85.71</v>
      </c>
      <c r="S3658" s="5">
        <v>85.55</v>
      </c>
      <c r="T3658" s="5">
        <v>86.31</v>
      </c>
      <c r="V3658" s="5">
        <v>85.71</v>
      </c>
      <c r="Y3658" s="5">
        <v>12868445</v>
      </c>
      <c r="Z3658" s="5">
        <v>1101688618.1600001</v>
      </c>
      <c r="AA3658" s="5">
        <v>49375</v>
      </c>
      <c r="AB3658" s="5" t="s">
        <v>85</v>
      </c>
      <c r="AC3658" s="5">
        <v>1</v>
      </c>
    </row>
    <row r="3659" spans="1:29" x14ac:dyDescent="0.3">
      <c r="A3659" s="34">
        <v>46274</v>
      </c>
      <c r="B3659" s="34">
        <v>46274</v>
      </c>
      <c r="C3659" s="5" t="s">
        <v>78</v>
      </c>
      <c r="D3659" s="5" t="s">
        <v>79</v>
      </c>
      <c r="E3659" s="5" t="s">
        <v>80</v>
      </c>
      <c r="F3659" s="5">
        <v>20856</v>
      </c>
      <c r="G3659" s="5" t="s">
        <v>11071</v>
      </c>
      <c r="H3659" s="5" t="s">
        <v>11072</v>
      </c>
      <c r="I3659" s="5" t="s">
        <v>234</v>
      </c>
      <c r="N3659" s="5" t="s">
        <v>11073</v>
      </c>
      <c r="O3659" s="5">
        <v>6.6</v>
      </c>
      <c r="P3659" s="5">
        <v>6.75</v>
      </c>
      <c r="Q3659" s="5">
        <v>6.5</v>
      </c>
      <c r="R3659" s="5">
        <v>6.65</v>
      </c>
      <c r="S3659" s="5">
        <v>6.61</v>
      </c>
      <c r="T3659" s="5">
        <v>6.61</v>
      </c>
      <c r="V3659" s="5">
        <v>6.65</v>
      </c>
      <c r="Y3659" s="5">
        <v>129047</v>
      </c>
      <c r="Z3659" s="5">
        <v>858296.12</v>
      </c>
      <c r="AA3659" s="5">
        <v>349</v>
      </c>
      <c r="AB3659" s="5" t="s">
        <v>85</v>
      </c>
      <c r="AC3659" s="5">
        <v>1</v>
      </c>
    </row>
    <row r="3660" spans="1:29" x14ac:dyDescent="0.3">
      <c r="A3660" s="34">
        <v>46274</v>
      </c>
      <c r="B3660" s="34">
        <v>46274</v>
      </c>
      <c r="C3660" s="5" t="s">
        <v>78</v>
      </c>
      <c r="D3660" s="5" t="s">
        <v>79</v>
      </c>
      <c r="E3660" s="5" t="s">
        <v>80</v>
      </c>
      <c r="F3660" s="5">
        <v>14003</v>
      </c>
      <c r="G3660" s="5" t="s">
        <v>11074</v>
      </c>
      <c r="H3660" s="5" t="s">
        <v>11075</v>
      </c>
      <c r="I3660" s="5" t="s">
        <v>212</v>
      </c>
      <c r="N3660" s="5" t="s">
        <v>11076</v>
      </c>
      <c r="O3660" s="5">
        <v>7.94</v>
      </c>
      <c r="P3660" s="5">
        <v>7.95</v>
      </c>
      <c r="Q3660" s="5">
        <v>7.58</v>
      </c>
      <c r="R3660" s="5">
        <v>7.7</v>
      </c>
      <c r="S3660" s="5">
        <v>7.71</v>
      </c>
      <c r="T3660" s="5">
        <v>7.94</v>
      </c>
      <c r="V3660" s="5">
        <v>7.7</v>
      </c>
      <c r="Y3660" s="5">
        <v>1750424</v>
      </c>
      <c r="Z3660" s="5">
        <v>13628827.390000001</v>
      </c>
      <c r="AA3660" s="5">
        <v>1781</v>
      </c>
      <c r="AB3660" s="5" t="s">
        <v>85</v>
      </c>
      <c r="AC3660" s="5">
        <v>1</v>
      </c>
    </row>
    <row r="3661" spans="1:29" x14ac:dyDescent="0.3">
      <c r="A3661" s="34">
        <v>46274</v>
      </c>
      <c r="B3661" s="34">
        <v>46274</v>
      </c>
      <c r="C3661" s="5" t="s">
        <v>78</v>
      </c>
      <c r="D3661" s="5" t="s">
        <v>79</v>
      </c>
      <c r="E3661" s="5" t="s">
        <v>80</v>
      </c>
      <c r="F3661" s="5">
        <v>7508</v>
      </c>
      <c r="G3661" s="5" t="s">
        <v>11077</v>
      </c>
      <c r="H3661" s="5" t="s">
        <v>36</v>
      </c>
      <c r="I3661" s="5" t="s">
        <v>212</v>
      </c>
      <c r="N3661" s="5" t="s">
        <v>11078</v>
      </c>
      <c r="O3661" s="5">
        <v>1820</v>
      </c>
      <c r="P3661" s="5">
        <v>1853.9</v>
      </c>
      <c r="Q3661" s="5">
        <v>1756.5</v>
      </c>
      <c r="R3661" s="5">
        <v>1762.3</v>
      </c>
      <c r="S3661" s="5">
        <v>1763</v>
      </c>
      <c r="T3661" s="5">
        <v>1825</v>
      </c>
      <c r="V3661" s="5">
        <v>1762.31</v>
      </c>
      <c r="Y3661" s="5">
        <v>447868</v>
      </c>
      <c r="Z3661" s="5">
        <v>799413865.29999995</v>
      </c>
      <c r="AA3661" s="5">
        <v>30118</v>
      </c>
      <c r="AB3661" s="5" t="s">
        <v>85</v>
      </c>
      <c r="AC3661" s="5">
        <v>1</v>
      </c>
    </row>
    <row r="3662" spans="1:29" x14ac:dyDescent="0.3">
      <c r="A3662" s="34">
        <v>46274</v>
      </c>
      <c r="B3662" s="34">
        <v>46274</v>
      </c>
      <c r="C3662" s="5" t="s">
        <v>78</v>
      </c>
      <c r="D3662" s="5" t="s">
        <v>79</v>
      </c>
      <c r="E3662" s="5" t="s">
        <v>80</v>
      </c>
      <c r="F3662" s="5">
        <v>22803</v>
      </c>
      <c r="G3662" s="5" t="s">
        <v>11079</v>
      </c>
      <c r="H3662" s="5" t="s">
        <v>11080</v>
      </c>
      <c r="I3662" s="5" t="s">
        <v>313</v>
      </c>
      <c r="N3662" s="5" t="s">
        <v>11081</v>
      </c>
      <c r="O3662" s="5">
        <v>48.85</v>
      </c>
      <c r="P3662" s="5">
        <v>48.85</v>
      </c>
      <c r="Q3662" s="5">
        <v>47.45</v>
      </c>
      <c r="R3662" s="5">
        <v>48.1</v>
      </c>
      <c r="S3662" s="5">
        <v>48.8</v>
      </c>
      <c r="T3662" s="5">
        <v>48.85</v>
      </c>
      <c r="V3662" s="5">
        <v>48.1</v>
      </c>
      <c r="Y3662" s="5">
        <v>7200</v>
      </c>
      <c r="Z3662" s="5">
        <v>345120</v>
      </c>
      <c r="AA3662" s="5">
        <v>7</v>
      </c>
      <c r="AB3662" s="5" t="s">
        <v>85</v>
      </c>
      <c r="AC3662" s="5">
        <v>800</v>
      </c>
    </row>
    <row r="3663" spans="1:29" x14ac:dyDescent="0.3">
      <c r="A3663" s="34">
        <v>46274</v>
      </c>
      <c r="B3663" s="34">
        <v>46274</v>
      </c>
      <c r="C3663" s="5" t="s">
        <v>78</v>
      </c>
      <c r="D3663" s="5" t="s">
        <v>79</v>
      </c>
      <c r="E3663" s="5" t="s">
        <v>80</v>
      </c>
      <c r="F3663" s="5">
        <v>4176</v>
      </c>
      <c r="G3663" s="5" t="s">
        <v>11082</v>
      </c>
      <c r="H3663" s="5" t="s">
        <v>11083</v>
      </c>
      <c r="I3663" s="5" t="s">
        <v>212</v>
      </c>
      <c r="N3663" s="5" t="s">
        <v>11084</v>
      </c>
      <c r="O3663" s="5">
        <v>205</v>
      </c>
      <c r="P3663" s="5">
        <v>206.85</v>
      </c>
      <c r="Q3663" s="5">
        <v>204.9</v>
      </c>
      <c r="R3663" s="5">
        <v>204.98</v>
      </c>
      <c r="S3663" s="5">
        <v>205</v>
      </c>
      <c r="T3663" s="5">
        <v>197</v>
      </c>
      <c r="V3663" s="5">
        <v>204.98</v>
      </c>
      <c r="Y3663" s="5">
        <v>18</v>
      </c>
      <c r="Z3663" s="5">
        <v>3712.1</v>
      </c>
      <c r="AA3663" s="5">
        <v>9</v>
      </c>
      <c r="AB3663" s="5" t="s">
        <v>85</v>
      </c>
      <c r="AC3663" s="5">
        <v>1</v>
      </c>
    </row>
    <row r="3664" spans="1:29" x14ac:dyDescent="0.3">
      <c r="A3664" s="34">
        <v>46274</v>
      </c>
      <c r="B3664" s="34">
        <v>46274</v>
      </c>
      <c r="C3664" s="5" t="s">
        <v>78</v>
      </c>
      <c r="D3664" s="5" t="s">
        <v>79</v>
      </c>
      <c r="E3664" s="5" t="s">
        <v>80</v>
      </c>
      <c r="F3664" s="5">
        <v>14562</v>
      </c>
      <c r="G3664" s="5" t="s">
        <v>11085</v>
      </c>
      <c r="H3664" s="5" t="s">
        <v>11086</v>
      </c>
      <c r="I3664" s="5" t="s">
        <v>212</v>
      </c>
      <c r="N3664" s="5" t="s">
        <v>11087</v>
      </c>
      <c r="O3664" s="5">
        <v>6.1</v>
      </c>
      <c r="P3664" s="5">
        <v>6.2</v>
      </c>
      <c r="Q3664" s="5">
        <v>5.99</v>
      </c>
      <c r="R3664" s="5">
        <v>6.06</v>
      </c>
      <c r="S3664" s="5">
        <v>6.02</v>
      </c>
      <c r="T3664" s="5">
        <v>6.1</v>
      </c>
      <c r="V3664" s="5">
        <v>6.06</v>
      </c>
      <c r="Y3664" s="5">
        <v>92313</v>
      </c>
      <c r="Z3664" s="5">
        <v>558835.09</v>
      </c>
      <c r="AA3664" s="5">
        <v>239</v>
      </c>
      <c r="AB3664" s="5" t="s">
        <v>85</v>
      </c>
      <c r="AC3664" s="5">
        <v>1</v>
      </c>
    </row>
    <row r="3665" spans="1:29" x14ac:dyDescent="0.3">
      <c r="A3665" s="34">
        <v>46274</v>
      </c>
      <c r="B3665" s="34">
        <v>46274</v>
      </c>
      <c r="C3665" s="5" t="s">
        <v>78</v>
      </c>
      <c r="D3665" s="5" t="s">
        <v>79</v>
      </c>
      <c r="E3665" s="5" t="s">
        <v>80</v>
      </c>
      <c r="F3665" s="5">
        <v>1076</v>
      </c>
      <c r="G3665" s="5" t="s">
        <v>11088</v>
      </c>
      <c r="H3665" s="5" t="s">
        <v>11089</v>
      </c>
      <c r="I3665" s="5" t="s">
        <v>212</v>
      </c>
      <c r="N3665" s="5" t="s">
        <v>11090</v>
      </c>
      <c r="O3665" s="5">
        <v>450.55</v>
      </c>
      <c r="P3665" s="5">
        <v>450.55</v>
      </c>
      <c r="Q3665" s="5">
        <v>435.1</v>
      </c>
      <c r="R3665" s="5">
        <v>436.95</v>
      </c>
      <c r="S3665" s="5">
        <v>436.5</v>
      </c>
      <c r="T3665" s="5">
        <v>450.55</v>
      </c>
      <c r="V3665" s="5">
        <v>436.95</v>
      </c>
      <c r="Y3665" s="5">
        <v>870647</v>
      </c>
      <c r="Z3665" s="5">
        <v>382650750.35000002</v>
      </c>
      <c r="AA3665" s="5">
        <v>24122</v>
      </c>
      <c r="AB3665" s="5" t="s">
        <v>85</v>
      </c>
      <c r="AC3665" s="5">
        <v>1</v>
      </c>
    </row>
    <row r="3666" spans="1:29" x14ac:dyDescent="0.3">
      <c r="A3666" s="34">
        <v>46274</v>
      </c>
      <c r="B3666" s="34">
        <v>46274</v>
      </c>
      <c r="C3666" s="5" t="s">
        <v>78</v>
      </c>
      <c r="D3666" s="5" t="s">
        <v>79</v>
      </c>
      <c r="E3666" s="5" t="s">
        <v>80</v>
      </c>
      <c r="F3666" s="5">
        <v>22901</v>
      </c>
      <c r="G3666" s="5" t="s">
        <v>11091</v>
      </c>
      <c r="H3666" s="5" t="s">
        <v>11092</v>
      </c>
      <c r="I3666" s="5" t="s">
        <v>212</v>
      </c>
      <c r="N3666" s="5" t="s">
        <v>11093</v>
      </c>
      <c r="O3666" s="5">
        <v>23.91</v>
      </c>
      <c r="P3666" s="5">
        <v>24.05</v>
      </c>
      <c r="Q3666" s="5">
        <v>23.82</v>
      </c>
      <c r="R3666" s="5">
        <v>23.96</v>
      </c>
      <c r="S3666" s="5">
        <v>23.95</v>
      </c>
      <c r="T3666" s="5">
        <v>23.95</v>
      </c>
      <c r="V3666" s="5">
        <v>23.96</v>
      </c>
      <c r="Y3666" s="5">
        <v>7654601</v>
      </c>
      <c r="Z3666" s="5">
        <v>183287847.22</v>
      </c>
      <c r="AA3666" s="5">
        <v>8720</v>
      </c>
      <c r="AB3666" s="5" t="s">
        <v>85</v>
      </c>
      <c r="AC3666" s="5">
        <v>1</v>
      </c>
    </row>
    <row r="3667" spans="1:29" x14ac:dyDescent="0.3">
      <c r="A3667" s="34">
        <v>46274</v>
      </c>
      <c r="B3667" s="34">
        <v>46274</v>
      </c>
      <c r="C3667" s="5" t="s">
        <v>78</v>
      </c>
      <c r="D3667" s="5" t="s">
        <v>79</v>
      </c>
      <c r="E3667" s="5" t="s">
        <v>80</v>
      </c>
      <c r="F3667" s="5">
        <v>21750</v>
      </c>
      <c r="G3667" s="5" t="s">
        <v>11094</v>
      </c>
      <c r="H3667" s="5" t="s">
        <v>38</v>
      </c>
      <c r="I3667" s="5" t="s">
        <v>212</v>
      </c>
      <c r="N3667" s="5" t="s">
        <v>11095</v>
      </c>
      <c r="O3667" s="5">
        <v>115.83</v>
      </c>
      <c r="P3667" s="5">
        <v>115.85</v>
      </c>
      <c r="Q3667" s="5">
        <v>115.83</v>
      </c>
      <c r="R3667" s="5">
        <v>115.83</v>
      </c>
      <c r="S3667" s="5">
        <v>115.84</v>
      </c>
      <c r="T3667" s="5">
        <v>115.82</v>
      </c>
      <c r="V3667" s="5">
        <v>115.83</v>
      </c>
      <c r="Y3667" s="5">
        <v>14342054</v>
      </c>
      <c r="Z3667" s="5">
        <v>1661392072.8800001</v>
      </c>
      <c r="AA3667" s="5">
        <v>19586</v>
      </c>
      <c r="AB3667" s="5" t="s">
        <v>85</v>
      </c>
      <c r="AC3667" s="5">
        <v>1</v>
      </c>
    </row>
    <row r="3668" spans="1:29" x14ac:dyDescent="0.3">
      <c r="A3668" s="34">
        <v>46274</v>
      </c>
      <c r="B3668" s="34">
        <v>46274</v>
      </c>
      <c r="C3668" s="5" t="s">
        <v>78</v>
      </c>
      <c r="D3668" s="5" t="s">
        <v>79</v>
      </c>
      <c r="E3668" s="5" t="s">
        <v>80</v>
      </c>
      <c r="F3668" s="5">
        <v>758705</v>
      </c>
      <c r="G3668" s="5" t="s">
        <v>11096</v>
      </c>
      <c r="H3668" s="5" t="s">
        <v>11097</v>
      </c>
      <c r="I3668" s="5" t="s">
        <v>212</v>
      </c>
      <c r="N3668" s="5" t="s">
        <v>11098</v>
      </c>
      <c r="O3668" s="5">
        <v>30.55</v>
      </c>
      <c r="P3668" s="5">
        <v>30.55</v>
      </c>
      <c r="Q3668" s="5">
        <v>30.4</v>
      </c>
      <c r="R3668" s="5">
        <v>30.42</v>
      </c>
      <c r="S3668" s="5">
        <v>30.41</v>
      </c>
      <c r="T3668" s="5">
        <v>30.41</v>
      </c>
      <c r="V3668" s="5">
        <v>30.42</v>
      </c>
      <c r="Y3668" s="5">
        <v>134201</v>
      </c>
      <c r="Z3668" s="5">
        <v>4085368.8</v>
      </c>
      <c r="AA3668" s="5">
        <v>200</v>
      </c>
      <c r="AB3668" s="5" t="s">
        <v>85</v>
      </c>
      <c r="AC3668" s="5">
        <v>1</v>
      </c>
    </row>
    <row r="3669" spans="1:29" x14ac:dyDescent="0.3">
      <c r="A3669" s="34">
        <v>46274</v>
      </c>
      <c r="B3669" s="34">
        <v>46274</v>
      </c>
      <c r="C3669" s="5" t="s">
        <v>78</v>
      </c>
      <c r="D3669" s="5" t="s">
        <v>79</v>
      </c>
      <c r="E3669" s="5" t="s">
        <v>80</v>
      </c>
      <c r="F3669" s="5">
        <v>24077</v>
      </c>
      <c r="G3669" s="5" t="s">
        <v>11099</v>
      </c>
      <c r="H3669" s="5" t="s">
        <v>11100</v>
      </c>
      <c r="I3669" s="5" t="s">
        <v>212</v>
      </c>
      <c r="N3669" s="5" t="s">
        <v>11101</v>
      </c>
      <c r="O3669" s="5">
        <v>11.79</v>
      </c>
      <c r="P3669" s="5">
        <v>11.79</v>
      </c>
      <c r="Q3669" s="5">
        <v>11.55</v>
      </c>
      <c r="R3669" s="5">
        <v>11.57</v>
      </c>
      <c r="S3669" s="5">
        <v>11.61</v>
      </c>
      <c r="T3669" s="5">
        <v>11.63</v>
      </c>
      <c r="V3669" s="5">
        <v>11.57</v>
      </c>
      <c r="Y3669" s="5">
        <v>1277038</v>
      </c>
      <c r="Z3669" s="5">
        <v>14806914.869999999</v>
      </c>
      <c r="AA3669" s="5">
        <v>3513</v>
      </c>
      <c r="AB3669" s="5" t="s">
        <v>85</v>
      </c>
      <c r="AC3669" s="5">
        <v>1</v>
      </c>
    </row>
    <row r="3670" spans="1:29" x14ac:dyDescent="0.3">
      <c r="A3670" s="34">
        <v>46274</v>
      </c>
      <c r="B3670" s="34">
        <v>46274</v>
      </c>
      <c r="C3670" s="5" t="s">
        <v>78</v>
      </c>
      <c r="D3670" s="5" t="s">
        <v>79</v>
      </c>
      <c r="E3670" s="5" t="s">
        <v>80</v>
      </c>
      <c r="F3670" s="5">
        <v>759302</v>
      </c>
      <c r="G3670" s="5" t="s">
        <v>11102</v>
      </c>
      <c r="H3670" s="5" t="s">
        <v>11103</v>
      </c>
      <c r="I3670" s="5" t="s">
        <v>212</v>
      </c>
      <c r="N3670" s="5" t="s">
        <v>11104</v>
      </c>
      <c r="O3670" s="5">
        <v>9.75</v>
      </c>
      <c r="P3670" s="5">
        <v>9.75</v>
      </c>
      <c r="Q3670" s="5">
        <v>9.43</v>
      </c>
      <c r="R3670" s="5">
        <v>9.4499999999999993</v>
      </c>
      <c r="S3670" s="5">
        <v>9.48</v>
      </c>
      <c r="T3670" s="5">
        <v>9.52</v>
      </c>
      <c r="V3670" s="5">
        <v>9.4499999999999993</v>
      </c>
      <c r="Y3670" s="5">
        <v>1416249</v>
      </c>
      <c r="Z3670" s="5">
        <v>13402873.1</v>
      </c>
      <c r="AA3670" s="5">
        <v>2486</v>
      </c>
      <c r="AB3670" s="5" t="s">
        <v>85</v>
      </c>
      <c r="AC3670" s="5">
        <v>1</v>
      </c>
    </row>
    <row r="3671" spans="1:29" x14ac:dyDescent="0.3">
      <c r="A3671" s="34">
        <v>46274</v>
      </c>
      <c r="B3671" s="34">
        <v>46274</v>
      </c>
      <c r="C3671" s="5" t="s">
        <v>78</v>
      </c>
      <c r="D3671" s="5" t="s">
        <v>79</v>
      </c>
      <c r="E3671" s="5" t="s">
        <v>80</v>
      </c>
      <c r="F3671" s="5">
        <v>30274</v>
      </c>
      <c r="G3671" s="5" t="s">
        <v>11105</v>
      </c>
      <c r="H3671" s="5" t="s">
        <v>11106</v>
      </c>
      <c r="I3671" s="5" t="s">
        <v>212</v>
      </c>
      <c r="N3671" s="5" t="s">
        <v>11107</v>
      </c>
      <c r="O3671" s="5">
        <v>23.36</v>
      </c>
      <c r="P3671" s="5">
        <v>23.71</v>
      </c>
      <c r="Q3671" s="5">
        <v>23.36</v>
      </c>
      <c r="R3671" s="5">
        <v>23.6</v>
      </c>
      <c r="S3671" s="5">
        <v>23.59</v>
      </c>
      <c r="T3671" s="5">
        <v>23.45</v>
      </c>
      <c r="V3671" s="5">
        <v>23.59</v>
      </c>
      <c r="Y3671" s="5">
        <v>7178481</v>
      </c>
      <c r="Z3671" s="5">
        <v>169427836.09999999</v>
      </c>
      <c r="AA3671" s="5">
        <v>5073</v>
      </c>
      <c r="AB3671" s="5" t="s">
        <v>85</v>
      </c>
      <c r="AC3671" s="5">
        <v>1</v>
      </c>
    </row>
    <row r="3672" spans="1:29" x14ac:dyDescent="0.3">
      <c r="A3672" s="34">
        <v>46274</v>
      </c>
      <c r="B3672" s="34">
        <v>46274</v>
      </c>
      <c r="C3672" s="5" t="s">
        <v>78</v>
      </c>
      <c r="D3672" s="5" t="s">
        <v>79</v>
      </c>
      <c r="E3672" s="5" t="s">
        <v>80</v>
      </c>
      <c r="F3672" s="5">
        <v>758955</v>
      </c>
      <c r="G3672" s="5" t="s">
        <v>11108</v>
      </c>
      <c r="H3672" s="5" t="s">
        <v>11109</v>
      </c>
      <c r="I3672" s="5" t="s">
        <v>212</v>
      </c>
      <c r="N3672" s="5" t="s">
        <v>11110</v>
      </c>
      <c r="O3672" s="5">
        <v>11.61</v>
      </c>
      <c r="P3672" s="5">
        <v>11.61</v>
      </c>
      <c r="Q3672" s="5">
        <v>11.39</v>
      </c>
      <c r="R3672" s="5">
        <v>11.41</v>
      </c>
      <c r="S3672" s="5">
        <v>11.44</v>
      </c>
      <c r="T3672" s="5">
        <v>11.46</v>
      </c>
      <c r="V3672" s="5">
        <v>11.41</v>
      </c>
      <c r="Y3672" s="5">
        <v>733407</v>
      </c>
      <c r="Z3672" s="5">
        <v>8376801.3499999996</v>
      </c>
      <c r="AA3672" s="5">
        <v>1369</v>
      </c>
      <c r="AB3672" s="5" t="s">
        <v>85</v>
      </c>
      <c r="AC3672" s="5">
        <v>1</v>
      </c>
    </row>
    <row r="3673" spans="1:29" x14ac:dyDescent="0.3">
      <c r="A3673" s="34">
        <v>46274</v>
      </c>
      <c r="B3673" s="34">
        <v>46274</v>
      </c>
      <c r="C3673" s="5" t="s">
        <v>78</v>
      </c>
      <c r="D3673" s="5" t="s">
        <v>79</v>
      </c>
      <c r="E3673" s="5" t="s">
        <v>80</v>
      </c>
      <c r="F3673" s="5">
        <v>24081</v>
      </c>
      <c r="G3673" s="5" t="s">
        <v>11111</v>
      </c>
      <c r="H3673" s="5" t="s">
        <v>11112</v>
      </c>
      <c r="I3673" s="5" t="s">
        <v>212</v>
      </c>
      <c r="N3673" s="5" t="s">
        <v>11113</v>
      </c>
      <c r="O3673" s="5">
        <v>10.64</v>
      </c>
      <c r="P3673" s="5">
        <v>10.64</v>
      </c>
      <c r="Q3673" s="5">
        <v>10.35</v>
      </c>
      <c r="R3673" s="5">
        <v>10.37</v>
      </c>
      <c r="S3673" s="5">
        <v>10.38</v>
      </c>
      <c r="T3673" s="5">
        <v>10.43</v>
      </c>
      <c r="V3673" s="5">
        <v>10.37</v>
      </c>
      <c r="Y3673" s="5">
        <v>966569</v>
      </c>
      <c r="Z3673" s="5">
        <v>10042364.17</v>
      </c>
      <c r="AA3673" s="5">
        <v>1369</v>
      </c>
      <c r="AB3673" s="5" t="s">
        <v>85</v>
      </c>
      <c r="AC3673" s="5">
        <v>1</v>
      </c>
    </row>
    <row r="3674" spans="1:29" x14ac:dyDescent="0.3">
      <c r="A3674" s="34">
        <v>46274</v>
      </c>
      <c r="B3674" s="34">
        <v>46274</v>
      </c>
      <c r="C3674" s="5" t="s">
        <v>78</v>
      </c>
      <c r="D3674" s="5" t="s">
        <v>79</v>
      </c>
      <c r="E3674" s="5" t="s">
        <v>80</v>
      </c>
      <c r="F3674" s="5">
        <v>16915</v>
      </c>
      <c r="G3674" s="5" t="s">
        <v>11114</v>
      </c>
      <c r="H3674" s="5" t="s">
        <v>11115</v>
      </c>
      <c r="I3674" s="5" t="s">
        <v>212</v>
      </c>
      <c r="N3674" s="5" t="s">
        <v>11116</v>
      </c>
      <c r="O3674" s="5">
        <v>2517.4</v>
      </c>
      <c r="P3674" s="5">
        <v>2517.4</v>
      </c>
      <c r="Q3674" s="5">
        <v>2446.9</v>
      </c>
      <c r="R3674" s="5">
        <v>2469.9</v>
      </c>
      <c r="S3674" s="5">
        <v>2474.4</v>
      </c>
      <c r="T3674" s="5">
        <v>2517.4</v>
      </c>
      <c r="V3674" s="5">
        <v>2469.91</v>
      </c>
      <c r="Y3674" s="5">
        <v>88800</v>
      </c>
      <c r="Z3674" s="5">
        <v>219081366.69999999</v>
      </c>
      <c r="AA3674" s="5">
        <v>15538</v>
      </c>
      <c r="AB3674" s="5" t="s">
        <v>85</v>
      </c>
      <c r="AC3674" s="5">
        <v>1</v>
      </c>
    </row>
    <row r="3675" spans="1:29" x14ac:dyDescent="0.3">
      <c r="A3675" s="34">
        <v>46274</v>
      </c>
      <c r="B3675" s="34">
        <v>46274</v>
      </c>
      <c r="C3675" s="5" t="s">
        <v>78</v>
      </c>
      <c r="D3675" s="5" t="s">
        <v>79</v>
      </c>
      <c r="E3675" s="5" t="s">
        <v>80</v>
      </c>
      <c r="F3675" s="5">
        <v>12384</v>
      </c>
      <c r="G3675" s="5" t="s">
        <v>11117</v>
      </c>
      <c r="H3675" s="5" t="s">
        <v>11118</v>
      </c>
      <c r="I3675" s="5" t="s">
        <v>212</v>
      </c>
      <c r="N3675" s="5" t="s">
        <v>11119</v>
      </c>
      <c r="O3675" s="5">
        <v>128.19999999999999</v>
      </c>
      <c r="P3675" s="5">
        <v>135</v>
      </c>
      <c r="Q3675" s="5">
        <v>126.76</v>
      </c>
      <c r="R3675" s="5">
        <v>133.35</v>
      </c>
      <c r="S3675" s="5">
        <v>135</v>
      </c>
      <c r="T3675" s="5">
        <v>129.1</v>
      </c>
      <c r="V3675" s="5">
        <v>133.33000000000001</v>
      </c>
      <c r="Y3675" s="5">
        <v>170175</v>
      </c>
      <c r="Z3675" s="5">
        <v>22597170.210000001</v>
      </c>
      <c r="AA3675" s="5">
        <v>2112</v>
      </c>
      <c r="AB3675" s="5" t="s">
        <v>85</v>
      </c>
      <c r="AC3675" s="5">
        <v>1</v>
      </c>
    </row>
    <row r="3676" spans="1:29" x14ac:dyDescent="0.3">
      <c r="A3676" s="34">
        <v>46274</v>
      </c>
      <c r="B3676" s="34">
        <v>46274</v>
      </c>
      <c r="C3676" s="5" t="s">
        <v>78</v>
      </c>
      <c r="D3676" s="5" t="s">
        <v>79</v>
      </c>
      <c r="E3676" s="5" t="s">
        <v>80</v>
      </c>
      <c r="F3676" s="5">
        <v>3821</v>
      </c>
      <c r="G3676" s="5" t="s">
        <v>11120</v>
      </c>
      <c r="H3676" s="5" t="s">
        <v>11121</v>
      </c>
      <c r="I3676" s="5" t="s">
        <v>212</v>
      </c>
      <c r="N3676" s="5" t="s">
        <v>11122</v>
      </c>
      <c r="O3676" s="5">
        <v>71.5</v>
      </c>
      <c r="P3676" s="5">
        <v>72</v>
      </c>
      <c r="Q3676" s="5">
        <v>69.989999999999995</v>
      </c>
      <c r="R3676" s="5">
        <v>71.03</v>
      </c>
      <c r="S3676" s="5">
        <v>71.099999999999994</v>
      </c>
      <c r="T3676" s="5">
        <v>71.5</v>
      </c>
      <c r="V3676" s="5">
        <v>71.33</v>
      </c>
      <c r="Y3676" s="5">
        <v>3803</v>
      </c>
      <c r="Z3676" s="5">
        <v>268712.09000000003</v>
      </c>
      <c r="AA3676" s="5">
        <v>92</v>
      </c>
      <c r="AB3676" s="5" t="s">
        <v>85</v>
      </c>
      <c r="AC3676" s="5">
        <v>1</v>
      </c>
    </row>
    <row r="3677" spans="1:29" x14ac:dyDescent="0.3">
      <c r="A3677" s="34">
        <v>46274</v>
      </c>
      <c r="B3677" s="34">
        <v>46274</v>
      </c>
      <c r="C3677" s="5" t="s">
        <v>78</v>
      </c>
      <c r="D3677" s="5" t="s">
        <v>79</v>
      </c>
      <c r="E3677" s="5" t="s">
        <v>80</v>
      </c>
      <c r="F3677" s="5">
        <v>7129</v>
      </c>
      <c r="G3677" s="5" t="s">
        <v>11123</v>
      </c>
      <c r="H3677" s="5" t="s">
        <v>11124</v>
      </c>
      <c r="I3677" s="5" t="s">
        <v>212</v>
      </c>
      <c r="N3677" s="5" t="s">
        <v>11125</v>
      </c>
      <c r="O3677" s="5">
        <v>239.44</v>
      </c>
      <c r="P3677" s="5">
        <v>239.44</v>
      </c>
      <c r="Q3677" s="5">
        <v>232.21</v>
      </c>
      <c r="R3677" s="5">
        <v>233.46</v>
      </c>
      <c r="S3677" s="5">
        <v>233.1</v>
      </c>
      <c r="T3677" s="5">
        <v>235.28</v>
      </c>
      <c r="V3677" s="5">
        <v>233.51</v>
      </c>
      <c r="Y3677" s="5">
        <v>7149</v>
      </c>
      <c r="Z3677" s="5">
        <v>1672394.86</v>
      </c>
      <c r="AA3677" s="5">
        <v>529</v>
      </c>
      <c r="AB3677" s="5" t="s">
        <v>85</v>
      </c>
      <c r="AC3677" s="5">
        <v>1</v>
      </c>
    </row>
    <row r="3678" spans="1:29" x14ac:dyDescent="0.3">
      <c r="A3678" s="34">
        <v>46274</v>
      </c>
      <c r="B3678" s="34">
        <v>46274</v>
      </c>
      <c r="C3678" s="5" t="s">
        <v>78</v>
      </c>
      <c r="D3678" s="5" t="s">
        <v>79</v>
      </c>
      <c r="E3678" s="5" t="s">
        <v>80</v>
      </c>
      <c r="F3678" s="5">
        <v>11394</v>
      </c>
      <c r="G3678" s="5" t="s">
        <v>11126</v>
      </c>
      <c r="H3678" s="5" t="s">
        <v>11127</v>
      </c>
      <c r="I3678" s="5" t="s">
        <v>212</v>
      </c>
      <c r="N3678" s="5" t="s">
        <v>11128</v>
      </c>
      <c r="O3678" s="5">
        <v>1105.8</v>
      </c>
      <c r="P3678" s="5">
        <v>1123.9000000000001</v>
      </c>
      <c r="Q3678" s="5">
        <v>1095.9000000000001</v>
      </c>
      <c r="R3678" s="5">
        <v>1114.3</v>
      </c>
      <c r="S3678" s="5">
        <v>1116.8</v>
      </c>
      <c r="T3678" s="5">
        <v>1113.0999999999999</v>
      </c>
      <c r="V3678" s="5">
        <v>1114.3</v>
      </c>
      <c r="Y3678" s="5">
        <v>42339</v>
      </c>
      <c r="Z3678" s="5">
        <v>47007628.600000001</v>
      </c>
      <c r="AA3678" s="5">
        <v>1801</v>
      </c>
      <c r="AB3678" s="5" t="s">
        <v>85</v>
      </c>
      <c r="AC3678" s="5">
        <v>1</v>
      </c>
    </row>
    <row r="3679" spans="1:29" x14ac:dyDescent="0.3">
      <c r="A3679" s="34">
        <v>46274</v>
      </c>
      <c r="B3679" s="34">
        <v>46274</v>
      </c>
      <c r="C3679" s="5" t="s">
        <v>78</v>
      </c>
      <c r="D3679" s="5" t="s">
        <v>79</v>
      </c>
      <c r="E3679" s="5" t="s">
        <v>80</v>
      </c>
      <c r="F3679" s="5">
        <v>29050</v>
      </c>
      <c r="G3679" s="5" t="s">
        <v>11129</v>
      </c>
      <c r="H3679" s="5" t="s">
        <v>11130</v>
      </c>
      <c r="I3679" s="5" t="s">
        <v>212</v>
      </c>
      <c r="N3679" s="5" t="s">
        <v>11131</v>
      </c>
      <c r="O3679" s="5">
        <v>226.83</v>
      </c>
      <c r="P3679" s="5">
        <v>228.8</v>
      </c>
      <c r="Q3679" s="5">
        <v>224.41</v>
      </c>
      <c r="R3679" s="5">
        <v>225.63</v>
      </c>
      <c r="S3679" s="5">
        <v>225.39</v>
      </c>
      <c r="T3679" s="5">
        <v>227.96</v>
      </c>
      <c r="V3679" s="5">
        <v>225.63</v>
      </c>
      <c r="Y3679" s="5">
        <v>42224</v>
      </c>
      <c r="Z3679" s="5">
        <v>9553517.2699999996</v>
      </c>
      <c r="AA3679" s="5">
        <v>1310</v>
      </c>
      <c r="AB3679" s="5" t="s">
        <v>85</v>
      </c>
      <c r="AC3679" s="5">
        <v>1</v>
      </c>
    </row>
    <row r="3680" spans="1:29" x14ac:dyDescent="0.3">
      <c r="A3680" s="34">
        <v>46274</v>
      </c>
      <c r="B3680" s="34">
        <v>46274</v>
      </c>
      <c r="C3680" s="5" t="s">
        <v>78</v>
      </c>
      <c r="D3680" s="5" t="s">
        <v>79</v>
      </c>
      <c r="E3680" s="5" t="s">
        <v>80</v>
      </c>
      <c r="F3680" s="5">
        <v>3827</v>
      </c>
      <c r="G3680" s="5" t="s">
        <v>11132</v>
      </c>
      <c r="H3680" s="5" t="s">
        <v>11133</v>
      </c>
      <c r="I3680" s="5" t="s">
        <v>212</v>
      </c>
      <c r="N3680" s="5" t="s">
        <v>11134</v>
      </c>
      <c r="O3680" s="5">
        <v>277.55</v>
      </c>
      <c r="P3680" s="5">
        <v>279.5</v>
      </c>
      <c r="Q3680" s="5">
        <v>273</v>
      </c>
      <c r="R3680" s="5">
        <v>273.55</v>
      </c>
      <c r="S3680" s="5">
        <v>273</v>
      </c>
      <c r="T3680" s="5">
        <v>278.45</v>
      </c>
      <c r="V3680" s="5">
        <v>273.55</v>
      </c>
      <c r="Y3680" s="5">
        <v>32325</v>
      </c>
      <c r="Z3680" s="5">
        <v>8923537.8000000007</v>
      </c>
      <c r="AA3680" s="5">
        <v>1443</v>
      </c>
      <c r="AB3680" s="5" t="s">
        <v>85</v>
      </c>
      <c r="AC3680" s="5">
        <v>1</v>
      </c>
    </row>
    <row r="3681" spans="1:29" x14ac:dyDescent="0.3">
      <c r="A3681" s="34">
        <v>46274</v>
      </c>
      <c r="B3681" s="34">
        <v>46274</v>
      </c>
      <c r="C3681" s="5" t="s">
        <v>78</v>
      </c>
      <c r="D3681" s="5" t="s">
        <v>79</v>
      </c>
      <c r="E3681" s="5" t="s">
        <v>80</v>
      </c>
      <c r="F3681" s="5">
        <v>7929</v>
      </c>
      <c r="G3681" s="5" t="s">
        <v>11135</v>
      </c>
      <c r="H3681" s="5" t="s">
        <v>11136</v>
      </c>
      <c r="I3681" s="5" t="s">
        <v>212</v>
      </c>
      <c r="N3681" s="5" t="s">
        <v>11137</v>
      </c>
      <c r="O3681" s="5">
        <v>1150</v>
      </c>
      <c r="P3681" s="5">
        <v>1158</v>
      </c>
      <c r="Q3681" s="5">
        <v>1126.5</v>
      </c>
      <c r="R3681" s="5">
        <v>1127.4000000000001</v>
      </c>
      <c r="S3681" s="5">
        <v>1127.4000000000001</v>
      </c>
      <c r="T3681" s="5">
        <v>1145.5</v>
      </c>
      <c r="V3681" s="5">
        <v>1127.4000000000001</v>
      </c>
      <c r="Y3681" s="5">
        <v>1185373</v>
      </c>
      <c r="Z3681" s="5">
        <v>1342198751.5999999</v>
      </c>
      <c r="AA3681" s="5">
        <v>28191</v>
      </c>
      <c r="AB3681" s="5" t="s">
        <v>85</v>
      </c>
      <c r="AC3681" s="5">
        <v>1</v>
      </c>
    </row>
    <row r="3682" spans="1:29" x14ac:dyDescent="0.3">
      <c r="A3682" s="34">
        <v>46274</v>
      </c>
      <c r="B3682" s="34">
        <v>46274</v>
      </c>
      <c r="C3682" s="5" t="s">
        <v>78</v>
      </c>
      <c r="D3682" s="5" t="s">
        <v>79</v>
      </c>
      <c r="E3682" s="5" t="s">
        <v>80</v>
      </c>
      <c r="F3682" s="5">
        <v>17635</v>
      </c>
      <c r="G3682" s="5" t="s">
        <v>11138</v>
      </c>
      <c r="H3682" s="5" t="s">
        <v>11139</v>
      </c>
      <c r="I3682" s="5" t="s">
        <v>212</v>
      </c>
      <c r="N3682" s="5" t="s">
        <v>11140</v>
      </c>
      <c r="O3682" s="5">
        <v>558.25</v>
      </c>
      <c r="P3682" s="5">
        <v>561.35</v>
      </c>
      <c r="Q3682" s="5">
        <v>551.4</v>
      </c>
      <c r="R3682" s="5">
        <v>554.20000000000005</v>
      </c>
      <c r="S3682" s="5">
        <v>552</v>
      </c>
      <c r="T3682" s="5">
        <v>558.15</v>
      </c>
      <c r="V3682" s="5">
        <v>554.25</v>
      </c>
      <c r="Y3682" s="5">
        <v>195180</v>
      </c>
      <c r="Z3682" s="5">
        <v>108536778.25</v>
      </c>
      <c r="AA3682" s="5">
        <v>15936</v>
      </c>
      <c r="AB3682" s="5" t="s">
        <v>85</v>
      </c>
      <c r="AC3682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B17" sqref="B17"/>
    </sheetView>
  </sheetViews>
  <sheetFormatPr defaultRowHeight="14.4" x14ac:dyDescent="0.3"/>
  <cols>
    <col min="1" max="1" width="13.88671875" bestFit="1" customWidth="1"/>
    <col min="2" max="2" width="22.6640625" bestFit="1" customWidth="1"/>
    <col min="3" max="3" width="7.5546875" bestFit="1" customWidth="1"/>
  </cols>
  <sheetData>
    <row r="1" spans="1:3" x14ac:dyDescent="0.3">
      <c r="A1" t="s">
        <v>11141</v>
      </c>
      <c r="B1" s="2" t="s">
        <v>11142</v>
      </c>
      <c r="C1" s="3"/>
    </row>
    <row r="2" spans="1:3" x14ac:dyDescent="0.3">
      <c r="A2" t="s">
        <v>9</v>
      </c>
      <c r="B2" t="s">
        <v>9</v>
      </c>
      <c r="C2" s="1">
        <v>550.6</v>
      </c>
    </row>
    <row r="3" spans="1:3" x14ac:dyDescent="0.3">
      <c r="A3" t="s">
        <v>11</v>
      </c>
      <c r="B3" s="4" t="s">
        <v>11</v>
      </c>
      <c r="C3" s="1">
        <v>1706.1</v>
      </c>
    </row>
    <row r="4" spans="1:3" x14ac:dyDescent="0.3">
      <c r="A4" t="s">
        <v>12</v>
      </c>
      <c r="B4" t="s">
        <v>12</v>
      </c>
      <c r="C4" s="1">
        <v>1580</v>
      </c>
    </row>
    <row r="5" spans="1:3" x14ac:dyDescent="0.3">
      <c r="A5" t="s">
        <v>13</v>
      </c>
      <c r="B5" t="s">
        <v>13</v>
      </c>
      <c r="C5" s="1">
        <v>664.95</v>
      </c>
    </row>
    <row r="6" spans="1:3" x14ac:dyDescent="0.3">
      <c r="A6" t="s">
        <v>14</v>
      </c>
      <c r="B6" t="s">
        <v>14</v>
      </c>
      <c r="C6" s="1">
        <v>2293.6</v>
      </c>
    </row>
    <row r="7" spans="1:3" x14ac:dyDescent="0.3">
      <c r="A7" s="4" t="s">
        <v>15</v>
      </c>
      <c r="B7" s="4" t="s">
        <v>15</v>
      </c>
      <c r="C7" s="1">
        <v>1407.8</v>
      </c>
    </row>
    <row r="8" spans="1:3" x14ac:dyDescent="0.3">
      <c r="A8" s="4" t="s">
        <v>16</v>
      </c>
      <c r="B8" s="4" t="s">
        <v>16</v>
      </c>
      <c r="C8" s="1">
        <v>604.5</v>
      </c>
    </row>
    <row r="9" spans="1:3" x14ac:dyDescent="0.3">
      <c r="A9" s="4" t="s">
        <v>17</v>
      </c>
      <c r="B9" s="4" t="s">
        <v>17</v>
      </c>
      <c r="C9" s="1">
        <v>712.55</v>
      </c>
    </row>
    <row r="10" spans="1:3" x14ac:dyDescent="0.3">
      <c r="A10" s="4" t="s">
        <v>19</v>
      </c>
      <c r="B10" s="4" t="s">
        <v>19</v>
      </c>
      <c r="C10" s="1">
        <v>468.25</v>
      </c>
    </row>
    <row r="11" spans="1:3" x14ac:dyDescent="0.3">
      <c r="A11" s="4" t="s">
        <v>18</v>
      </c>
      <c r="B11" s="4" t="s">
        <v>18</v>
      </c>
      <c r="C11" s="1">
        <v>262.75</v>
      </c>
    </row>
    <row r="12" spans="1:3" ht="13.95" customHeight="1" x14ac:dyDescent="0.3">
      <c r="A12" s="4" t="s">
        <v>21</v>
      </c>
      <c r="B12" s="4" t="s">
        <v>21</v>
      </c>
      <c r="C12" s="1">
        <v>380.1</v>
      </c>
    </row>
    <row r="13" spans="1:3" x14ac:dyDescent="0.3">
      <c r="A13" s="4" t="s">
        <v>22</v>
      </c>
      <c r="B13" s="4" t="s">
        <v>22</v>
      </c>
      <c r="C13" s="1">
        <v>195.83</v>
      </c>
    </row>
    <row r="14" spans="1:3" x14ac:dyDescent="0.3">
      <c r="A14" s="4" t="s">
        <v>23</v>
      </c>
      <c r="B14" s="4" t="s">
        <v>23</v>
      </c>
      <c r="C14" s="1">
        <v>77.39</v>
      </c>
    </row>
    <row r="15" spans="1:3" x14ac:dyDescent="0.3">
      <c r="A15" s="4" t="s">
        <v>24</v>
      </c>
      <c r="B15" s="4" t="s">
        <v>24</v>
      </c>
      <c r="C15" s="1">
        <v>1009.05</v>
      </c>
    </row>
    <row r="16" spans="1:3" x14ac:dyDescent="0.3">
      <c r="A16" s="4" t="s">
        <v>25</v>
      </c>
      <c r="B16" s="4" t="s">
        <v>25</v>
      </c>
      <c r="C16" s="1">
        <v>288.89999999999998</v>
      </c>
    </row>
    <row r="17" spans="1:3" x14ac:dyDescent="0.3">
      <c r="A17" s="4" t="s">
        <v>6476</v>
      </c>
      <c r="B17" s="4" t="s">
        <v>6476</v>
      </c>
      <c r="C17" s="1">
        <v>116.54</v>
      </c>
    </row>
    <row r="18" spans="1:3" x14ac:dyDescent="0.3">
      <c r="A18" s="4" t="s">
        <v>28</v>
      </c>
      <c r="B18" s="4" t="s">
        <v>28</v>
      </c>
      <c r="C18" s="1">
        <v>2430.1</v>
      </c>
    </row>
    <row r="19" spans="1:3" x14ac:dyDescent="0.3">
      <c r="A19" s="4" t="s">
        <v>29</v>
      </c>
      <c r="B19" s="4" t="s">
        <v>29</v>
      </c>
      <c r="C19" s="1">
        <v>219.57</v>
      </c>
    </row>
    <row r="20" spans="1:3" x14ac:dyDescent="0.3">
      <c r="A20" s="4" t="s">
        <v>30</v>
      </c>
      <c r="B20" s="4" t="s">
        <v>30</v>
      </c>
      <c r="C20" s="1">
        <v>109.13</v>
      </c>
    </row>
    <row r="21" spans="1:3" x14ac:dyDescent="0.3">
      <c r="A21" s="4" t="s">
        <v>31</v>
      </c>
      <c r="B21" s="4" t="s">
        <v>31</v>
      </c>
      <c r="C21" s="1">
        <v>876.35</v>
      </c>
    </row>
    <row r="22" spans="1:3" x14ac:dyDescent="0.3">
      <c r="A22" s="4" t="s">
        <v>32</v>
      </c>
      <c r="B22" s="4" t="s">
        <v>32</v>
      </c>
      <c r="C22" s="1">
        <v>2678.3</v>
      </c>
    </row>
    <row r="23" spans="1:3" x14ac:dyDescent="0.3">
      <c r="A23" s="4" t="s">
        <v>33</v>
      </c>
      <c r="B23" s="4" t="s">
        <v>33</v>
      </c>
      <c r="C23" s="1">
        <v>7462</v>
      </c>
    </row>
    <row r="24" spans="1:3" x14ac:dyDescent="0.3">
      <c r="A24" s="4" t="s">
        <v>34</v>
      </c>
      <c r="B24" s="4" t="s">
        <v>34</v>
      </c>
      <c r="C24" s="1">
        <v>288.35000000000002</v>
      </c>
    </row>
    <row r="25" spans="1:3" x14ac:dyDescent="0.3">
      <c r="A25" s="4" t="s">
        <v>35</v>
      </c>
      <c r="B25" s="4" t="s">
        <v>35</v>
      </c>
      <c r="C25" s="1">
        <v>782.85</v>
      </c>
    </row>
    <row r="26" spans="1:3" x14ac:dyDescent="0.3">
      <c r="A26" s="4" t="s">
        <v>36</v>
      </c>
      <c r="B26" s="4" t="s">
        <v>36</v>
      </c>
      <c r="C26" s="1">
        <v>1762.3</v>
      </c>
    </row>
    <row r="27" spans="1:3" x14ac:dyDescent="0.3">
      <c r="A27" s="4" t="s">
        <v>37</v>
      </c>
      <c r="B27" s="4" t="s">
        <v>37</v>
      </c>
      <c r="C27" s="1">
        <v>999.99</v>
      </c>
    </row>
    <row r="28" spans="1:3" x14ac:dyDescent="0.3">
      <c r="A28" s="4" t="s">
        <v>38</v>
      </c>
      <c r="B28" s="4" t="s">
        <v>38</v>
      </c>
      <c r="C28" s="1">
        <v>115.83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tabSelected="1" topLeftCell="A8" zoomScaleNormal="100" workbookViewId="0">
      <selection activeCell="F34" sqref="F34"/>
    </sheetView>
  </sheetViews>
  <sheetFormatPr defaultColWidth="9.109375" defaultRowHeight="14.4" x14ac:dyDescent="0.3"/>
  <cols>
    <col min="1" max="1" width="18.33203125" style="5" bestFit="1" customWidth="1"/>
    <col min="2" max="2" width="7.88671875" style="5" bestFit="1" customWidth="1"/>
    <col min="3" max="3" width="11" style="10" bestFit="1" customWidth="1"/>
    <col min="4" max="4" width="12.6640625" style="5" bestFit="1" customWidth="1"/>
    <col min="5" max="5" width="8.109375" style="12" bestFit="1" customWidth="1"/>
    <col min="6" max="6" width="13.6640625" style="12" bestFit="1" customWidth="1"/>
    <col min="7" max="7" width="10.109375" style="5" bestFit="1" customWidth="1"/>
    <col min="8" max="8" width="24.44140625" style="5" bestFit="1" customWidth="1"/>
    <col min="9" max="9" width="17.88671875" style="5" bestFit="1" customWidth="1"/>
    <col min="10" max="10" width="4" style="5" bestFit="1" customWidth="1"/>
    <col min="11" max="11" width="15.5546875" style="5" bestFit="1" customWidth="1"/>
    <col min="12" max="12" width="9.109375" style="27" customWidth="1"/>
    <col min="13" max="18" width="9.109375" style="5" customWidth="1"/>
    <col min="19" max="16384" width="9.109375" style="5"/>
  </cols>
  <sheetData>
    <row r="1" spans="1:11" x14ac:dyDescent="0.3">
      <c r="A1" s="6" t="s">
        <v>0</v>
      </c>
      <c r="B1" s="8" t="s">
        <v>1</v>
      </c>
      <c r="C1" s="25" t="s">
        <v>2</v>
      </c>
      <c r="D1" s="24" t="s">
        <v>3</v>
      </c>
      <c r="E1" s="22" t="s">
        <v>4</v>
      </c>
      <c r="F1" s="23" t="s">
        <v>5</v>
      </c>
      <c r="G1" s="29" t="s">
        <v>6</v>
      </c>
      <c r="H1" s="8" t="s">
        <v>7</v>
      </c>
      <c r="I1" s="20" t="s">
        <v>8</v>
      </c>
    </row>
    <row r="2" spans="1:11" x14ac:dyDescent="0.3">
      <c r="A2" s="5" t="s">
        <v>9</v>
      </c>
      <c r="B2" s="8">
        <v>527001</v>
      </c>
      <c r="C2" s="10">
        <f t="shared" ref="C2:C14" si="0">F2/$F$28</f>
        <v>2.9506295763353337E-2</v>
      </c>
      <c r="D2" s="11">
        <v>503140</v>
      </c>
      <c r="E2" s="12">
        <v>550.6</v>
      </c>
      <c r="F2" s="12">
        <f>E2*D2</f>
        <v>277028884</v>
      </c>
      <c r="G2" s="28">
        <f t="shared" ref="G2:G11" si="1">D2-H2</f>
        <v>503140</v>
      </c>
      <c r="H2" s="32">
        <v>0</v>
      </c>
      <c r="I2" s="11">
        <v>0</v>
      </c>
      <c r="J2" s="5" t="s">
        <v>10</v>
      </c>
    </row>
    <row r="3" spans="1:11" x14ac:dyDescent="0.3">
      <c r="A3" s="5" t="s">
        <v>11</v>
      </c>
      <c r="B3" s="7">
        <v>532493</v>
      </c>
      <c r="C3" s="10">
        <f t="shared" si="0"/>
        <v>0.15721557686782844</v>
      </c>
      <c r="D3" s="11">
        <v>865170</v>
      </c>
      <c r="E3" s="12">
        <v>1706.1</v>
      </c>
      <c r="F3" s="12">
        <f t="shared" ref="F3:F26" si="2">E3*D3</f>
        <v>1476066537</v>
      </c>
      <c r="G3" s="24">
        <f t="shared" si="1"/>
        <v>852679</v>
      </c>
      <c r="H3" s="20">
        <v>12491</v>
      </c>
      <c r="I3" s="5">
        <f t="shared" ref="I3:I11" si="3">H3*E3</f>
        <v>21310895.099999998</v>
      </c>
    </row>
    <row r="4" spans="1:11" x14ac:dyDescent="0.3">
      <c r="A4" s="5" t="s">
        <v>12</v>
      </c>
      <c r="B4" s="7">
        <v>544397</v>
      </c>
      <c r="C4" s="10">
        <f t="shared" si="0"/>
        <v>5.2074941666329179E-2</v>
      </c>
      <c r="D4" s="11">
        <v>309444</v>
      </c>
      <c r="E4" s="12">
        <v>1580</v>
      </c>
      <c r="F4" s="12">
        <f t="shared" si="2"/>
        <v>488921520</v>
      </c>
      <c r="G4" s="28">
        <f t="shared" si="1"/>
        <v>309444</v>
      </c>
      <c r="H4" s="33">
        <v>0</v>
      </c>
      <c r="I4" s="5">
        <f t="shared" si="3"/>
        <v>0</v>
      </c>
      <c r="J4" s="5" t="s">
        <v>10</v>
      </c>
    </row>
    <row r="5" spans="1:11" x14ac:dyDescent="0.3">
      <c r="A5" s="5" t="s">
        <v>13</v>
      </c>
      <c r="B5" s="7">
        <v>532668</v>
      </c>
      <c r="C5" s="10">
        <f t="shared" si="0"/>
        <v>1.8913399028712058E-2</v>
      </c>
      <c r="D5" s="11">
        <v>267049</v>
      </c>
      <c r="E5" s="12">
        <v>664.95</v>
      </c>
      <c r="F5" s="12">
        <f t="shared" si="2"/>
        <v>177574232.55000001</v>
      </c>
      <c r="G5" s="28">
        <f t="shared" si="1"/>
        <v>267049</v>
      </c>
      <c r="H5" s="33">
        <v>0</v>
      </c>
      <c r="I5" s="13">
        <f t="shared" si="3"/>
        <v>0</v>
      </c>
      <c r="J5" s="5" t="s">
        <v>10</v>
      </c>
    </row>
    <row r="6" spans="1:11" x14ac:dyDescent="0.3">
      <c r="A6" s="5" t="s">
        <v>14</v>
      </c>
      <c r="B6" s="7">
        <v>543896</v>
      </c>
      <c r="C6" s="10">
        <f t="shared" si="0"/>
        <v>0.13019288960882888</v>
      </c>
      <c r="D6" s="11">
        <v>532942</v>
      </c>
      <c r="E6" s="12">
        <v>2293.6</v>
      </c>
      <c r="F6" s="12">
        <f t="shared" si="2"/>
        <v>1222355771.2</v>
      </c>
      <c r="G6" s="28">
        <f t="shared" si="1"/>
        <v>532942</v>
      </c>
      <c r="H6" s="20">
        <v>0</v>
      </c>
      <c r="I6" s="13">
        <f t="shared" si="3"/>
        <v>0</v>
      </c>
      <c r="J6" s="5" t="s">
        <v>10</v>
      </c>
    </row>
    <row r="7" spans="1:11" x14ac:dyDescent="0.3">
      <c r="A7" s="5" t="s">
        <v>15</v>
      </c>
      <c r="B7" s="5">
        <v>509675</v>
      </c>
      <c r="C7" s="10">
        <f t="shared" si="0"/>
        <v>1.405130101592602E-2</v>
      </c>
      <c r="D7" s="13">
        <v>93710</v>
      </c>
      <c r="E7" s="12">
        <v>1407.8</v>
      </c>
      <c r="F7" s="12">
        <f t="shared" si="2"/>
        <v>131924938</v>
      </c>
      <c r="G7" s="24">
        <f t="shared" si="1"/>
        <v>92498</v>
      </c>
      <c r="H7" s="20">
        <v>1212</v>
      </c>
      <c r="I7" s="5">
        <f t="shared" si="3"/>
        <v>1706253.5999999999</v>
      </c>
    </row>
    <row r="8" spans="1:11" x14ac:dyDescent="0.3">
      <c r="A8" s="5" t="s">
        <v>16</v>
      </c>
      <c r="B8" s="5">
        <v>8937</v>
      </c>
      <c r="C8" s="10">
        <f t="shared" si="0"/>
        <v>6.5339759174981984E-2</v>
      </c>
      <c r="D8" s="13">
        <v>1014826</v>
      </c>
      <c r="E8" s="12">
        <v>604.5</v>
      </c>
      <c r="F8" s="12">
        <f t="shared" si="2"/>
        <v>613462317</v>
      </c>
      <c r="G8" s="28">
        <f t="shared" si="1"/>
        <v>1014826</v>
      </c>
      <c r="H8" s="33">
        <v>0</v>
      </c>
      <c r="I8" s="5">
        <f t="shared" si="3"/>
        <v>0</v>
      </c>
      <c r="J8" s="5" t="s">
        <v>10</v>
      </c>
    </row>
    <row r="9" spans="1:11" x14ac:dyDescent="0.3">
      <c r="A9" s="5" t="s">
        <v>17</v>
      </c>
      <c r="B9" s="5">
        <v>539787</v>
      </c>
      <c r="C9" s="10">
        <f t="shared" si="0"/>
        <v>5.4128280859613673E-2</v>
      </c>
      <c r="D9" s="13">
        <v>713213</v>
      </c>
      <c r="E9" s="12">
        <v>712.55</v>
      </c>
      <c r="F9" s="12">
        <f t="shared" si="2"/>
        <v>508199923.14999998</v>
      </c>
      <c r="G9" s="28">
        <f t="shared" si="1"/>
        <v>713213</v>
      </c>
      <c r="H9" s="33">
        <v>0</v>
      </c>
      <c r="I9" s="5">
        <f t="shared" si="3"/>
        <v>0</v>
      </c>
      <c r="J9" s="5" t="s">
        <v>10</v>
      </c>
    </row>
    <row r="10" spans="1:11" x14ac:dyDescent="0.3">
      <c r="A10" s="6" t="s">
        <v>19</v>
      </c>
      <c r="B10" s="27" t="s">
        <v>20</v>
      </c>
      <c r="C10" s="10">
        <f t="shared" si="0"/>
        <v>2.7393864566739694E-2</v>
      </c>
      <c r="D10" s="13">
        <v>549270</v>
      </c>
      <c r="E10" s="12">
        <v>468.25</v>
      </c>
      <c r="F10" s="12">
        <f t="shared" si="2"/>
        <v>257195677.5</v>
      </c>
      <c r="G10" s="28">
        <v>549270</v>
      </c>
      <c r="H10" s="33">
        <v>0</v>
      </c>
      <c r="I10" s="5">
        <v>0</v>
      </c>
    </row>
    <row r="11" spans="1:11" x14ac:dyDescent="0.3">
      <c r="A11" s="5" t="s">
        <v>18</v>
      </c>
      <c r="B11" s="5">
        <v>509631</v>
      </c>
      <c r="C11" s="10">
        <f t="shared" si="0"/>
        <v>1.5539539257958097E-2</v>
      </c>
      <c r="D11" s="13">
        <v>555272</v>
      </c>
      <c r="E11" s="12">
        <v>262.75</v>
      </c>
      <c r="F11" s="12">
        <f t="shared" si="2"/>
        <v>145897718</v>
      </c>
      <c r="G11" s="28">
        <f t="shared" si="1"/>
        <v>555272</v>
      </c>
      <c r="H11" s="33">
        <v>0</v>
      </c>
      <c r="I11" s="5">
        <f t="shared" si="3"/>
        <v>0</v>
      </c>
    </row>
    <row r="12" spans="1:11" x14ac:dyDescent="0.3">
      <c r="A12" s="5" t="s">
        <v>21</v>
      </c>
      <c r="B12" s="5">
        <v>519552</v>
      </c>
      <c r="C12" s="10">
        <f t="shared" si="0"/>
        <v>3.5794468303670383E-2</v>
      </c>
      <c r="D12" s="13">
        <v>884155</v>
      </c>
      <c r="E12" s="12">
        <v>380.1</v>
      </c>
      <c r="F12" s="12">
        <f t="shared" si="2"/>
        <v>336067315.5</v>
      </c>
      <c r="G12" s="24">
        <f t="shared" ref="G12:G27" si="4">D12-H12</f>
        <v>871575</v>
      </c>
      <c r="H12" s="20">
        <v>12580</v>
      </c>
      <c r="I12" s="5">
        <f>H12*E12</f>
        <v>4781658</v>
      </c>
    </row>
    <row r="13" spans="1:11" x14ac:dyDescent="0.3">
      <c r="A13" s="5" t="s">
        <v>22</v>
      </c>
      <c r="B13" s="5">
        <v>500186</v>
      </c>
      <c r="C13" s="10">
        <f t="shared" si="0"/>
        <v>1.3758692438564554E-2</v>
      </c>
      <c r="D13" s="13">
        <v>659642</v>
      </c>
      <c r="E13" s="12">
        <v>195.83</v>
      </c>
      <c r="F13" s="12">
        <f t="shared" si="2"/>
        <v>129177692.86000001</v>
      </c>
      <c r="G13" s="24">
        <f t="shared" si="4"/>
        <v>638042</v>
      </c>
      <c r="H13" s="20">
        <v>21600</v>
      </c>
      <c r="I13" s="5">
        <f>H13*E13</f>
        <v>4229928</v>
      </c>
    </row>
    <row r="14" spans="1:11" x14ac:dyDescent="0.3">
      <c r="A14" s="5" t="s">
        <v>23</v>
      </c>
      <c r="B14" s="5">
        <v>539083</v>
      </c>
      <c r="C14" s="10">
        <f t="shared" si="0"/>
        <v>1.6796886875438587E-2</v>
      </c>
      <c r="D14" s="13">
        <v>2037766</v>
      </c>
      <c r="E14" s="12">
        <v>77.39</v>
      </c>
      <c r="F14" s="12">
        <f t="shared" si="2"/>
        <v>157702710.74000001</v>
      </c>
      <c r="G14" s="28">
        <f t="shared" si="4"/>
        <v>2037766</v>
      </c>
      <c r="H14" s="33">
        <v>0</v>
      </c>
      <c r="I14" s="7">
        <v>0</v>
      </c>
      <c r="J14" s="5" t="s">
        <v>10</v>
      </c>
    </row>
    <row r="15" spans="1:11" x14ac:dyDescent="0.3">
      <c r="A15" s="5" t="s">
        <v>24</v>
      </c>
      <c r="B15" s="5">
        <v>544081</v>
      </c>
      <c r="C15" s="10">
        <v>2.9399999999999999E-2</v>
      </c>
      <c r="D15" s="13">
        <v>270306</v>
      </c>
      <c r="E15" s="12">
        <v>1009.05</v>
      </c>
      <c r="F15" s="12">
        <f t="shared" si="2"/>
        <v>272752269.30000001</v>
      </c>
      <c r="G15" s="28">
        <f t="shared" si="4"/>
        <v>270306</v>
      </c>
      <c r="H15" s="33">
        <v>0</v>
      </c>
      <c r="I15" s="7">
        <v>0</v>
      </c>
    </row>
    <row r="16" spans="1:11" x14ac:dyDescent="0.3">
      <c r="A16" s="20" t="s">
        <v>25</v>
      </c>
      <c r="B16" s="20">
        <v>540749</v>
      </c>
      <c r="C16" s="30">
        <f t="shared" ref="C16:C26" si="5">F16/$F$28</f>
        <v>1.5619200293375324E-4</v>
      </c>
      <c r="D16" s="20">
        <v>5076</v>
      </c>
      <c r="E16" s="21">
        <v>288.89999999999998</v>
      </c>
      <c r="F16" s="12">
        <f t="shared" si="2"/>
        <v>1466456.4</v>
      </c>
      <c r="G16" s="24">
        <f t="shared" si="4"/>
        <v>0</v>
      </c>
      <c r="H16" s="33">
        <v>5076</v>
      </c>
      <c r="I16" s="5">
        <f t="shared" ref="I16:I30" si="6">H16*E16</f>
        <v>1466456.4</v>
      </c>
      <c r="J16" s="5" t="s">
        <v>26</v>
      </c>
      <c r="K16" s="5" t="s">
        <v>27</v>
      </c>
    </row>
    <row r="17" spans="1:11" x14ac:dyDescent="0.3">
      <c r="A17" s="5" t="s">
        <v>28</v>
      </c>
      <c r="B17" s="5">
        <v>539302</v>
      </c>
      <c r="C17" s="10">
        <f t="shared" si="5"/>
        <v>6.1494784792516841E-2</v>
      </c>
      <c r="D17" s="13">
        <v>237588</v>
      </c>
      <c r="E17" s="12">
        <v>2430.1</v>
      </c>
      <c r="F17" s="12">
        <f t="shared" si="2"/>
        <v>577362598.79999995</v>
      </c>
      <c r="G17" s="24">
        <f t="shared" si="4"/>
        <v>235302</v>
      </c>
      <c r="H17" s="20">
        <v>2286</v>
      </c>
      <c r="I17" s="5">
        <f t="shared" si="6"/>
        <v>5555208.5999999996</v>
      </c>
    </row>
    <row r="18" spans="1:11" x14ac:dyDescent="0.3">
      <c r="A18" s="20" t="s">
        <v>29</v>
      </c>
      <c r="B18" s="5">
        <v>500336</v>
      </c>
      <c r="C18" s="30">
        <f t="shared" si="5"/>
        <v>6.6061791248718353E-4</v>
      </c>
      <c r="D18" s="20">
        <v>28248</v>
      </c>
      <c r="E18" s="12">
        <v>219.57</v>
      </c>
      <c r="F18" s="12">
        <f t="shared" si="2"/>
        <v>6202413.3599999994</v>
      </c>
      <c r="G18" s="24">
        <f t="shared" si="4"/>
        <v>0</v>
      </c>
      <c r="H18" s="33">
        <v>28248</v>
      </c>
      <c r="I18" s="5">
        <f t="shared" si="6"/>
        <v>6202413.3599999994</v>
      </c>
      <c r="J18" s="5" t="s">
        <v>10</v>
      </c>
    </row>
    <row r="19" spans="1:11" x14ac:dyDescent="0.3">
      <c r="A19" s="5" t="s">
        <v>30</v>
      </c>
      <c r="B19" s="5">
        <v>500413</v>
      </c>
      <c r="C19" s="10">
        <f t="shared" si="5"/>
        <v>4.5544357696679354E-2</v>
      </c>
      <c r="D19" s="13">
        <v>3918328</v>
      </c>
      <c r="E19" s="12">
        <v>109.13</v>
      </c>
      <c r="F19" s="12">
        <f t="shared" si="2"/>
        <v>427607134.63999999</v>
      </c>
      <c r="G19" s="24">
        <f t="shared" si="4"/>
        <v>3893224</v>
      </c>
      <c r="H19" s="20">
        <v>25104</v>
      </c>
      <c r="I19" s="5">
        <f t="shared" si="6"/>
        <v>2739599.52</v>
      </c>
    </row>
    <row r="20" spans="1:11" x14ac:dyDescent="0.3">
      <c r="A20" s="20" t="s">
        <v>31</v>
      </c>
      <c r="B20" s="20">
        <v>532966</v>
      </c>
      <c r="C20" s="31">
        <f t="shared" si="5"/>
        <v>1.7427488659916798E-3</v>
      </c>
      <c r="D20" s="20">
        <v>18671</v>
      </c>
      <c r="E20" s="21">
        <v>876.35</v>
      </c>
      <c r="F20" s="12">
        <f t="shared" si="2"/>
        <v>16362330.85</v>
      </c>
      <c r="G20" s="24">
        <f t="shared" si="4"/>
        <v>0</v>
      </c>
      <c r="H20" s="33">
        <v>18671</v>
      </c>
      <c r="I20" s="5">
        <f t="shared" si="6"/>
        <v>16362330.85</v>
      </c>
      <c r="J20" s="5" t="s">
        <v>10</v>
      </c>
      <c r="K20" s="13"/>
    </row>
    <row r="21" spans="1:11" x14ac:dyDescent="0.3">
      <c r="A21" s="20" t="s">
        <v>32</v>
      </c>
      <c r="B21" s="20">
        <v>540762</v>
      </c>
      <c r="C21" s="30">
        <f t="shared" si="5"/>
        <v>3.0323695342684043E-4</v>
      </c>
      <c r="D21" s="20">
        <v>1063</v>
      </c>
      <c r="E21" s="21">
        <v>2678.3</v>
      </c>
      <c r="F21" s="12">
        <f t="shared" si="2"/>
        <v>2847032.9000000004</v>
      </c>
      <c r="G21" s="24">
        <f t="shared" si="4"/>
        <v>0</v>
      </c>
      <c r="H21" s="33">
        <v>1063</v>
      </c>
      <c r="I21" s="5">
        <f t="shared" si="6"/>
        <v>2847032.9000000004</v>
      </c>
      <c r="J21" s="5" t="s">
        <v>10</v>
      </c>
      <c r="K21" s="13"/>
    </row>
    <row r="22" spans="1:11" x14ac:dyDescent="0.3">
      <c r="A22" s="5" t="s">
        <v>33</v>
      </c>
      <c r="B22" s="5">
        <v>519156</v>
      </c>
      <c r="C22" s="10">
        <f t="shared" si="5"/>
        <v>8.0637998844676526E-2</v>
      </c>
      <c r="D22" s="13">
        <v>101460</v>
      </c>
      <c r="E22" s="12">
        <v>7462</v>
      </c>
      <c r="F22" s="12">
        <f t="shared" si="2"/>
        <v>757094520</v>
      </c>
      <c r="G22" s="24">
        <f t="shared" si="4"/>
        <v>99988</v>
      </c>
      <c r="H22" s="20">
        <v>1472</v>
      </c>
      <c r="I22" s="5">
        <f t="shared" si="6"/>
        <v>10984064</v>
      </c>
    </row>
    <row r="23" spans="1:11" x14ac:dyDescent="0.3">
      <c r="A23" s="5" t="s">
        <v>34</v>
      </c>
      <c r="B23" s="5">
        <v>539118</v>
      </c>
      <c r="C23" s="10">
        <f t="shared" si="5"/>
        <v>4.5830907619665122E-2</v>
      </c>
      <c r="D23" s="13">
        <v>1492275</v>
      </c>
      <c r="E23" s="12">
        <v>288.35000000000002</v>
      </c>
      <c r="F23" s="12">
        <f t="shared" si="2"/>
        <v>430297496.25000006</v>
      </c>
      <c r="G23" s="24">
        <f t="shared" si="4"/>
        <v>1483365</v>
      </c>
      <c r="H23" s="20">
        <v>8910</v>
      </c>
      <c r="I23" s="5">
        <f t="shared" si="6"/>
        <v>2569198.5</v>
      </c>
    </row>
    <row r="24" spans="1:11" x14ac:dyDescent="0.3">
      <c r="A24" s="20" t="s">
        <v>35</v>
      </c>
      <c r="B24" s="20">
        <v>532553</v>
      </c>
      <c r="C24" s="30">
        <f t="shared" si="5"/>
        <v>1.3647002691196987E-3</v>
      </c>
      <c r="D24" s="20">
        <f>267283-62869-123080-64967</f>
        <v>16367</v>
      </c>
      <c r="E24" s="12">
        <v>782.85</v>
      </c>
      <c r="F24" s="12">
        <f t="shared" si="2"/>
        <v>12812905.950000001</v>
      </c>
      <c r="G24" s="24">
        <f t="shared" si="4"/>
        <v>0</v>
      </c>
      <c r="H24" s="33">
        <v>16367</v>
      </c>
      <c r="I24" s="5">
        <f t="shared" si="6"/>
        <v>12812905.950000001</v>
      </c>
      <c r="K24" s="13"/>
    </row>
    <row r="25" spans="1:11" x14ac:dyDescent="0.3">
      <c r="A25" s="5" t="s">
        <v>36</v>
      </c>
      <c r="B25" s="5">
        <v>533339</v>
      </c>
      <c r="C25" s="10">
        <f t="shared" si="5"/>
        <v>0.10046481413032329</v>
      </c>
      <c r="D25" s="13">
        <v>535235</v>
      </c>
      <c r="E25" s="12">
        <v>1762.3</v>
      </c>
      <c r="F25" s="12">
        <f t="shared" si="2"/>
        <v>943244640.5</v>
      </c>
      <c r="G25" s="24">
        <f t="shared" si="4"/>
        <v>528133</v>
      </c>
      <c r="H25" s="20">
        <v>7102</v>
      </c>
      <c r="I25" s="5">
        <f t="shared" si="6"/>
        <v>12515854.6</v>
      </c>
    </row>
    <row r="26" spans="1:11" x14ac:dyDescent="0.3">
      <c r="A26" s="7" t="s">
        <v>37</v>
      </c>
      <c r="B26" s="7">
        <v>590096</v>
      </c>
      <c r="C26" s="10">
        <f t="shared" si="5"/>
        <v>1.2674541486970321E-8</v>
      </c>
      <c r="D26" s="11">
        <v>0.11899999999999999</v>
      </c>
      <c r="E26" s="12">
        <v>999.99</v>
      </c>
      <c r="F26" s="12">
        <f t="shared" si="2"/>
        <v>118.99880999999999</v>
      </c>
      <c r="G26" s="28">
        <f t="shared" si="4"/>
        <v>-0.03</v>
      </c>
      <c r="H26" s="20">
        <v>0.14899999999999999</v>
      </c>
      <c r="I26" s="5">
        <f t="shared" si="6"/>
        <v>148.99850999999998</v>
      </c>
    </row>
    <row r="27" spans="1:11" x14ac:dyDescent="0.3">
      <c r="A27" s="7" t="s">
        <v>38</v>
      </c>
      <c r="B27" s="7">
        <v>21750</v>
      </c>
      <c r="C27" s="10">
        <v>7.1999999999999998E-3</v>
      </c>
      <c r="D27" s="11">
        <v>165594</v>
      </c>
      <c r="E27" s="12">
        <v>115.83</v>
      </c>
      <c r="F27" s="12">
        <f>E27*D27</f>
        <v>19180753.02</v>
      </c>
      <c r="G27" s="28">
        <f t="shared" si="4"/>
        <v>165594</v>
      </c>
      <c r="H27" s="33">
        <v>0</v>
      </c>
      <c r="I27" s="5">
        <f t="shared" si="6"/>
        <v>0</v>
      </c>
      <c r="J27" s="5" t="s">
        <v>10</v>
      </c>
    </row>
    <row r="28" spans="1:11" x14ac:dyDescent="0.3">
      <c r="C28" s="14">
        <f>SUM(C2:C27)</f>
        <v>1.0055062671903066</v>
      </c>
      <c r="D28" s="15"/>
      <c r="E28" s="17"/>
      <c r="F28" s="16">
        <f>SUM(F2:F27)</f>
        <v>9388805908.4688091</v>
      </c>
      <c r="I28" s="5">
        <f t="shared" si="6"/>
        <v>0</v>
      </c>
    </row>
    <row r="29" spans="1:11" x14ac:dyDescent="0.3">
      <c r="I29" s="5">
        <f t="shared" si="6"/>
        <v>0</v>
      </c>
    </row>
    <row r="30" spans="1:11" x14ac:dyDescent="0.3">
      <c r="A30" s="5" t="s">
        <v>39</v>
      </c>
      <c r="F30" s="12">
        <v>0</v>
      </c>
      <c r="I30" s="5">
        <f t="shared" si="6"/>
        <v>0</v>
      </c>
    </row>
    <row r="31" spans="1:11" x14ac:dyDescent="0.3">
      <c r="A31" s="6" t="s">
        <v>40</v>
      </c>
      <c r="F31" s="9">
        <v>134396050</v>
      </c>
      <c r="I31" s="24">
        <v>2108649</v>
      </c>
      <c r="K31" s="5" t="s">
        <v>41</v>
      </c>
    </row>
    <row r="32" spans="1:11" x14ac:dyDescent="0.3">
      <c r="A32" s="5" t="s">
        <v>42</v>
      </c>
      <c r="F32" s="12">
        <v>0</v>
      </c>
      <c r="I32" s="5">
        <f>H32*E32</f>
        <v>0</v>
      </c>
    </row>
    <row r="33" spans="1:11" x14ac:dyDescent="0.3">
      <c r="A33" s="5" t="s">
        <v>43</v>
      </c>
      <c r="F33" s="18">
        <v>0</v>
      </c>
      <c r="G33" s="5" t="s">
        <v>10</v>
      </c>
      <c r="I33" s="5">
        <f>H33*E33</f>
        <v>0</v>
      </c>
    </row>
    <row r="34" spans="1:11" x14ac:dyDescent="0.3">
      <c r="F34" s="19">
        <f>F28+F30+F31+F32-F33</f>
        <v>9523201958.4688091</v>
      </c>
      <c r="I34" s="26">
        <f>SUM(I3:I33)</f>
        <v>108192597.37851</v>
      </c>
      <c r="K34" s="5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cmbhavcopy</vt:lpstr>
      <vt:lpstr>Stocks</vt:lpstr>
      <vt:lpstr>Quantity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Julesh Shah</cp:lastModifiedBy>
  <dcterms:created xsi:type="dcterms:W3CDTF">2006-09-16T00:00:00Z</dcterms:created>
  <dcterms:modified xsi:type="dcterms:W3CDTF">2026-09-10T08:04:51Z</dcterms:modified>
</cp:coreProperties>
</file>